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harts/chart2.xml" ContentType="application/vnd.openxmlformats-officedocument.drawingml.chart+xml"/>
  <Override PartName="/xl/charts/colors2.xml" ContentType="application/vnd.ms-office.chartcolorstyle+xml"/>
  <Override PartName="/xl/charts/style2.xml" ContentType="application/vnd.ms-office.chartstyle+xml"/>
  <Override PartName="/xl/charts/chart3.xml" ContentType="application/vnd.openxmlformats-officedocument.drawingml.chart+xml"/>
  <Override PartName="/xl/charts/colors3.xml" ContentType="application/vnd.ms-office.chartcolorstyle+xml"/>
  <Override PartName="/xl/charts/style3.xml" ContentType="application/vnd.ms-office.chartstyle+xml"/>
  <Override PartName="/xl/charts/chart4.xml" ContentType="application/vnd.openxmlformats-officedocument.drawingml.chart+xml"/>
  <Override PartName="/xl/charts/colors4.xml" ContentType="application/vnd.ms-office.chartcolorstyle+xml"/>
  <Override PartName="/xl/charts/style4.xml" ContentType="application/vnd.ms-office.chartstyle+xml"/>
  <Override PartName="/xl/charts/chart5.xml" ContentType="application/vnd.openxmlformats-officedocument.drawingml.chart+xml"/>
  <Override PartName="/xl/charts/colors5.xml" ContentType="application/vnd.ms-office.chartcolorstyle+xml"/>
  <Override PartName="/xl/charts/style5.xml" ContentType="application/vnd.ms-office.chartstyle+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laneacionnacional-my.sharepoint.com/personal/gegallegos_dnp_gov_co/Documents/"/>
    </mc:Choice>
  </mc:AlternateContent>
  <xr:revisionPtr revIDLastSave="2545" documentId="8_{3E500AA4-C9A2-4767-9875-2B272A2641EF}" xr6:coauthVersionLast="47" xr6:coauthVersionMax="47" xr10:uidLastSave="{A7CE8F52-050E-4401-930F-797FAE297FD3}"/>
  <bookViews>
    <workbookView xWindow="-120" yWindow="-120" windowWidth="20730" windowHeight="11040" tabRatio="761" xr2:uid="{1F7B78CE-1503-42E0-8A42-FC800A1FFC3D}"/>
  </bookViews>
  <sheets>
    <sheet name="Resumen" sheetId="1" state="visible" r:id="rId1"/>
    <sheet name="Detalle seguimiento financiero" sheetId="11" state="visible" r:id="rId2"/>
    <sheet name="Detalle seguimiento físico" sheetId="3" state="visible" r:id="rId3"/>
  </sheets>
  <definedNames>
    <definedName name="nombreslineasest">Resumen!$P$7:INDEX(Resumen!$P$7:$P$75,COUNT(Resumen!$P$7:$P$75))</definedName>
    <definedName name="valoreslineasest">Resumen!$V$7:INDEX(Resumen!$V$7:$V$75,COUNT(Resumen!$V$7:$V$75))</definedName>
  </definedNam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<sst xmlns="http://schemas.openxmlformats.org/spreadsheetml/2006/main" count="135" uniqueCount="135">
  <si>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Recursos propios</t>
  </si>
  <si>
    <t>Otros</t>
  </si>
  <si>
    <t>SGP APSB</t>
  </si>
  <si>
    <t>Crédito</t>
  </si>
  <si>
    <t>En el módulo de Presupuesto Ordinario del SisPT, la entidad territorial presenta la siguiente programación financiera de su Plan Indicativo:</t>
  </si>
  <si>
    <t xml:space="preserve">Seleccione una vigencia: </t>
  </si>
  <si>
    <t>Total Cuatrienio</t>
  </si>
  <si>
    <t>Ambiente y desarrollo sostenible</t>
  </si>
  <si>
    <t>Comercio, industria y turismo</t>
  </si>
  <si>
    <t>Cultura</t>
  </si>
  <si>
    <t>Educación</t>
  </si>
  <si>
    <t xml:space="preserve">Inclusión social y reconciliación </t>
  </si>
  <si>
    <t>Justicia y del derecho</t>
  </si>
  <si>
    <t>Salud y protección social</t>
  </si>
  <si>
    <t>Tecnologías de la información y las comunicaciones</t>
  </si>
  <si>
    <t>Trabajo</t>
  </si>
  <si>
    <t>Transporte</t>
  </si>
  <si>
    <t>Vivienda, ciudad y territorio</t>
  </si>
  <si>
    <t>SGP educación</t>
  </si>
  <si>
    <t>SGP salud</t>
  </si>
  <si>
    <t>SGP deporte</t>
  </si>
  <si>
    <t>SGP cultura</t>
  </si>
  <si>
    <t>SGP libre inversión</t>
  </si>
  <si>
    <t>SGP libre destinación</t>
  </si>
  <si>
    <t>SGP alimentación escolar</t>
  </si>
  <si>
    <t>SGP municipios Rio Magdalena</t>
  </si>
  <si>
    <t>Transf. capital - Cof. departamento</t>
  </si>
  <si>
    <t>Transf. capital - Cof. Nación</t>
  </si>
  <si>
    <t>1. Fin de la pobreza</t>
  </si>
  <si>
    <t>2. Hambre cero</t>
  </si>
  <si>
    <t>3. Salud y bienestar</t>
  </si>
  <si>
    <t>4. Educación de calidad</t>
  </si>
  <si>
    <t>5. Igualdad de género</t>
  </si>
  <si>
    <t>6. Agua limpia y saneamiento</t>
  </si>
  <si>
    <t>7. Energía asequible y no contaminante</t>
  </si>
  <si>
    <t>8. Trabajo decente y crecimiento económico</t>
  </si>
  <si>
    <t>9. Industria, innovación e infraestructura</t>
  </si>
  <si>
    <t>10. Reducción de las desigualdades</t>
  </si>
  <si>
    <t>11. Ciudades y comunidades sostenibles</t>
  </si>
  <si>
    <t>12. Producción y consumo responsables</t>
  </si>
  <si>
    <t>13. Acción por el clima</t>
  </si>
  <si>
    <t>14. Vida submarina</t>
  </si>
  <si>
    <t>15. Vida de ecosistemas terrestres</t>
  </si>
  <si>
    <t>16. Paz, justicia e instituciones sólidas</t>
  </si>
  <si>
    <t>17. Alianzas para lograr los objetivos</t>
  </si>
  <si>
    <t>Sector (MGA)</t>
  </si>
  <si>
    <t>Programa (MGA)</t>
  </si>
  <si>
    <t>Producto (MGA)</t>
  </si>
  <si>
    <t>Acumulativo</t>
  </si>
  <si>
    <t>Informe generado con información de SisPT al:</t>
  </si>
  <si>
    <t>2024</t>
  </si>
  <si>
    <t>2025</t>
  </si>
  <si>
    <t>2026</t>
  </si>
  <si>
    <t>2027</t>
  </si>
  <si>
    <t>Nombre Plan de Desarrollo</t>
  </si>
  <si>
    <t>Consecutivos IP (SisPT)</t>
  </si>
  <si>
    <t>Código Sector (MGA)</t>
  </si>
  <si>
    <t>Código Programa (MGA)</t>
  </si>
  <si>
    <t>Código Producto (MGA)</t>
  </si>
  <si>
    <t>Descripción del Producto (MGA)</t>
  </si>
  <si>
    <t>Códigos BPIN Asociados</t>
  </si>
  <si>
    <t>Programado 2024 (SisPT)</t>
  </si>
  <si>
    <t>Programado 2025 (SisPT)</t>
  </si>
  <si>
    <t>Programado 2026 (SisPT)</t>
  </si>
  <si>
    <t>Programado 2027 (SisPT)</t>
  </si>
  <si>
    <t>Compromisos 2024 (CUIPO)</t>
  </si>
  <si>
    <t>Obligaciones 2024 (CUIPO)</t>
  </si>
  <si>
    <t>Pagos 2024 (CUIPO)</t>
  </si>
  <si>
    <t>Ejecución CUIPO 2024</t>
  </si>
  <si>
    <t>Obligaciones como % de lo programado (2024)</t>
  </si>
  <si>
    <t>Código Indicador Producto (MGA)</t>
  </si>
  <si>
    <t>Indicador Producto (MGA)</t>
  </si>
  <si>
    <t>Unidad de Medida</t>
  </si>
  <si>
    <t>Meta del Cuatrenio (SisPT)</t>
  </si>
  <si>
    <t>Avance físico 2024 (%)</t>
  </si>
  <si>
    <t>Ejecución PIIP 2024</t>
  </si>
  <si>
    <t>No tienen BPIN</t>
  </si>
  <si>
    <t>BPIN no encontrado en PIIP</t>
  </si>
  <si>
    <t>BPIN e IP hallados, pero modo de acumulación no fue encontrado en PIIP</t>
  </si>
  <si>
    <t>onlySisPT</t>
  </si>
  <si>
    <t>merged</t>
  </si>
  <si>
    <t>onlyCUIPO</t>
  </si>
  <si>
    <t>Universo SisPT:</t>
  </si>
  <si>
    <t>Universo CUIPO:</t>
  </si>
  <si>
    <t>NA</t>
  </si>
  <si>
    <t xml:space="preserve">Agricultura y desarrollo rural
</t>
  </si>
  <si>
    <t xml:space="preserve">Ciencia, tecnología e innovación
</t>
  </si>
  <si>
    <t>BPIN encontrado, pero no el indicador de producto (IP)</t>
  </si>
  <si>
    <t>Universo PIIP:</t>
  </si>
  <si>
    <t>onlyPIIP</t>
  </si>
  <si>
    <r>
      <rPr>
        <b/>
        <sz val="10"/>
        <color theme="1" tint="0.34998626667073579"/>
        <rFont val="Verdana Pro"/>
        <family val="2"/>
      </rPr>
      <t>Notas:</t>
    </r>
    <r>
      <rPr>
        <sz val="10"/>
        <color theme="1" tint="0.34998626667073579"/>
        <rFont val="Verdana Pro"/>
        <family val="2"/>
      </rPr>
      <t xml:space="preserve"> Si un rubro en SisPT o en CUIPO no tiene información en el campo de BPIN, </t>
    </r>
    <r>
      <rPr>
        <b/>
        <sz val="10"/>
        <color theme="1" tint="0.34998626667073579"/>
        <rFont val="Verdana Pro"/>
        <family val="2"/>
      </rPr>
      <t>no</t>
    </r>
    <r>
      <rPr>
        <sz val="10"/>
        <color theme="1" tint="0.34998626667073579"/>
        <rFont val="Verdana Pro"/>
        <family val="2"/>
      </rPr>
      <t xml:space="preserve"> se cruza la información entre plataformas. Información de CUIPO con códigos BPIN como "xxxx", "NO APLICA", "N/A" etc., se dejaron tal como aparecen en CUIPO.</t>
    </r>
  </si>
  <si>
    <t>BPIN e IP hallados, pero no tienen modo de acumulación</t>
  </si>
  <si>
    <t>BPIN, IP y modo de acumulación encontrados (hay seguimiento físico)</t>
  </si>
  <si>
    <t>Los anteriores diagramas de Venn pueden unificarse en uno solo si la información de PIIP también se agrega a nivel de producto y no de indicador de producto. Esto implica que los números del diagrama con PIIP cambian ligeramente, pero de todas maneras es útil acceder a esta vista integrada de los tres sistemas y su nivel agregado de coincidencias.</t>
  </si>
  <si>
    <t>Universo de combinaciones BPIN-Producto existentes entre las tres plataformas:</t>
  </si>
  <si>
    <t>Combinaciones BPIN-Producto halladas en la triple intersección:</t>
  </si>
  <si>
    <t>Porcentaje de coincidencia entre las tres plataformas:</t>
  </si>
  <si>
    <t>1iCUIPO</t>
  </si>
  <si>
    <t>2iPIIP</t>
  </si>
  <si>
    <t>3iSISPT</t>
  </si>
  <si>
    <t>4CUIPOPIIP</t>
  </si>
  <si>
    <t>5CUIPOSISPT</t>
  </si>
  <si>
    <t>6PIIPSISPT</t>
  </si>
  <si>
    <t>7TRIPLE</t>
  </si>
  <si>
    <t>.</t>
  </si>
  <si>
    <t>Resumen de la Programación Financiera (Presupuesto Ordinario) en SisPT</t>
  </si>
  <si>
    <t>Avance Físico Ejecutado Acumulado (PIIP)</t>
  </si>
  <si>
    <t>Detalle Seguimiento Financiero Preliminar</t>
  </si>
  <si>
    <r>
      <t xml:space="preserve">Por ejemplo, la columna "Obligaciones como % de lo programado (2024)" se calcula como la razón entre el monto total obligado en 2024 traído de CUIPO, y la programación financiera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</si>
  <si>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Programación Cuatrienio SisPT</t>
  </si>
  <si>
    <t>Defensa y policía</t>
  </si>
  <si>
    <t>Deporte y recreación</t>
  </si>
  <si>
    <t>Gobierno territorial</t>
  </si>
  <si>
    <t>Información estadística</t>
  </si>
  <si>
    <t>Minas y energía</t>
  </si>
  <si>
    <t>Organismos de control</t>
  </si>
  <si>
    <t>Detalle Seguimiento Físico Preliminar</t>
  </si>
  <si>
    <t>Esta tabla contrasta la información de Plan Indicativo - Presupuesto Ordinario de SisPT con la ejecución reportada en PIIP. El seguimiento físico es condicional a que el BPIN, el código de indicador de producto, y tipo de acumulación, correspondan en ambas plataformas. En caso de tener indicadores de producto y proyectos duplicados con nombre personalizado diferente en SisPT, este seguimiento agrega los montos ya que nos es imposible identificar cada rubro en PIIP. Utilice el consecutivo de SisPT para poder rastrear los rubros en el formato de Plan Indicativo.</t>
  </si>
  <si>
    <t>Esta tabla contrasta la información de Plan Indicativo - Presupuesto Ordinario de SisPT con la ejecución reportada en CUIPO. El seguimiento financiero es condicional a tener código BPIN y código de producto en ambas plataformas. En caso de tener productos y proyectos duplicados con nombre personalizado diferente en SisPT, este seguimiento agrega los montos ya que nos es imposible identificar cada rubro en CUIPO. Utilice el consecutivo de SisPT para poder rastrear los rubros en el formato de Plan Indicativo.</t>
  </si>
  <si>
    <r>
      <t xml:space="preserve">Por ejemplo, la columna "Avance físico 2024 (%)" se calcula como la razón entre la ejecución física acumulada de 2024 traída de PIIP, y la programación física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</si>
  <si>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Obligaciones como % de lo programado (2025)</t>
  </si>
  <si>
    <t>Compromisos 2025 (CUIPO)</t>
  </si>
  <si>
    <t>Obligaciones 2025 (CUIPO)</t>
  </si>
  <si>
    <t>Pagos 2025 (CUIPO)</t>
  </si>
  <si>
    <t>Programación financiera SisPT</t>
  </si>
  <si>
    <t>Explicación del valor 2024</t>
  </si>
  <si>
    <t>Explicación del valor 2025</t>
  </si>
  <si>
    <t>Nombre Entidad Territorial</t>
  </si>
  <si>
    <t>En esta hoja encontrará un resumen de la información de programación cargada en SisPT, y un resumen del cruce de información con las plataformas PIIP y CUIPO. En la hoja "Seguimiento al Plan" encontrará el cálculo de avance físico del Plan por vigencia. Finalmente, las hojas de Detalle seguimiento financiero y Detalle seguimiento físico contienen valores a nivel de indicador de producto, para poder entender de dónde proviene el total que calculamos cada vigencia.</t>
  </si>
  <si>
    <t>En la hoja "Detalle seguimiento financiero" encontrará la información detallada de las combinaciones que cruzaron con CUIPO, y las combinaciones que no cruzaron aparecerán sin datos de compromisos, obligaciones ni pagos.</t>
  </si>
  <si>
    <t>En la hoja "Detalle seguimiento físico" encontrará la información detallada de las combinaciones que cruzaron con PIIP, y las combinaciones que no cruzaron aparecerán sin datos de ejecución física en la vigencia respectiva.</t>
  </si>
  <si>
    <t>Las columnas "Explicación" buscan dar contexto al cálculo de obligaciones como % de lo programado, para cada vigencia.</t>
  </si>
  <si>
    <t>Las columnas "Explicación" buscan dar contexto al cálculo de avance físico (%) para cada vigencia.</t>
  </si>
  <si>
    <t>Programación física SisPT</t>
  </si>
  <si>
    <t>(Dar clic en Habilitar 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</si>
</sst>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0000"/>
    <numFmt numFmtId="165" formatCode="0.0%"/>
    <numFmt numFmtId="166" formatCode="#,##0"/>
    <numFmt numFmtId="167" formatCode="0%"/>
    <numFmt numFmtId="168" formatCode="#,##0"/>
    <numFmt numFmtId="169" formatCode="0%"/>
    <numFmt numFmtId="170" formatCode="0%"/>
    <numFmt numFmtId="171" formatCode="0%"/>
  </numFmts>
  <fonts count="27">
    <font>
      <sz val="11"/>
      <color theme="1"/>
      <name val="Calibri"/>
      <family val="2"/>
      <scheme val="minor"/>
    </font>
    <font>
      <sz val="11"/>
      <color theme="1"/>
      <name val="Calibri"/>
      <family val="2"/>
      <scheme val="minor"/>
    </font>
    <font>
      <sz val="11"/>
      <name val="Calibri"/>
      <family val="2"/>
      <scheme val="minor"/>
    </font>
    <font>
      <b/>
      <sz val="18"/>
      <color rgb="FF3C8C7B"/>
      <name val="Segoe UI"/>
      <family val="2"/>
      <scheme val="major"/>
    </font>
    <font>
      <sz val="11"/>
      <color theme="1"/>
      <name val="Segoe UI"/>
      <family val="2"/>
      <scheme val="major"/>
    </font>
    <font>
      <b/>
      <sz val="16"/>
      <name val="Segoe UI"/>
      <family val="2"/>
      <scheme val="major"/>
    </font>
    <font>
      <sz val="11"/>
      <color theme="8" tint="0.39997558519241921"/>
      <name val="Calibri"/>
      <family val="2"/>
      <scheme val="minor"/>
    </font>
    <font>
      <b/>
      <sz val="11"/>
      <color theme="1"/>
      <name val="Segoe UI"/>
      <family val="2"/>
      <scheme val="major"/>
    </font>
    <font>
      <b/>
      <sz val="11"/>
      <color theme="0"/>
      <name val="Segoe UI"/>
      <family val="2"/>
      <scheme val="major"/>
    </font>
    <font>
      <sz val="11"/>
      <color theme="0"/>
      <name val="Calibri"/>
      <family val="2"/>
      <scheme val="minor"/>
    </font>
    <font>
      <b/>
      <i/>
      <sz val="16"/>
      <color rgb="FF295D52"/>
      <name val="Segoe UI"/>
      <family val="2"/>
      <scheme val="major"/>
    </font>
    <font>
      <b/>
      <sz val="12"/>
      <color rgb="FF3C8C7B"/>
      <name val="Segoe UI"/>
      <family val="2"/>
      <scheme val="major"/>
    </font>
    <font>
      <sz val="11"/>
      <color theme="1"/>
      <name val="Verdana"/>
      <family val="2"/>
    </font>
    <font>
      <sz val="11"/>
      <color theme="1"/>
      <name val="Verdana Pro"/>
      <family val="2"/>
    </font>
    <font>
      <sz val="10"/>
      <color theme="1" tint="0.34998626667073579"/>
      <name val="Verdana Pro"/>
      <family val="2"/>
    </font>
    <font>
      <b/>
      <sz val="11"/>
      <color theme="1"/>
      <name val="Verdana Pro"/>
      <family val="2"/>
    </font>
    <font>
      <b/>
      <sz val="11"/>
      <name val="Verdana Pro"/>
      <family val="2"/>
    </font>
    <font>
      <sz val="10"/>
      <color theme="1"/>
      <name val="Verdana Pro"/>
      <family val="2"/>
    </font>
    <font>
      <b/>
      <sz val="11"/>
      <color rgb="FF3C8C7B"/>
      <name val="Verdana"/>
      <family val="2"/>
    </font>
    <font>
      <b/>
      <sz val="11"/>
      <color rgb="FFAFA927"/>
      <name val="Verdana"/>
      <family val="2"/>
    </font>
    <font>
      <b/>
      <sz val="11"/>
      <color rgb="FF786256"/>
      <name val="Verdana"/>
      <family val="2"/>
    </font>
    <font>
      <b/>
      <sz val="10"/>
      <color theme="1" tint="0.34998626667073579"/>
      <name val="Verdana Pro"/>
      <family val="2"/>
    </font>
    <font>
      <sz val="11"/>
      <name val="Verdana Pro"/>
      <family val="2"/>
    </font>
    <font>
      <sz val="11"/>
      <color rgb="FFFF0000"/>
      <name val="Calibri"/>
      <family val="2"/>
      <scheme val="minor"/>
    </font>
    <font>
      <b/>
      <sz val="11"/>
      <color rgb="FFE399DC"/>
      <name val="Verdana"/>
      <family val="2"/>
    </font>
    <font>
      <sz val="11"/>
      <color rgb="FFE399DC"/>
      <name val="Segoe UI"/>
      <family val="2"/>
      <scheme val="major"/>
    </font>
    <font>
      <sz val="11"/>
      <color rgb="FFFF0000"/>
      <name val="Verdana Pro"/>
      <family val="2"/>
    </font>
  </fonts>
  <fills count="21">
    <fill>
      <patternFill patternType="none"/>
    </fill>
    <fill>
      <patternFill patternType="gray125"/>
    </fill>
    <fill>
      <patternFill patternType="solid">
        <fgColor theme="0"/>
        <bgColor indexed="64"/>
      </patternFill>
    </fill>
    <fill>
      <patternFill patternType="solid">
        <fgColor rgb="FFEBFBF6"/>
        <bgColor indexed="64"/>
      </patternFill>
    </fill>
    <fill>
      <patternFill patternType="solid">
        <fgColor rgb="FFFDF7D7"/>
        <bgColor indexed="64"/>
      </patternFill>
    </fill>
    <fill>
      <patternFill patternType="solid">
        <fgColor rgb="FFE2F2EF"/>
        <bgColor indexed="64"/>
      </patternFill>
    </fill>
    <fill>
      <patternFill patternType="solid">
        <fgColor rgb="FFF2FADA"/>
        <bgColor indexed="64"/>
      </patternFill>
    </fill>
    <fill>
      <patternFill patternType="solid">
        <fgColor theme="3" tint="0.249977111117893"/>
        <bgColor indexed="64"/>
      </patternFill>
    </fill>
    <fill>
      <patternFill patternType="solid">
        <fgColor rgb="FFE68297"/>
        <bgColor indexed="64"/>
      </patternFill>
    </fill>
    <fill>
      <patternFill patternType="solid">
        <fgColor rgb="FFF8A39A"/>
        <bgColor indexed="64"/>
      </patternFill>
    </fill>
    <fill>
      <patternFill patternType="solid">
        <fgColor rgb="FFADEC9E"/>
        <bgColor indexed="64"/>
      </patternFill>
    </fill>
    <fill>
      <patternFill patternType="solid">
        <fgColor rgb="FFA8A831"/>
        <bgColor indexed="64"/>
      </patternFill>
    </fill>
    <fill>
      <patternFill patternType="solid">
        <fgColor rgb="FFA65CC4"/>
        <bgColor indexed="64"/>
      </patternFill>
    </fill>
    <fill>
      <patternFill patternType="solid">
        <fgColor rgb="FFD165AA"/>
        <bgColor indexed="64"/>
      </patternFill>
    </fill>
    <fill>
      <patternFill patternType="solid">
        <fgColor rgb="FFFFBD97"/>
        <bgColor indexed="64"/>
      </patternFill>
    </fill>
    <fill>
      <patternFill patternType="solid">
        <fgColor rgb="FF215C98"/>
        <bgColor indexed="64"/>
      </patternFill>
    </fill>
    <fill>
      <patternFill patternType="solid">
        <fgColor theme="5" tint="0.59999389629810485"/>
        <bgColor indexed="64"/>
      </patternFill>
    </fill>
    <fill>
      <patternFill patternType="solid">
        <fgColor rgb="FFF7F7AF"/>
        <bgColor indexed="64"/>
      </patternFill>
    </fill>
    <fill>
      <patternFill patternType="solid">
        <fgColor rgb="FFDAE9F9"/>
        <bgColor indexed="64"/>
      </patternFill>
    </fill>
    <fill>
      <patternFill patternType="solid">
        <fgColor rgb="FFBAD7F4"/>
        <bgColor indexed="64"/>
      </patternFill>
    </fill>
    <fill>
      <patternFill patternType="solid">
        <fgColor rgb="FF9FC5EB"/>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3C8C7B"/>
      </left>
      <right style="thin">
        <color rgb="FF3C8C7B"/>
      </right>
      <top style="thin">
        <color rgb="FF3C8C7B"/>
      </top>
      <bottom style="thin">
        <color rgb="FF3C8C7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0" fillId="2" borderId="0" xfId="0" applyFill="1"/>
    <xf numFmtId="0" fontId="0" fillId="2" borderId="0" xfId="0" applyFill="1" applyAlignment="1">
      <alignment horizontal="left"/>
    </xf>
    <xf numFmtId="0" fontId="2" fillId="2" borderId="0" xfId="0" applyFont="1" applyFill="1"/>
    <xf numFmtId="0" fontId="4" fillId="2" borderId="0" xfId="0" applyFont="1" applyFill="1"/>
    <xf numFmtId="164" fontId="0" fillId="2" borderId="0" xfId="0" applyNumberFormat="1" applyFill="1"/>
    <xf numFmtId="0" fontId="6" fillId="2" borderId="0" xfId="0" applyFont="1" applyFill="1"/>
    <xf numFmtId="1" fontId="0" fillId="3" borderId="0" xfId="0" applyNumberFormat="1" applyFill="1"/>
    <xf numFmtId="3" fontId="0" fillId="3" borderId="0" xfId="0" applyNumberFormat="1" applyFill="1"/>
    <xf numFmtId="0" fontId="9" fillId="2" borderId="0" xfId="0" applyFont="1" applyFill="1"/>
    <xf numFmtId="0" fontId="0" fillId="2" borderId="0" xfId="0" applyFill="1" applyAlignment="1">
      <alignment horizontal="left" wrapText="1"/>
    </xf>
    <xf numFmtId="0" fontId="11" fillId="5" borderId="0" xfId="0" applyFont="1" applyFill="1"/>
    <xf numFmtId="0" fontId="0" fillId="5" borderId="0" xfId="0" applyFill="1"/>
    <xf numFmtId="3" fontId="9" fillId="2" borderId="0" xfId="0" applyNumberFormat="1" applyFont="1" applyFill="1"/>
    <xf numFmtId="1" fontId="9" fillId="2" borderId="0" xfId="0" applyNumberFormat="1" applyFont="1" applyFill="1"/>
    <xf numFmtId="0" fontId="0" fillId="2" borderId="0" xfId="0" applyFill="1" applyAlignment="1">
      <alignment horizontal="left" vertical="center" wrapText="1"/>
    </xf>
    <xf numFmtId="0" fontId="7" fillId="6" borderId="0" xfId="0" applyFont="1" applyFill="1" applyAlignment="1">
      <alignment horizontal="center" vertical="center" wrapText="1"/>
    </xf>
    <xf numFmtId="0" fontId="9" fillId="2" borderId="0" xfId="0" applyFont="1" applyFill="1" applyAlignment="1">
      <alignment horizontal="left" vertical="center"/>
    </xf>
    <xf numFmtId="3" fontId="4" fillId="2" borderId="0" xfId="0" applyNumberFormat="1" applyFont="1" applyFill="1"/>
    <xf numFmtId="9" fontId="4" fillId="2" borderId="0" xfId="1" applyFont="1" applyFill="1" applyAlignment="1">
      <alignment horizontal="center" vertical="center"/>
    </xf>
    <xf numFmtId="0" fontId="4" fillId="0" borderId="0" xfId="0" applyFont="1"/>
    <xf numFmtId="0" fontId="13" fillId="12" borderId="0" xfId="0" applyFont="1" applyFill="1" applyAlignment="1">
      <alignment vertical="center"/>
    </xf>
    <xf numFmtId="0" fontId="13" fillId="2" borderId="0" xfId="0" applyFont="1" applyFill="1" applyAlignment="1">
      <alignment horizontal="left" vertical="center"/>
    </xf>
    <xf numFmtId="0" fontId="13" fillId="13" borderId="0" xfId="0" applyFont="1" applyFill="1" applyAlignment="1">
      <alignment vertical="center"/>
    </xf>
    <xf numFmtId="0" fontId="13" fillId="8" borderId="0" xfId="0" applyFont="1" applyFill="1" applyAlignment="1">
      <alignment vertical="center"/>
    </xf>
    <xf numFmtId="0" fontId="13" fillId="9" borderId="0" xfId="0" applyFont="1" applyFill="1" applyAlignment="1">
      <alignment vertical="center"/>
    </xf>
    <xf numFmtId="0" fontId="13" fillId="14" borderId="0" xfId="0" applyFont="1" applyFill="1" applyAlignment="1">
      <alignment vertical="center"/>
    </xf>
    <xf numFmtId="0" fontId="13" fillId="10" borderId="0" xfId="0" applyFont="1" applyFill="1" applyAlignment="1">
      <alignment vertical="center"/>
    </xf>
    <xf numFmtId="0" fontId="13" fillId="2" borderId="0" xfId="0" applyFont="1" applyFill="1"/>
    <xf numFmtId="0" fontId="15" fillId="2" borderId="0" xfId="0" applyFont="1" applyFill="1"/>
    <xf numFmtId="0" fontId="13" fillId="2" borderId="0" xfId="0" applyFont="1" applyFill="1" applyAlignment="1">
      <alignment horizontal="right"/>
    </xf>
    <xf numFmtId="0" fontId="3" fillId="2" borderId="0" xfId="0" applyFont="1" applyFill="1" applyAlignment="1">
      <alignment horizontal="left" vertical="center" indent="2"/>
    </xf>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left"/>
    </xf>
    <xf numFmtId="0" fontId="22" fillId="2" borderId="0" xfId="0" applyFont="1" applyFill="1"/>
    <xf numFmtId="0" fontId="2" fillId="2" borderId="0" xfId="0" applyFont="1" applyFill="1" applyAlignment="1">
      <alignment vertical="center" wrapText="1"/>
    </xf>
    <xf numFmtId="3" fontId="0" fillId="0" borderId="0" xfId="0" applyNumberFormat="1"/>
    <xf numFmtId="9" fontId="0" fillId="0" borderId="0" xfId="1" applyFont="1" applyAlignment="1">
      <alignment horizontal="center" vertical="center"/>
    </xf>
    <xf numFmtId="0" fontId="18" fillId="2" borderId="0" xfId="0"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0" fillId="4" borderId="0" xfId="0" applyFill="1"/>
    <xf numFmtId="0" fontId="23" fillId="2" borderId="0" xfId="0" applyFont="1" applyFill="1"/>
    <xf numFmtId="0" fontId="18" fillId="2" borderId="0" xfId="0" applyFont="1" applyFill="1" applyAlignment="1">
      <alignment vertical="center"/>
    </xf>
    <xf numFmtId="0" fontId="13" fillId="2" borderId="0" xfId="0" applyFont="1" applyFill="1" applyAlignment="1">
      <alignment horizontal="center"/>
    </xf>
    <xf numFmtId="0" fontId="12" fillId="2" borderId="0" xfId="0" applyFont="1" applyFill="1" applyAlignment="1">
      <alignment vertical="center" wrapText="1"/>
    </xf>
    <xf numFmtId="0" fontId="4" fillId="2" borderId="0" xfId="0" applyFont="1" applyFill="1" applyAlignment="1">
      <alignment horizontal="center" vertical="center"/>
    </xf>
    <xf numFmtId="0" fontId="0" fillId="0" borderId="0" xfId="0" applyAlignment="1">
      <alignment horizontal="center" vertical="center"/>
    </xf>
    <xf numFmtId="0" fontId="7" fillId="2" borderId="0" xfId="0" applyFont="1" applyFill="1"/>
    <xf numFmtId="0" fontId="0" fillId="16" borderId="4" xfId="0" applyFill="1" applyBorder="1"/>
    <xf numFmtId="3" fontId="7" fillId="6" borderId="0" xfId="0" applyNumberFormat="1" applyFont="1" applyFill="1" applyAlignment="1">
      <alignment horizontal="center" vertical="center" wrapText="1"/>
    </xf>
    <xf numFmtId="3" fontId="7" fillId="6" borderId="7" xfId="0" applyNumberFormat="1" applyFont="1" applyFill="1" applyBorder="1" applyAlignment="1">
      <alignment horizontal="center" vertical="center" wrapText="1"/>
    </xf>
    <xf numFmtId="0" fontId="25" fillId="2" borderId="0" xfId="0" applyFont="1" applyFill="1"/>
    <xf numFmtId="0" fontId="7" fillId="6" borderId="7" xfId="0" applyFont="1" applyFill="1" applyBorder="1" applyAlignment="1">
      <alignment horizontal="center" vertical="center" wrapText="1"/>
    </xf>
    <xf numFmtId="0" fontId="0" fillId="17" borderId="0" xfId="0" applyFill="1"/>
    <xf numFmtId="0" fontId="26" fillId="2" borderId="0" xfId="0" applyFont="1" applyFill="1" applyAlignment="1">
      <alignment vertical="center" wrapText="1"/>
    </xf>
    <xf numFmtId="0" fontId="7" fillId="18" borderId="8" xfId="0" applyFont="1" applyFill="1" applyBorder="1" applyAlignment="1">
      <alignment horizontal="center" vertical="center" wrapText="1"/>
    </xf>
    <xf numFmtId="3" fontId="7" fillId="18" borderId="0" xfId="0" applyNumberFormat="1" applyFont="1" applyFill="1" applyAlignment="1">
      <alignment horizontal="center" vertical="center" wrapText="1"/>
    </xf>
    <xf numFmtId="3" fontId="7" fillId="18" borderId="8" xfId="0" applyNumberFormat="1" applyFont="1" applyFill="1" applyBorder="1" applyAlignment="1">
      <alignment horizontal="center" vertical="center" wrapText="1"/>
    </xf>
    <xf numFmtId="3" fontId="7" fillId="6" borderId="9" xfId="0" applyNumberFormat="1" applyFont="1" applyFill="1" applyBorder="1" applyAlignment="1">
      <alignment horizontal="center" vertical="center" wrapText="1"/>
    </xf>
    <xf numFmtId="0" fontId="7" fillId="6" borderId="8" xfId="0" applyFont="1" applyFill="1" applyBorder="1" applyAlignment="1">
      <alignment horizontal="center" vertical="center" wrapText="1"/>
    </xf>
    <xf numFmtId="0" fontId="23" fillId="2" borderId="0" xfId="0" applyFont="1" applyFill="1" applyAlignment="1">
      <alignment horizontal="left" vertical="center"/>
    </xf>
    <xf numFmtId="0" fontId="23" fillId="2" borderId="0" xfId="0" applyFont="1" applyFill="1" applyAlignment="1">
      <alignment horizontal="left" wrapText="1"/>
    </xf>
    <xf numFmtId="9" fontId="7" fillId="19" borderId="0" xfId="1" applyFont="1" applyFill="1" applyBorder="1" applyAlignment="1">
      <alignment horizontal="center" vertical="center" wrapText="1"/>
    </xf>
    <xf numFmtId="0" fontId="7" fillId="19" borderId="0" xfId="0" applyFont="1" applyFill="1" applyAlignment="1">
      <alignment horizontal="center" vertical="center" wrapText="1"/>
    </xf>
    <xf numFmtId="0" fontId="7" fillId="20" borderId="7" xfId="0" applyFont="1" applyFill="1" applyBorder="1" applyAlignment="1">
      <alignment horizontal="center" vertical="center" wrapText="1"/>
    </xf>
    <xf numFmtId="9" fontId="7" fillId="20" borderId="7" xfId="1" applyFont="1" applyFill="1" applyBorder="1" applyAlignment="1">
      <alignment horizontal="center" vertical="center" wrapText="1"/>
    </xf>
    <xf numFmtId="0" fontId="12" fillId="2" borderId="0" xfId="0" applyFont="1" applyFill="1" applyAlignment="1">
      <alignment horizontal="center" vertical="top" wrapText="1"/>
    </xf>
    <xf numFmtId="0" fontId="14" fillId="2" borderId="0" xfId="0" applyFont="1" applyFill="1" applyAlignment="1">
      <alignment horizontal="left" vertical="center" wrapText="1"/>
    </xf>
    <xf numFmtId="0" fontId="13" fillId="2" borderId="0" xfId="0" applyFont="1" applyFill="1" applyAlignment="1">
      <alignment horizontal="left" vertical="center" wrapText="1"/>
    </xf>
    <xf numFmtId="0" fontId="18" fillId="2" borderId="0" xfId="0" applyFont="1" applyFill="1" applyAlignment="1">
      <alignment horizontal="center" vertical="center"/>
    </xf>
    <xf numFmtId="0" fontId="12" fillId="2" borderId="0" xfId="0" applyFont="1" applyFill="1" applyAlignment="1">
      <alignment horizontal="center" vertical="center" wrapText="1"/>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2" fillId="2" borderId="0" xfId="0" applyFont="1" applyFill="1" applyAlignment="1">
      <alignment horizontal="left" vertical="center" wrapText="1"/>
    </xf>
    <xf numFmtId="0" fontId="16" fillId="2" borderId="0" xfId="0" applyFont="1" applyFill="1" applyAlignment="1">
      <alignment horizontal="left" vertical="center"/>
    </xf>
    <xf numFmtId="0" fontId="17" fillId="2" borderId="0" xfId="0" applyFont="1" applyFill="1" applyAlignment="1">
      <alignment horizontal="left" vertical="center" wrapText="1" indent="1"/>
    </xf>
    <xf numFmtId="0" fontId="10" fillId="2" borderId="0" xfId="0" applyFont="1" applyFill="1" applyAlignment="1">
      <alignment horizontal="center" vertical="center" wrapText="1"/>
    </xf>
    <xf numFmtId="0" fontId="5" fillId="2" borderId="0" xfId="0" applyFont="1" applyFill="1" applyAlignment="1">
      <alignment horizontal="center"/>
    </xf>
    <xf numFmtId="0" fontId="3" fillId="2" borderId="0" xfId="0" applyFont="1" applyFill="1" applyAlignment="1">
      <alignment horizontal="center" vertical="center" wrapText="1"/>
    </xf>
    <xf numFmtId="0" fontId="13" fillId="2" borderId="0" xfId="0" applyFont="1" applyFill="1" applyAlignment="1">
      <alignment horizontal="right"/>
    </xf>
    <xf numFmtId="0" fontId="13" fillId="3" borderId="1" xfId="0" applyFont="1" applyFill="1" applyBorder="1" applyAlignment="1" applyProtection="1">
      <alignment horizontal="left"/>
      <protection locked="0"/>
    </xf>
    <xf numFmtId="0" fontId="13" fillId="3" borderId="2" xfId="0" applyFont="1" applyFill="1" applyBorder="1" applyAlignment="1" applyProtection="1">
      <alignment horizontal="left"/>
      <protection locked="0"/>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165" fontId="13" fillId="2" borderId="5" xfId="1" applyNumberFormat="1" applyFont="1" applyFill="1" applyBorder="1" applyAlignment="1">
      <alignment horizontal="center" vertical="center"/>
    </xf>
    <xf numFmtId="165" fontId="13" fillId="2" borderId="6" xfId="1"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2"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2" xfId="0" applyFont="1" applyFill="1" applyBorder="1" applyAlignment="1">
      <alignment horizontal="center" vertical="center"/>
    </xf>
    <xf numFmtId="0" fontId="12" fillId="2" borderId="0" xfId="0" applyFont="1" applyFill="1" applyAlignment="1">
      <alignment horizontal="left" vertical="center" wrapText="1" indent="2"/>
    </xf>
    <xf numFmtId="0" fontId="12" fillId="2" borderId="0" xfId="0" applyFont="1" applyFill="1" applyAlignment="1">
      <alignment horizontal="left" vertical="center" indent="2"/>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2" xfId="0" applyFont="1" applyFill="1" applyBorder="1" applyAlignment="1">
      <alignment horizontal="center" vertical="center"/>
    </xf>
    <xf applyNumberFormat="1" borderId="0" fillId="0" fontId="0" numFmtId="166" xfId="0"/>
    <xf applyNumberFormat="1" borderId="0" fillId="0" fontId="0" numFmtId="167" xfId="0"/>
    <xf applyNumberFormat="1" borderId="0" fillId="0" fontId="0" numFmtId="168" xfId="0"/>
    <xf applyNumberFormat="1" borderId="0" fillId="0" fontId="0" numFmtId="169" xfId="0"/>
    <xf applyNumberFormat="1" borderId="0" fillId="0" fontId="0" numFmtId="170" xfId="0"/>
    <xf applyNumberFormat="1" borderId="0" fillId="0" fontId="0" numFmtId="171" xfId="0"/>
  </cellXfs>
  <cellStyles count="2">
    <cellStyle name="Normal" xfId="0" builtinId="0"/>
    <cellStyle name="Porcentaje" xfId="1" builtinId="5"/>
  </cellStyles>
  <dxfs count="4">
    <dxf>
      <fill>
        <patternFill>
          <bgColor rgb="FFE399DC"/>
        </patternFill>
      </fill>
    </dxf>
    <dxf>
      <fill>
        <patternFill>
          <bgColor rgb="FFE399DC"/>
        </patternFill>
      </fill>
    </dxf>
    <dxf>
      <fill>
        <patternFill>
          <bgColor rgb="FFE399DC"/>
        </patternFill>
      </fill>
    </dxf>
    <dxf>
      <fill>
        <patternFill>
          <bgColor rgb="FFE399DC"/>
        </patternFill>
      </fill>
    </dxf>
  </dxfs>
  <colors>
    <mruColors>
      <color rgb="FFBAD7F4"/>
      <color rgb="FF9FC5EB"/>
      <color rgb="FFDAE9F9"/>
      <color rgb="FF000000"/>
      <color rgb="FFFEBFBA"/>
      <color rgb="FFFFFA9F"/>
      <color rgb="FF3A3A3A"/>
      <color rgb="FF9BF5C4"/>
      <color rgb="FF00DA63"/>
      <color rgb="FFFFF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Sector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285211219379314"/>
          <c:y val="8.7741223811904287E-2"/>
          <c:w val="0.66819877250944681"/>
          <c:h val="0.83957062058195309"/>
        </c:manualLayout>
      </c:layout>
      <c:barChart>
        <c:barDir val="bar"/>
        <c:grouping val="clustered"/>
        <c:varyColors val="0"/>
        <c:ser>
          <c:idx val="0"/>
          <c:order val="0"/>
          <c:spPr>
            <a:solidFill>
              <a:srgbClr val="60B99A"/>
            </a:solidFill>
            <a:ln>
              <a:noFill/>
            </a:ln>
            <a:effectLst/>
          </c:spPr>
          <c:invertIfNegative val="0"/>
          <c:dLbls>
            <c:dLbl>
              <c:idx val="0"/>
              <c:tx>
                <c:rich>
                  <a:bodyPr/>
                  <a:lstStyle/>
                  <a:p>
                    <a:fld id="{86708646-06F0-44BF-B40F-8187AA71B70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F2B-459C-AC47-38F1A835D05B}"/>
                </c:ext>
              </c:extLst>
            </c:dLbl>
            <c:dLbl>
              <c:idx val="1"/>
              <c:tx>
                <c:rich>
                  <a:bodyPr/>
                  <a:lstStyle/>
                  <a:p>
                    <a:fld id="{2C7022E3-3026-45EE-BBAA-C1490968329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2B-459C-AC47-38F1A835D05B}"/>
                </c:ext>
              </c:extLst>
            </c:dLbl>
            <c:dLbl>
              <c:idx val="2"/>
              <c:tx>
                <c:rich>
                  <a:bodyPr/>
                  <a:lstStyle/>
                  <a:p>
                    <a:fld id="{78AA829D-06C3-44E9-A13E-C43AE53F1AC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2B-459C-AC47-38F1A835D05B}"/>
                </c:ext>
              </c:extLst>
            </c:dLbl>
            <c:dLbl>
              <c:idx val="3"/>
              <c:tx>
                <c:rich>
                  <a:bodyPr/>
                  <a:lstStyle/>
                  <a:p>
                    <a:fld id="{D7D10F66-7E09-4EED-955D-B625B5DB552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F2B-459C-AC47-38F1A835D05B}"/>
                </c:ext>
              </c:extLst>
            </c:dLbl>
            <c:dLbl>
              <c:idx val="4"/>
              <c:tx>
                <c:rich>
                  <a:bodyPr/>
                  <a:lstStyle/>
                  <a:p>
                    <a:fld id="{C8A54928-30D5-44DC-BD36-028F3AE9CD1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2B-459C-AC47-38F1A835D05B}"/>
                </c:ext>
              </c:extLst>
            </c:dLbl>
            <c:dLbl>
              <c:idx val="5"/>
              <c:tx>
                <c:rich>
                  <a:bodyPr/>
                  <a:lstStyle/>
                  <a:p>
                    <a:fld id="{97172F8E-1965-4A90-9198-0988BC6E696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F2B-459C-AC47-38F1A835D05B}"/>
                </c:ext>
              </c:extLst>
            </c:dLbl>
            <c:dLbl>
              <c:idx val="6"/>
              <c:tx>
                <c:rich>
                  <a:bodyPr/>
                  <a:lstStyle/>
                  <a:p>
                    <a:fld id="{49611170-3CBD-425A-A8EC-D314CB7C08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F2B-459C-AC47-38F1A835D05B}"/>
                </c:ext>
              </c:extLst>
            </c:dLbl>
            <c:dLbl>
              <c:idx val="7"/>
              <c:tx>
                <c:rich>
                  <a:bodyPr/>
                  <a:lstStyle/>
                  <a:p>
                    <a:fld id="{F109D7FC-81F2-4199-BD85-F88BDFB7278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2B-459C-AC47-38F1A835D05B}"/>
                </c:ext>
              </c:extLst>
            </c:dLbl>
            <c:dLbl>
              <c:idx val="8"/>
              <c:tx>
                <c:rich>
                  <a:bodyPr/>
                  <a:lstStyle/>
                  <a:p>
                    <a:fld id="{E02D7E04-CD3E-4E75-82C0-2F3E4DFC147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2B-459C-AC47-38F1A835D05B}"/>
                </c:ext>
              </c:extLst>
            </c:dLbl>
            <c:dLbl>
              <c:idx val="9"/>
              <c:tx>
                <c:rich>
                  <a:bodyPr/>
                  <a:lstStyle/>
                  <a:p>
                    <a:fld id="{AF052F5F-396D-4EEE-999B-B986DD033C2B}"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F2B-459C-AC47-38F1A835D05B}"/>
                </c:ext>
              </c:extLst>
            </c:dLbl>
            <c:dLbl>
              <c:idx val="10"/>
              <c:tx>
                <c:rich>
                  <a:bodyPr/>
                  <a:lstStyle/>
                  <a:p>
                    <a:fld id="{D5E2608F-9C10-499B-B8BA-E305709532B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F2B-459C-AC47-38F1A835D05B}"/>
                </c:ext>
              </c:extLst>
            </c:dLbl>
            <c:dLbl>
              <c:idx val="11"/>
              <c:tx>
                <c:rich>
                  <a:bodyPr/>
                  <a:lstStyle/>
                  <a:p>
                    <a:fld id="{39E62150-EF8F-4D6B-844D-9C62C347D3B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F2B-459C-AC47-38F1A835D05B}"/>
                </c:ext>
              </c:extLst>
            </c:dLbl>
            <c:dLbl>
              <c:idx val="12"/>
              <c:tx>
                <c:rich>
                  <a:bodyPr/>
                  <a:lstStyle/>
                  <a:p>
                    <a:fld id="{264EBC48-1D27-4E15-8F61-8E11FCE406C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F2B-459C-AC47-38F1A835D05B}"/>
                </c:ext>
              </c:extLst>
            </c:dLbl>
            <c:dLbl>
              <c:idx val="13"/>
              <c:tx>
                <c:rich>
                  <a:bodyPr/>
                  <a:lstStyle/>
                  <a:p>
                    <a:fld id="{AD24E199-D8D9-4065-BBCE-418B024AA63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F2B-459C-AC47-38F1A835D05B}"/>
                </c:ext>
              </c:extLst>
            </c:dLbl>
            <c:dLbl>
              <c:idx val="14"/>
              <c:tx>
                <c:rich>
                  <a:bodyPr/>
                  <a:lstStyle/>
                  <a:p>
                    <a:fld id="{02388BC9-250E-4D3A-B0F9-19857A5FF0D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F2B-459C-AC47-38F1A835D05B}"/>
                </c:ext>
              </c:extLst>
            </c:dLbl>
            <c:dLbl>
              <c:idx val="15"/>
              <c:tx>
                <c:rich>
                  <a:bodyPr/>
                  <a:lstStyle/>
                  <a:p>
                    <a:fld id="{24F79D1B-D92E-41AB-A845-0C3F366CF11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F2B-459C-AC47-38F1A835D05B}"/>
                </c:ext>
              </c:extLst>
            </c:dLbl>
            <c:dLbl>
              <c:idx val="16"/>
              <c:tx>
                <c:rich>
                  <a:bodyPr/>
                  <a:lstStyle/>
                  <a:p>
                    <a:fld id="{C5DCE0FB-86E1-467A-9A09-53027ACFD2A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F2B-459C-AC47-38F1A835D05B}"/>
                </c:ext>
              </c:extLst>
            </c:dLbl>
            <c:dLbl>
              <c:idx val="17"/>
              <c:tx>
                <c:rich>
                  <a:bodyPr/>
                  <a:lstStyle/>
                  <a:p>
                    <a:fld id="{2B424381-83F0-4D59-BEFC-C48692F2295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C1-4C7A-88EA-67AAE2953991}"/>
                </c:ext>
              </c:extLst>
            </c:dLbl>
            <c:dLbl>
              <c:idx val="18"/>
              <c:tx>
                <c:rich>
                  <a:bodyPr/>
                  <a:lstStyle/>
                  <a:p>
                    <a:fld id="{CD61F6A7-3480-4FDE-99C1-7161DF8A22F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1-4C7A-88EA-67AAE295399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Resumen!$B$24:$B$42</c:f>
              <c:strCache>
                <c:ptCount val="19"/>
                <c:pt idx="0">
                  <c:v>Agricultura y desarrollo rural
</c:v>
                </c:pt>
                <c:pt idx="1">
                  <c:v>Ambiente y desarrollo sostenible</c:v>
                </c:pt>
                <c:pt idx="2">
                  <c:v>Ciencia, tecnología e innovación
</c:v>
                </c:pt>
                <c:pt idx="3">
                  <c:v>Comercio, industria y turismo</c:v>
                </c:pt>
                <c:pt idx="4">
                  <c:v>Cultura</c:v>
                </c:pt>
                <c:pt idx="5">
                  <c:v>Defensa y policía</c:v>
                </c:pt>
                <c:pt idx="6">
                  <c:v>Deporte y recreación</c:v>
                </c:pt>
                <c:pt idx="7">
                  <c:v>Educación</c:v>
                </c:pt>
                <c:pt idx="8">
                  <c:v>Gobierno territorial</c:v>
                </c:pt>
                <c:pt idx="9">
                  <c:v>Inclusión social y reconciliación </c:v>
                </c:pt>
                <c:pt idx="10">
                  <c:v>Información estadística</c:v>
                </c:pt>
                <c:pt idx="11">
                  <c:v>Justicia y del derecho</c:v>
                </c:pt>
                <c:pt idx="12">
                  <c:v>Minas y energía</c:v>
                </c:pt>
                <c:pt idx="13">
                  <c:v>Organismos de control</c:v>
                </c:pt>
                <c:pt idx="14">
                  <c:v>Salud y protección social</c:v>
                </c:pt>
                <c:pt idx="15">
                  <c:v>Tecnologías de la información y las comunicaciones</c:v>
                </c:pt>
                <c:pt idx="16">
                  <c:v>Trabajo</c:v>
                </c:pt>
                <c:pt idx="17">
                  <c:v>Transporte</c:v>
                </c:pt>
                <c:pt idx="18">
                  <c:v>Vivienda, ciudad y territorio</c:v>
                </c:pt>
              </c:strCache>
            </c:strRef>
          </c:cat>
          <c:val>
            <c:numRef>
              <c:f>Resumen!$H$24:$H$42</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5="http://schemas.microsoft.com/office/drawing/2012/chart" uri="{02D57815-91ED-43cb-92C2-25804820EDAC}">
              <c15:datalabelsRange>
                <c15:f>Resumen!$I$24:$I$42</c15:f>
                <c15:dlblRangeCache>
                  <c:ptCount val="19"/>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pt idx="17">
                    <c:v>#¡DIV/0!</c:v>
                  </c:pt>
                  <c:pt idx="18">
                    <c:v>#¡DIV/0!</c:v>
                  </c:pt>
                </c15:dlblRangeCache>
              </c15:datalabelsRange>
            </c:ext>
            <c:ext xmlns:c16="http://schemas.microsoft.com/office/drawing/2014/chart" uri="{C3380CC4-5D6E-409C-BE32-E72D297353CC}">
              <c16:uniqueId val="{00000000-D22C-4ED8-BDA6-0A0B48D78EAC}"/>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Fuente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13606656108496"/>
          <c:y val="0.11659932659932661"/>
          <c:w val="0.66195950718624774"/>
          <c:h val="0.81071263819295314"/>
        </c:manualLayout>
      </c:layout>
      <c:barChart>
        <c:barDir val="bar"/>
        <c:grouping val="clustered"/>
        <c:varyColors val="0"/>
        <c:ser>
          <c:idx val="0"/>
          <c:order val="0"/>
          <c:spPr>
            <a:solidFill>
              <a:srgbClr val="60B99A"/>
            </a:solidFill>
            <a:ln>
              <a:noFill/>
            </a:ln>
            <a:effectLst/>
          </c:spPr>
          <c:invertIfNegative val="0"/>
          <c:dLbls>
            <c:dLbl>
              <c:idx val="0"/>
              <c:tx>
                <c:rich>
                  <a:bodyPr/>
                  <a:lstStyle/>
                  <a:p>
                    <a:fld id="{AF31F109-E2A0-474B-B3A5-3A9A5DB496F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617-4F11-BAC5-7BA1F1DD7D9F}"/>
                </c:ext>
              </c:extLst>
            </c:dLbl>
            <c:dLbl>
              <c:idx val="1"/>
              <c:tx>
                <c:rich>
                  <a:bodyPr/>
                  <a:lstStyle/>
                  <a:p>
                    <a:fld id="{060257C4-140B-42A8-A2D9-38EFBC2E755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617-4F11-BAC5-7BA1F1DD7D9F}"/>
                </c:ext>
              </c:extLst>
            </c:dLbl>
            <c:dLbl>
              <c:idx val="2"/>
              <c:tx>
                <c:rich>
                  <a:bodyPr/>
                  <a:lstStyle/>
                  <a:p>
                    <a:fld id="{7C94BC16-5003-41C8-B7A4-4542297968E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617-4F11-BAC5-7BA1F1DD7D9F}"/>
                </c:ext>
              </c:extLst>
            </c:dLbl>
            <c:dLbl>
              <c:idx val="3"/>
              <c:tx>
                <c:rich>
                  <a:bodyPr/>
                  <a:lstStyle/>
                  <a:p>
                    <a:fld id="{E6150B31-7895-4C1C-8C69-A84BDDD5300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617-4F11-BAC5-7BA1F1DD7D9F}"/>
                </c:ext>
              </c:extLst>
            </c:dLbl>
            <c:dLbl>
              <c:idx val="4"/>
              <c:tx>
                <c:rich>
                  <a:bodyPr/>
                  <a:lstStyle/>
                  <a:p>
                    <a:fld id="{C19A5466-F034-47EE-941A-5F0A3869D00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617-4F11-BAC5-7BA1F1DD7D9F}"/>
                </c:ext>
              </c:extLst>
            </c:dLbl>
            <c:dLbl>
              <c:idx val="5"/>
              <c:tx>
                <c:rich>
                  <a:bodyPr/>
                  <a:lstStyle/>
                  <a:p>
                    <a:fld id="{5947835D-2CD4-4DFF-BC64-45F77FD0F88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617-4F11-BAC5-7BA1F1DD7D9F}"/>
                </c:ext>
              </c:extLst>
            </c:dLbl>
            <c:dLbl>
              <c:idx val="6"/>
              <c:tx>
                <c:rich>
                  <a:bodyPr/>
                  <a:lstStyle/>
                  <a:p>
                    <a:fld id="{52049E1F-F3E6-430C-AD4C-7504BB5ABB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617-4F11-BAC5-7BA1F1DD7D9F}"/>
                </c:ext>
              </c:extLst>
            </c:dLbl>
            <c:dLbl>
              <c:idx val="7"/>
              <c:tx>
                <c:rich>
                  <a:bodyPr/>
                  <a:lstStyle/>
                  <a:p>
                    <a:fld id="{EFD07103-F02D-40DF-92C7-414533F835F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617-4F11-BAC5-7BA1F1DD7D9F}"/>
                </c:ext>
              </c:extLst>
            </c:dLbl>
            <c:dLbl>
              <c:idx val="8"/>
              <c:tx>
                <c:rich>
                  <a:bodyPr/>
                  <a:lstStyle/>
                  <a:p>
                    <a:fld id="{8D9C4F3B-D655-4FC5-A40C-231B90085D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617-4F11-BAC5-7BA1F1DD7D9F}"/>
                </c:ext>
              </c:extLst>
            </c:dLbl>
            <c:dLbl>
              <c:idx val="9"/>
              <c:tx>
                <c:rich>
                  <a:bodyPr/>
                  <a:lstStyle/>
                  <a:p>
                    <a:fld id="{5C0CDC46-A759-4ED3-A91F-E795A25EAC5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617-4F11-BAC5-7BA1F1DD7D9F}"/>
                </c:ext>
              </c:extLst>
            </c:dLbl>
            <c:dLbl>
              <c:idx val="10"/>
              <c:tx>
                <c:rich>
                  <a:bodyPr/>
                  <a:lstStyle/>
                  <a:p>
                    <a:fld id="{1DA2A256-7981-40DD-B0CD-1B491907602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617-4F11-BAC5-7BA1F1DD7D9F}"/>
                </c:ext>
              </c:extLst>
            </c:dLbl>
            <c:dLbl>
              <c:idx val="11"/>
              <c:tx>
                <c:rich>
                  <a:bodyPr/>
                  <a:lstStyle/>
                  <a:p>
                    <a:fld id="{52AFE0E4-2604-44D2-A878-1E251E0083B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617-4F11-BAC5-7BA1F1DD7D9F}"/>
                </c:ext>
              </c:extLst>
            </c:dLbl>
            <c:dLbl>
              <c:idx val="12"/>
              <c:tx>
                <c:rich>
                  <a:bodyPr/>
                  <a:lstStyle/>
                  <a:p>
                    <a:fld id="{AEFD0834-552C-445A-84EF-D2E10976A9C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617-4F11-BAC5-7BA1F1DD7D9F}"/>
                </c:ext>
              </c:extLst>
            </c:dLbl>
            <c:dLbl>
              <c:idx val="13"/>
              <c:tx>
                <c:rich>
                  <a:bodyPr/>
                  <a:lstStyle/>
                  <a:p>
                    <a:fld id="{25901E1D-616C-4851-B06C-C50099DBE4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617-4F11-BAC5-7BA1F1DD7D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Resumen!$B$43:$B$56</c:f>
              <c:strCache>
                <c:ptCount val="14"/>
                <c:pt idx="0">
                  <c:v>Recursos propios</c:v>
                </c:pt>
                <c:pt idx="1">
                  <c:v>SGP educación</c:v>
                </c:pt>
                <c:pt idx="2">
                  <c:v>SGP salud</c:v>
                </c:pt>
                <c:pt idx="3">
                  <c:v>SGP deporte</c:v>
                </c:pt>
                <c:pt idx="4">
                  <c:v>SGP cultura</c:v>
                </c:pt>
                <c:pt idx="5">
                  <c:v>SGP libre inversión</c:v>
                </c:pt>
                <c:pt idx="6">
                  <c:v>SGP libre destinación</c:v>
                </c:pt>
                <c:pt idx="7">
                  <c:v>SGP alimentación escolar</c:v>
                </c:pt>
                <c:pt idx="8">
                  <c:v>SGP municipios Rio Magdalena</c:v>
                </c:pt>
                <c:pt idx="9">
                  <c:v>SGP APSB</c:v>
                </c:pt>
                <c:pt idx="10">
                  <c:v>Crédito</c:v>
                </c:pt>
                <c:pt idx="11">
                  <c:v>Transf. capital - Cof. departamento</c:v>
                </c:pt>
                <c:pt idx="12">
                  <c:v>Transf. capital - Cof. Nación</c:v>
                </c:pt>
                <c:pt idx="13">
                  <c:v>Otros</c:v>
                </c:pt>
              </c:strCache>
            </c:strRef>
          </c:cat>
          <c:val>
            <c:numRef>
              <c:f>Resumen!$H$43:$H$56</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5="http://schemas.microsoft.com/office/drawing/2012/chart" uri="{02D57815-91ED-43cb-92C2-25804820EDAC}">
              <c15:datalabelsRange>
                <c15:f>Resumen!$I$43:$I$56</c15:f>
                <c15:dlblRangeCache>
                  <c:ptCount val="14"/>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15:dlblRangeCache>
              </c15:datalabelsRange>
            </c:ext>
            <c:ext xmlns:c16="http://schemas.microsoft.com/office/drawing/2014/chart" uri="{C3380CC4-5D6E-409C-BE32-E72D297353CC}">
              <c16:uniqueId val="{00000000-2975-4577-BF15-5AE863F38509}"/>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ODS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30024638334349618"/>
          <c:y val="0.11659932659932661"/>
          <c:w val="0.64307378244386126"/>
          <c:h val="0.81071263819295314"/>
        </c:manualLayout>
      </c:layout>
      <c:barChart>
        <c:barDir val="bar"/>
        <c:grouping val="clustered"/>
        <c:varyColors val="0"/>
        <c:ser>
          <c:idx val="0"/>
          <c:order val="0"/>
          <c:spPr>
            <a:solidFill>
              <a:srgbClr val="E5243B"/>
            </a:solidFill>
            <a:ln>
              <a:noFill/>
            </a:ln>
            <a:effectLst/>
          </c:spPr>
          <c:invertIfNegative val="0"/>
          <c:dPt>
            <c:idx val="1"/>
            <c:invertIfNegative val="0"/>
            <c:bubble3D val="0"/>
            <c:spPr>
              <a:solidFill>
                <a:srgbClr val="DDA83A"/>
              </a:solidFill>
              <a:ln>
                <a:noFill/>
              </a:ln>
              <a:effectLst/>
            </c:spPr>
            <c:extLst>
              <c:ext xmlns:c16="http://schemas.microsoft.com/office/drawing/2014/chart" uri="{C3380CC4-5D6E-409C-BE32-E72D297353CC}">
                <c16:uniqueId val="{00000001-53F3-4BB8-BEDE-49888A2550F4}"/>
              </c:ext>
            </c:extLst>
          </c:dPt>
          <c:dPt>
            <c:idx val="2"/>
            <c:invertIfNegative val="0"/>
            <c:bubble3D val="0"/>
            <c:spPr>
              <a:solidFill>
                <a:srgbClr val="4C9F38"/>
              </a:solidFill>
              <a:ln>
                <a:noFill/>
              </a:ln>
              <a:effectLst/>
            </c:spPr>
            <c:extLst>
              <c:ext xmlns:c16="http://schemas.microsoft.com/office/drawing/2014/chart" uri="{C3380CC4-5D6E-409C-BE32-E72D297353CC}">
                <c16:uniqueId val="{00000002-53F3-4BB8-BEDE-49888A2550F4}"/>
              </c:ext>
            </c:extLst>
          </c:dPt>
          <c:dPt>
            <c:idx val="3"/>
            <c:invertIfNegative val="0"/>
            <c:bubble3D val="0"/>
            <c:spPr>
              <a:solidFill>
                <a:srgbClr val="C5192D"/>
              </a:solidFill>
              <a:ln>
                <a:noFill/>
              </a:ln>
              <a:effectLst/>
            </c:spPr>
            <c:extLst>
              <c:ext xmlns:c16="http://schemas.microsoft.com/office/drawing/2014/chart" uri="{C3380CC4-5D6E-409C-BE32-E72D297353CC}">
                <c16:uniqueId val="{00000003-53F3-4BB8-BEDE-49888A2550F4}"/>
              </c:ext>
            </c:extLst>
          </c:dPt>
          <c:dPt>
            <c:idx val="4"/>
            <c:invertIfNegative val="0"/>
            <c:bubble3D val="0"/>
            <c:spPr>
              <a:solidFill>
                <a:srgbClr val="FF3A21"/>
              </a:solidFill>
              <a:ln>
                <a:noFill/>
              </a:ln>
              <a:effectLst/>
            </c:spPr>
            <c:extLst>
              <c:ext xmlns:c16="http://schemas.microsoft.com/office/drawing/2014/chart" uri="{C3380CC4-5D6E-409C-BE32-E72D297353CC}">
                <c16:uniqueId val="{00000004-53F3-4BB8-BEDE-49888A2550F4}"/>
              </c:ext>
            </c:extLst>
          </c:dPt>
          <c:dPt>
            <c:idx val="5"/>
            <c:invertIfNegative val="0"/>
            <c:bubble3D val="0"/>
            <c:spPr>
              <a:solidFill>
                <a:srgbClr val="26BDE2"/>
              </a:solidFill>
              <a:ln>
                <a:noFill/>
              </a:ln>
              <a:effectLst/>
            </c:spPr>
            <c:extLst>
              <c:ext xmlns:c16="http://schemas.microsoft.com/office/drawing/2014/chart" uri="{C3380CC4-5D6E-409C-BE32-E72D297353CC}">
                <c16:uniqueId val="{00000005-53F3-4BB8-BEDE-49888A2550F4}"/>
              </c:ext>
            </c:extLst>
          </c:dPt>
          <c:dPt>
            <c:idx val="6"/>
            <c:invertIfNegative val="0"/>
            <c:bubble3D val="0"/>
            <c:spPr>
              <a:solidFill>
                <a:srgbClr val="FCC30B"/>
              </a:solidFill>
              <a:ln>
                <a:noFill/>
              </a:ln>
              <a:effectLst/>
            </c:spPr>
            <c:extLst>
              <c:ext xmlns:c16="http://schemas.microsoft.com/office/drawing/2014/chart" uri="{C3380CC4-5D6E-409C-BE32-E72D297353CC}">
                <c16:uniqueId val="{00000006-53F3-4BB8-BEDE-49888A2550F4}"/>
              </c:ext>
            </c:extLst>
          </c:dPt>
          <c:dPt>
            <c:idx val="7"/>
            <c:invertIfNegative val="0"/>
            <c:bubble3D val="0"/>
            <c:spPr>
              <a:solidFill>
                <a:srgbClr val="A21942"/>
              </a:solidFill>
              <a:ln>
                <a:noFill/>
              </a:ln>
              <a:effectLst/>
            </c:spPr>
            <c:extLst>
              <c:ext xmlns:c16="http://schemas.microsoft.com/office/drawing/2014/chart" uri="{C3380CC4-5D6E-409C-BE32-E72D297353CC}">
                <c16:uniqueId val="{00000007-53F3-4BB8-BEDE-49888A2550F4}"/>
              </c:ext>
            </c:extLst>
          </c:dPt>
          <c:dPt>
            <c:idx val="8"/>
            <c:invertIfNegative val="0"/>
            <c:bubble3D val="0"/>
            <c:spPr>
              <a:solidFill>
                <a:srgbClr val="FD6925"/>
              </a:solidFill>
              <a:ln>
                <a:noFill/>
              </a:ln>
              <a:effectLst/>
            </c:spPr>
            <c:extLst>
              <c:ext xmlns:c16="http://schemas.microsoft.com/office/drawing/2014/chart" uri="{C3380CC4-5D6E-409C-BE32-E72D297353CC}">
                <c16:uniqueId val="{00000008-53F3-4BB8-BEDE-49888A2550F4}"/>
              </c:ext>
            </c:extLst>
          </c:dPt>
          <c:dPt>
            <c:idx val="9"/>
            <c:invertIfNegative val="0"/>
            <c:bubble3D val="0"/>
            <c:spPr>
              <a:solidFill>
                <a:srgbClr val="DD1367"/>
              </a:solidFill>
              <a:ln>
                <a:noFill/>
              </a:ln>
              <a:effectLst/>
            </c:spPr>
            <c:extLst>
              <c:ext xmlns:c16="http://schemas.microsoft.com/office/drawing/2014/chart" uri="{C3380CC4-5D6E-409C-BE32-E72D297353CC}">
                <c16:uniqueId val="{00000009-53F3-4BB8-BEDE-49888A2550F4}"/>
              </c:ext>
            </c:extLst>
          </c:dPt>
          <c:dPt>
            <c:idx val="10"/>
            <c:invertIfNegative val="0"/>
            <c:bubble3D val="0"/>
            <c:spPr>
              <a:solidFill>
                <a:srgbClr val="FD9D24"/>
              </a:solidFill>
              <a:ln>
                <a:noFill/>
              </a:ln>
              <a:effectLst/>
            </c:spPr>
            <c:extLst>
              <c:ext xmlns:c16="http://schemas.microsoft.com/office/drawing/2014/chart" uri="{C3380CC4-5D6E-409C-BE32-E72D297353CC}">
                <c16:uniqueId val="{0000000A-53F3-4BB8-BEDE-49888A2550F4}"/>
              </c:ext>
            </c:extLst>
          </c:dPt>
          <c:dPt>
            <c:idx val="11"/>
            <c:invertIfNegative val="0"/>
            <c:bubble3D val="0"/>
            <c:spPr>
              <a:solidFill>
                <a:srgbClr val="BF8B2E"/>
              </a:solidFill>
              <a:ln>
                <a:noFill/>
              </a:ln>
              <a:effectLst/>
            </c:spPr>
            <c:extLst>
              <c:ext xmlns:c16="http://schemas.microsoft.com/office/drawing/2014/chart" uri="{C3380CC4-5D6E-409C-BE32-E72D297353CC}">
                <c16:uniqueId val="{0000000B-53F3-4BB8-BEDE-49888A2550F4}"/>
              </c:ext>
            </c:extLst>
          </c:dPt>
          <c:dPt>
            <c:idx val="12"/>
            <c:invertIfNegative val="0"/>
            <c:bubble3D val="0"/>
            <c:spPr>
              <a:solidFill>
                <a:srgbClr val="3F7E44"/>
              </a:solidFill>
              <a:ln>
                <a:noFill/>
              </a:ln>
              <a:effectLst/>
            </c:spPr>
            <c:extLst>
              <c:ext xmlns:c16="http://schemas.microsoft.com/office/drawing/2014/chart" uri="{C3380CC4-5D6E-409C-BE32-E72D297353CC}">
                <c16:uniqueId val="{0000000C-53F3-4BB8-BEDE-49888A2550F4}"/>
              </c:ext>
            </c:extLst>
          </c:dPt>
          <c:dPt>
            <c:idx val="13"/>
            <c:invertIfNegative val="0"/>
            <c:bubble3D val="0"/>
            <c:spPr>
              <a:solidFill>
                <a:srgbClr val="0A97D9"/>
              </a:solidFill>
              <a:ln>
                <a:noFill/>
              </a:ln>
              <a:effectLst/>
            </c:spPr>
            <c:extLst>
              <c:ext xmlns:c16="http://schemas.microsoft.com/office/drawing/2014/chart" uri="{C3380CC4-5D6E-409C-BE32-E72D297353CC}">
                <c16:uniqueId val="{0000000D-53F3-4BB8-BEDE-49888A2550F4}"/>
              </c:ext>
            </c:extLst>
          </c:dPt>
          <c:dPt>
            <c:idx val="14"/>
            <c:invertIfNegative val="0"/>
            <c:bubble3D val="0"/>
            <c:spPr>
              <a:solidFill>
                <a:srgbClr val="56C02B"/>
              </a:solidFill>
              <a:ln>
                <a:noFill/>
              </a:ln>
              <a:effectLst/>
            </c:spPr>
            <c:extLst>
              <c:ext xmlns:c16="http://schemas.microsoft.com/office/drawing/2014/chart" uri="{C3380CC4-5D6E-409C-BE32-E72D297353CC}">
                <c16:uniqueId val="{0000000E-53F3-4BB8-BEDE-49888A2550F4}"/>
              </c:ext>
            </c:extLst>
          </c:dPt>
          <c:dPt>
            <c:idx val="15"/>
            <c:invertIfNegative val="0"/>
            <c:bubble3D val="0"/>
            <c:spPr>
              <a:solidFill>
                <a:srgbClr val="00689D"/>
              </a:solidFill>
              <a:ln>
                <a:noFill/>
              </a:ln>
              <a:effectLst/>
            </c:spPr>
            <c:extLst>
              <c:ext xmlns:c16="http://schemas.microsoft.com/office/drawing/2014/chart" uri="{C3380CC4-5D6E-409C-BE32-E72D297353CC}">
                <c16:uniqueId val="{0000000F-53F3-4BB8-BEDE-49888A2550F4}"/>
              </c:ext>
            </c:extLst>
          </c:dPt>
          <c:dPt>
            <c:idx val="16"/>
            <c:invertIfNegative val="0"/>
            <c:bubble3D val="0"/>
            <c:spPr>
              <a:solidFill>
                <a:srgbClr val="19486A"/>
              </a:solidFill>
              <a:ln>
                <a:noFill/>
              </a:ln>
              <a:effectLst/>
            </c:spPr>
            <c:extLst>
              <c:ext xmlns:c16="http://schemas.microsoft.com/office/drawing/2014/chart" uri="{C3380CC4-5D6E-409C-BE32-E72D297353CC}">
                <c16:uniqueId val="{00000010-53F3-4BB8-BEDE-49888A2550F4}"/>
              </c:ext>
            </c:extLst>
          </c:dPt>
          <c:dLbls>
            <c:dLbl>
              <c:idx val="0"/>
              <c:tx>
                <c:rich>
                  <a:bodyPr/>
                  <a:lstStyle/>
                  <a:p>
                    <a:fld id="{95F31C71-4B0F-44BE-A7A2-79BFF34C705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BBC-46F3-A28A-52E739701722}"/>
                </c:ext>
              </c:extLst>
            </c:dLbl>
            <c:dLbl>
              <c:idx val="1"/>
              <c:tx>
                <c:rich>
                  <a:bodyPr/>
                  <a:lstStyle/>
                  <a:p>
                    <a:fld id="{4543A26A-DD93-4AE9-B989-8EA46ECEE43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F3-4BB8-BEDE-49888A2550F4}"/>
                </c:ext>
              </c:extLst>
            </c:dLbl>
            <c:dLbl>
              <c:idx val="2"/>
              <c:tx>
                <c:rich>
                  <a:bodyPr/>
                  <a:lstStyle/>
                  <a:p>
                    <a:fld id="{87A535A8-5761-43E1-B6E0-9EA25E7B8F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F3-4BB8-BEDE-49888A2550F4}"/>
                </c:ext>
              </c:extLst>
            </c:dLbl>
            <c:dLbl>
              <c:idx val="3"/>
              <c:tx>
                <c:rich>
                  <a:bodyPr/>
                  <a:lstStyle/>
                  <a:p>
                    <a:fld id="{B9C2BA72-5580-45B0-8CE4-7E2D896CE42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F3-4BB8-BEDE-49888A2550F4}"/>
                </c:ext>
              </c:extLst>
            </c:dLbl>
            <c:dLbl>
              <c:idx val="4"/>
              <c:tx>
                <c:rich>
                  <a:bodyPr/>
                  <a:lstStyle/>
                  <a:p>
                    <a:fld id="{D9951E17-7184-41F5-8859-B856DFC7389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F3-4BB8-BEDE-49888A2550F4}"/>
                </c:ext>
              </c:extLst>
            </c:dLbl>
            <c:dLbl>
              <c:idx val="5"/>
              <c:tx>
                <c:rich>
                  <a:bodyPr/>
                  <a:lstStyle/>
                  <a:p>
                    <a:fld id="{0791B2CB-C2DC-4BCB-9A09-90D145631D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F3-4BB8-BEDE-49888A2550F4}"/>
                </c:ext>
              </c:extLst>
            </c:dLbl>
            <c:dLbl>
              <c:idx val="6"/>
              <c:tx>
                <c:rich>
                  <a:bodyPr/>
                  <a:lstStyle/>
                  <a:p>
                    <a:fld id="{7F6CE039-90F7-471C-9102-3B58031251D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F3-4BB8-BEDE-49888A2550F4}"/>
                </c:ext>
              </c:extLst>
            </c:dLbl>
            <c:dLbl>
              <c:idx val="7"/>
              <c:tx>
                <c:rich>
                  <a:bodyPr/>
                  <a:lstStyle/>
                  <a:p>
                    <a:fld id="{E1E466B3-A6F8-46A9-8271-B2855043A5A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F3-4BB8-BEDE-49888A2550F4}"/>
                </c:ext>
              </c:extLst>
            </c:dLbl>
            <c:dLbl>
              <c:idx val="8"/>
              <c:tx>
                <c:rich>
                  <a:bodyPr/>
                  <a:lstStyle/>
                  <a:p>
                    <a:fld id="{27836B91-7814-48CE-8062-A6EF713AC21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F3-4BB8-BEDE-49888A2550F4}"/>
                </c:ext>
              </c:extLst>
            </c:dLbl>
            <c:dLbl>
              <c:idx val="9"/>
              <c:tx>
                <c:rich>
                  <a:bodyPr/>
                  <a:lstStyle/>
                  <a:p>
                    <a:fld id="{2183AA1C-B8ED-4273-BBAC-88BDCAE4EC8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F3-4BB8-BEDE-49888A2550F4}"/>
                </c:ext>
              </c:extLst>
            </c:dLbl>
            <c:dLbl>
              <c:idx val="10"/>
              <c:tx>
                <c:rich>
                  <a:bodyPr/>
                  <a:lstStyle/>
                  <a:p>
                    <a:fld id="{381D3F61-5D17-48B1-8110-EDB4FC3A8F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F3-4BB8-BEDE-49888A2550F4}"/>
                </c:ext>
              </c:extLst>
            </c:dLbl>
            <c:dLbl>
              <c:idx val="11"/>
              <c:tx>
                <c:rich>
                  <a:bodyPr/>
                  <a:lstStyle/>
                  <a:p>
                    <a:fld id="{E2C84284-2FA7-4373-85D0-589B521ADF6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F3-4BB8-BEDE-49888A2550F4}"/>
                </c:ext>
              </c:extLst>
            </c:dLbl>
            <c:dLbl>
              <c:idx val="12"/>
              <c:tx>
                <c:rich>
                  <a:bodyPr/>
                  <a:lstStyle/>
                  <a:p>
                    <a:fld id="{236AD458-E866-4359-8F6D-A09CD15AD8E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F3-4BB8-BEDE-49888A2550F4}"/>
                </c:ext>
              </c:extLst>
            </c:dLbl>
            <c:dLbl>
              <c:idx val="13"/>
              <c:tx>
                <c:rich>
                  <a:bodyPr/>
                  <a:lstStyle/>
                  <a:p>
                    <a:fld id="{E89234FE-5B6A-4C7D-B29E-452F182B50B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3F3-4BB8-BEDE-49888A2550F4}"/>
                </c:ext>
              </c:extLst>
            </c:dLbl>
            <c:dLbl>
              <c:idx val="14"/>
              <c:tx>
                <c:rich>
                  <a:bodyPr/>
                  <a:lstStyle/>
                  <a:p>
                    <a:fld id="{64806DC4-E469-4B7B-9803-714270098FA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3F3-4BB8-BEDE-49888A2550F4}"/>
                </c:ext>
              </c:extLst>
            </c:dLbl>
            <c:dLbl>
              <c:idx val="15"/>
              <c:tx>
                <c:rich>
                  <a:bodyPr/>
                  <a:lstStyle/>
                  <a:p>
                    <a:fld id="{621E1A9D-54EA-4323-A6BB-446764CDD87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3F3-4BB8-BEDE-49888A2550F4}"/>
                </c:ext>
              </c:extLst>
            </c:dLbl>
            <c:dLbl>
              <c:idx val="16"/>
              <c:tx>
                <c:rich>
                  <a:bodyPr/>
                  <a:lstStyle/>
                  <a:p>
                    <a:fld id="{B76DF89F-72E3-4BA4-8D08-089348A021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3F3-4BB8-BEDE-49888A2550F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Resumen!$B$57:$B$73</c:f>
              <c:strCache>
                <c:ptCount val="17"/>
                <c:pt idx="0">
                  <c:v>1. Fin de la pobreza</c:v>
                </c:pt>
                <c:pt idx="1">
                  <c:v>2. Hambre cero</c:v>
                </c:pt>
                <c:pt idx="2">
                  <c:v>3. Salud y bienestar</c:v>
                </c:pt>
                <c:pt idx="3">
                  <c:v>4. Educación de calidad</c:v>
                </c:pt>
                <c:pt idx="4">
                  <c:v>5. Igualdad de género</c:v>
                </c:pt>
                <c:pt idx="5">
                  <c:v>6. Agua limpia y saneamiento</c:v>
                </c:pt>
                <c:pt idx="6">
                  <c:v>7. Energía asequible y no contaminante</c:v>
                </c:pt>
                <c:pt idx="7">
                  <c:v>8. Trabajo decente y crecimiento económico</c:v>
                </c:pt>
                <c:pt idx="8">
                  <c:v>9. Industria, innovación e infraestructura</c:v>
                </c:pt>
                <c:pt idx="9">
                  <c:v>10. Reducción de las desigualdades</c:v>
                </c:pt>
                <c:pt idx="10">
                  <c:v>11. Ciudades y comunidades sostenibles</c:v>
                </c:pt>
                <c:pt idx="11">
                  <c:v>12. Producción y consumo responsables</c:v>
                </c:pt>
                <c:pt idx="12">
                  <c:v>13. Acción por el clima</c:v>
                </c:pt>
                <c:pt idx="13">
                  <c:v>14. Vida submarina</c:v>
                </c:pt>
                <c:pt idx="14">
                  <c:v>15. Vida de ecosistemas terrestres</c:v>
                </c:pt>
                <c:pt idx="15">
                  <c:v>16. Paz, justicia e instituciones sólidas</c:v>
                </c:pt>
                <c:pt idx="16">
                  <c:v>17. Alianzas para lograr los objetivos</c:v>
                </c:pt>
              </c:strCache>
            </c:strRef>
          </c:cat>
          <c:val>
            <c:numRef>
              <c:f>Resumen!$H$57:$H$73</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5="http://schemas.microsoft.com/office/drawing/2012/chart" uri="{02D57815-91ED-43cb-92C2-25804820EDAC}">
              <c15:datalabelsRange>
                <c15:f>Resumen!$I$57:$I$73</c15:f>
                <c15:dlblRangeCache>
                  <c:ptCount val="17"/>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15:dlblRangeCache>
              </c15:datalabelsRange>
            </c:ext>
            <c:ext xmlns:c16="http://schemas.microsoft.com/office/drawing/2014/chart" uri="{C3380CC4-5D6E-409C-BE32-E72D297353CC}">
              <c16:uniqueId val="{00000000-53F3-4BB8-BEDE-49888A2550F4}"/>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línea estratégica*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7898671917919748"/>
          <c:y val="0.11659932659932661"/>
          <c:w val="0.66433337949485105"/>
          <c:h val="0.83710667416572926"/>
        </c:manualLayout>
      </c:layout>
      <c:barChart>
        <c:barDir val="bar"/>
        <c:grouping val="clustered"/>
        <c:varyColors val="0"/>
        <c:ser>
          <c:idx val="0"/>
          <c:order val="0"/>
          <c:spPr>
            <a:solidFill>
              <a:srgbClr val="60B99A"/>
            </a:solidFill>
            <a:ln>
              <a:noFill/>
            </a:ln>
            <a:effectLst/>
          </c:spPr>
          <c:invertIfNegative val="0"/>
          <c:dLbls>
            <c:dLbl>
              <c:idx val="0"/>
              <c:tx>
                <c:rich>
                  <a:bodyPr/>
                  <a:lstStyle/>
                  <a:p>
                    <a:fld id="{49A901A0-6390-4DDB-B0B9-E75752929833}" type="CELLRANGE">
                      <a:rPr lang="en-US"/>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3F4-43EE-A6A9-753ABBA3EEF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[0]!nombreslineasest</c:f>
              <c:strCache>
                <c:ptCount val="1"/>
                <c:pt idx="0">
                  <c:v>NA</c:v>
                </c:pt>
              </c:strCache>
            </c:strRef>
          </c:cat>
          <c:val>
            <c:numRef>
              <c:f>[0]!valoreslineasest</c:f>
              <c:numCache>
                <c:formatCode>#,##0</c:formatCode>
                <c:ptCount val="1"/>
                <c:pt idx="0">
                  <c:v>0</c:v>
                </c:pt>
              </c:numCache>
            </c:numRef>
          </c:val>
          <c:extLst>
            <c:ext xmlns:c15="http://schemas.microsoft.com/office/drawing/2012/chart" uri="{02D57815-91ED-43cb-92C2-25804820EDAC}">
              <c15:datalabelsRange>
                <c15:f>Resumen!$W$7:$W$75</c15:f>
                <c15:dlblRangeCache>
                  <c:ptCount val="69"/>
                </c15:dlblRangeCache>
              </c15:datalabelsRange>
            </c:ext>
            <c:ext xmlns:c16="http://schemas.microsoft.com/office/drawing/2014/chart" uri="{C3380CC4-5D6E-409C-BE32-E72D297353CC}">
              <c16:uniqueId val="{00000020-EAAB-468A-8713-3B6913F63213}"/>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0"/>
    <c:dispBlanksAs val="gap"/>
    <c:showDLblsOverMax val="0"/>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400018957477453"/>
          <c:y val="1.4814814814814815E-2"/>
          <c:w val="0.38169262531008191"/>
          <c:h val="0.96296296296296291"/>
        </c:manualLayout>
      </c:layout>
      <c:pieChart>
        <c:varyColors val="1"/>
        <c:ser>
          <c:idx val="0"/>
          <c:order val="0"/>
          <c:spPr>
            <a:solidFill>
              <a:srgbClr val="C373B6"/>
            </a:solidFill>
            <a:ln>
              <a:noFill/>
            </a:ln>
          </c:spPr>
          <c:dPt>
            <c:idx val="0"/>
            <c:bubble3D val="0"/>
            <c:spPr>
              <a:solidFill>
                <a:srgbClr val="A65CC4"/>
              </a:solidFill>
              <a:ln w="19050">
                <a:noFill/>
              </a:ln>
              <a:effectLst/>
            </c:spPr>
            <c:extLst>
              <c:ext xmlns:c16="http://schemas.microsoft.com/office/drawing/2014/chart" uri="{C3380CC4-5D6E-409C-BE32-E72D297353CC}">
                <c16:uniqueId val="{00000001-772A-4EA5-895F-383FD42FDA66}"/>
              </c:ext>
            </c:extLst>
          </c:dPt>
          <c:dPt>
            <c:idx val="1"/>
            <c:bubble3D val="0"/>
            <c:spPr>
              <a:solidFill>
                <a:srgbClr val="D165AA"/>
              </a:solidFill>
              <a:ln w="19050">
                <a:noFill/>
              </a:ln>
              <a:effectLst/>
            </c:spPr>
            <c:extLst>
              <c:ext xmlns:c16="http://schemas.microsoft.com/office/drawing/2014/chart" uri="{C3380CC4-5D6E-409C-BE32-E72D297353CC}">
                <c16:uniqueId val="{00000003-772A-4EA5-895F-383FD42FDA66}"/>
              </c:ext>
            </c:extLst>
          </c:dPt>
          <c:dPt>
            <c:idx val="2"/>
            <c:bubble3D val="0"/>
            <c:spPr>
              <a:solidFill>
                <a:srgbClr val="E68297"/>
              </a:solidFill>
              <a:ln w="19050">
                <a:noFill/>
              </a:ln>
              <a:effectLst/>
            </c:spPr>
            <c:extLst>
              <c:ext xmlns:c16="http://schemas.microsoft.com/office/drawing/2014/chart" uri="{C3380CC4-5D6E-409C-BE32-E72D297353CC}">
                <c16:uniqueId val="{00000005-772A-4EA5-895F-383FD42FDA66}"/>
              </c:ext>
            </c:extLst>
          </c:dPt>
          <c:dPt>
            <c:idx val="3"/>
            <c:bubble3D val="0"/>
            <c:spPr>
              <a:solidFill>
                <a:srgbClr val="F8A39A"/>
              </a:solidFill>
              <a:ln w="19050">
                <a:noFill/>
              </a:ln>
              <a:effectLst/>
            </c:spPr>
            <c:extLst>
              <c:ext xmlns:c16="http://schemas.microsoft.com/office/drawing/2014/chart" uri="{C3380CC4-5D6E-409C-BE32-E72D297353CC}">
                <c16:uniqueId val="{00000007-772A-4EA5-895F-383FD42FDA66}"/>
              </c:ext>
            </c:extLst>
          </c:dPt>
          <c:dPt>
            <c:idx val="4"/>
            <c:bubble3D val="0"/>
            <c:spPr>
              <a:solidFill>
                <a:srgbClr val="FBC997"/>
              </a:solidFill>
              <a:ln w="19050">
                <a:noFill/>
              </a:ln>
              <a:effectLst/>
            </c:spPr>
            <c:extLst>
              <c:ext xmlns:c16="http://schemas.microsoft.com/office/drawing/2014/chart" uri="{C3380CC4-5D6E-409C-BE32-E72D297353CC}">
                <c16:uniqueId val="{00000009-772A-4EA5-895F-383FD42FDA66}"/>
              </c:ext>
            </c:extLst>
          </c:dPt>
          <c:dPt>
            <c:idx val="5"/>
            <c:bubble3D val="0"/>
            <c:spPr>
              <a:solidFill>
                <a:srgbClr val="ADEC9E"/>
              </a:solidFill>
              <a:ln w="19050">
                <a:noFill/>
              </a:ln>
              <a:effectLst/>
            </c:spPr>
            <c:extLst>
              <c:ext xmlns:c16="http://schemas.microsoft.com/office/drawing/2014/chart" uri="{C3380CC4-5D6E-409C-BE32-E72D297353CC}">
                <c16:uniqueId val="{0000000B-9686-43CC-A90F-CD97B669F8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Resumen!$B$95:$B$100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A-772A-4EA5-895F-383FD42FDA6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249554</xdr:colOff>
      <xdr:row>0</xdr:row>
      <xdr:rowOff>171450</xdr:rowOff>
    </xdr:from>
    <xdr:to>
      <xdr:col>2</xdr:col>
      <xdr:colOff>373379</xdr:colOff>
      <xdr:row>1</xdr:row>
      <xdr:rowOff>22025</xdr:rowOff>
    </xdr:to>
    <xdr:pic>
      <xdr:nvPicPr>
        <xdr:cNvPr id="9" name="Imagen 8">
          <a:extLst>
            <a:ext uri="{FF2B5EF4-FFF2-40B4-BE49-F238E27FC236}">
              <a16:creationId xmlns:a16="http://schemas.microsoft.com/office/drawing/2014/main" id="{429447C4-62D8-7086-51BB-9F33F393A8DD}"/>
            </a:ext>
          </a:extLst>
        </xdr:cNvPr>
        <xdr:cNvPicPr>
          <a:picLocks noChangeAspect="1"/>
        </xdr:cNvPicPr>
      </xdr:nvPicPr>
      <xdr:blipFill>
        <a:blip xmlns:r="http://schemas.openxmlformats.org/officeDocument/2006/relationships" r:embed="rId1"/>
        <a:stretch>
          <a:fillRect/>
        </a:stretch>
      </xdr:blipFill>
      <xdr:spPr>
        <a:xfrm>
          <a:off x="249554" y="171450"/>
          <a:ext cx="1716405" cy="810695"/>
        </a:xfrm>
        <a:prstGeom prst="rect">
          <a:avLst/>
        </a:prstGeom>
      </xdr:spPr>
    </xdr:pic>
    <xdr:clientData/>
  </xdr:twoCellAnchor>
  <xdr:twoCellAnchor editAs="absolute">
    <xdr:from>
      <xdr:col>1</xdr:col>
      <xdr:colOff>0</xdr:colOff>
      <xdr:row>46</xdr:row>
      <xdr:rowOff>0</xdr:rowOff>
    </xdr:from>
    <xdr:to>
      <xdr:col>7</xdr:col>
      <xdr:colOff>0</xdr:colOff>
      <xdr:row>74</xdr:row>
      <xdr:rowOff>0</xdr:rowOff>
    </xdr:to>
    <xdr:graphicFrame macro="">
      <xdr:nvGraphicFramePr>
        <xdr:cNvPr id="10" name="Gráfico 9">
          <a:extLst>
            <a:ext uri="{FF2B5EF4-FFF2-40B4-BE49-F238E27FC236}">
              <a16:creationId xmlns:a16="http://schemas.microsoft.com/office/drawing/2014/main" id="{0E6B3274-7F69-07E7-C2ED-13BBD9E5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0</xdr:colOff>
      <xdr:row>46</xdr:row>
      <xdr:rowOff>0</xdr:rowOff>
    </xdr:from>
    <xdr:to>
      <xdr:col>13</xdr:col>
      <xdr:colOff>0</xdr:colOff>
      <xdr:row>74</xdr:row>
      <xdr:rowOff>0</xdr:rowOff>
    </xdr:to>
    <xdr:graphicFrame macro="">
      <xdr:nvGraphicFramePr>
        <xdr:cNvPr id="11" name="Gráfico 10">
          <a:extLst>
            <a:ext uri="{FF2B5EF4-FFF2-40B4-BE49-F238E27FC236}">
              <a16:creationId xmlns:a16="http://schemas.microsoft.com/office/drawing/2014/main" id="{DDD922E9-F3B1-4056-AD1E-D584EDB0B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0</xdr:colOff>
      <xdr:row>17</xdr:row>
      <xdr:rowOff>0</xdr:rowOff>
    </xdr:from>
    <xdr:to>
      <xdr:col>13</xdr:col>
      <xdr:colOff>0</xdr:colOff>
      <xdr:row>46</xdr:row>
      <xdr:rowOff>0</xdr:rowOff>
    </xdr:to>
    <xdr:graphicFrame macro="">
      <xdr:nvGraphicFramePr>
        <xdr:cNvPr id="29" name="Gráfico 28">
          <a:extLst>
            <a:ext uri="{FF2B5EF4-FFF2-40B4-BE49-F238E27FC236}">
              <a16:creationId xmlns:a16="http://schemas.microsoft.com/office/drawing/2014/main" id="{F900B710-7DA2-43DD-BF7C-83ADE202F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18</xdr:row>
      <xdr:rowOff>0</xdr:rowOff>
    </xdr:from>
    <xdr:to>
      <xdr:col>7</xdr:col>
      <xdr:colOff>0</xdr:colOff>
      <xdr:row>43</xdr:row>
      <xdr:rowOff>0</xdr:rowOff>
    </xdr:to>
    <xdr:graphicFrame macro="">
      <xdr:nvGraphicFramePr>
        <xdr:cNvPr id="30" name="Gráfico 29">
          <a:extLst>
            <a:ext uri="{FF2B5EF4-FFF2-40B4-BE49-F238E27FC236}">
              <a16:creationId xmlns:a16="http://schemas.microsoft.com/office/drawing/2014/main" id="{F5C341FE-74B7-4B89-8812-8722A34F1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0</xdr:colOff>
      <xdr:row>93</xdr:row>
      <xdr:rowOff>0</xdr:rowOff>
    </xdr:from>
    <xdr:to>
      <xdr:col>13</xdr:col>
      <xdr:colOff>0</xdr:colOff>
      <xdr:row>101</xdr:row>
      <xdr:rowOff>0</xdr:rowOff>
    </xdr:to>
    <xdr:graphicFrame macro="">
      <xdr:nvGraphicFramePr>
        <xdr:cNvPr id="3" name="Gráfico 2">
          <a:extLst>
            <a:ext uri="{FF2B5EF4-FFF2-40B4-BE49-F238E27FC236}">
              <a16:creationId xmlns:a16="http://schemas.microsoft.com/office/drawing/2014/main" id="{E951E863-527F-4EC4-B409-F5B020577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0</xdr:colOff>
      <xdr:row>112</xdr:row>
      <xdr:rowOff>0</xdr:rowOff>
    </xdr:from>
    <xdr:to>
      <xdr:col>9</xdr:col>
      <xdr:colOff>0</xdr:colOff>
      <xdr:row>120</xdr:row>
      <xdr:rowOff>0</xdr:rowOff>
    </xdr:to>
    <xdr:grpSp>
      <xdr:nvGrpSpPr>
        <xdr:cNvPr id="4" name="Grupo 3">
          <a:extLst>
            <a:ext uri="{FF2B5EF4-FFF2-40B4-BE49-F238E27FC236}">
              <a16:creationId xmlns:a16="http://schemas.microsoft.com/office/drawing/2014/main" id="{80528A17-19CF-4C80-8F40-C3938E99294E}"/>
            </a:ext>
          </a:extLst>
        </xdr:cNvPr>
        <xdr:cNvGrpSpPr>
          <a:grpSpLocks noChangeAspect="1"/>
        </xdr:cNvGrpSpPr>
      </xdr:nvGrpSpPr>
      <xdr:grpSpPr>
        <a:xfrm>
          <a:off x="4650441" y="22860000"/>
          <a:ext cx="4123765" cy="1524000"/>
          <a:chOff x="6902824" y="29619388"/>
          <a:chExt cx="3270325" cy="2006526"/>
        </a:xfrm>
      </xdr:grpSpPr>
      <xdr:sp macro="" textlink="$R$110">
        <xdr:nvSpPr>
          <xdr:cNvPr id="5" name="Forma libre: forma 4">
            <a:extLst>
              <a:ext uri="{FF2B5EF4-FFF2-40B4-BE49-F238E27FC236}">
                <a16:creationId xmlns:a16="http://schemas.microsoft.com/office/drawing/2014/main" id="{E52B1A9E-CA54-4AB7-7433-644E9F541614}"/>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379054B-11B5-42D2-A69C-E3DE5BC30DC8}" type="TxLink">
              <a:rPr lang="en-US" sz="1400" b="0" i="0" u="none" strike="noStrike">
                <a:solidFill>
                  <a:srgbClr val="000000"/>
                </a:solidFill>
                <a:latin typeface="+mn-lt"/>
                <a:ea typeface="Verdana"/>
              </a:rPr>
              <a:pPr algn="ctr"/>
              <a:t>0 coincidencias</a:t>
            </a:fld>
            <a:endParaRPr lang="en-US" sz="1400">
              <a:latin typeface="+mn-lt"/>
            </a:endParaRPr>
          </a:p>
        </xdr:txBody>
      </xdr:sp>
      <xdr:sp macro="" textlink="$Q$109">
        <xdr:nvSpPr>
          <xdr:cNvPr id="6" name="Forma libre: forma 5">
            <a:extLst>
              <a:ext uri="{FF2B5EF4-FFF2-40B4-BE49-F238E27FC236}">
                <a16:creationId xmlns:a16="http://schemas.microsoft.com/office/drawing/2014/main" id="{7B6FDB5E-EF03-F8BE-D836-B39A11E8C503}"/>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08795D3-8938-4287-88D2-820E25FB89B4}" type="TxLink">
              <a:rPr lang="en-US" sz="1400" b="0" i="0" u="none" strike="noStrike">
                <a:solidFill>
                  <a:srgbClr val="000000"/>
                </a:solidFill>
                <a:latin typeface="+mn-lt"/>
                <a:ea typeface="Verdana"/>
              </a:rPr>
              <a:pPr algn="ctr"/>
              <a:t>0</a:t>
            </a:fld>
            <a:endParaRPr lang="en-US" sz="1400">
              <a:latin typeface="+mn-lt"/>
            </a:endParaRPr>
          </a:p>
        </xdr:txBody>
      </xdr:sp>
      <xdr:sp macro="" textlink="$Q$111">
        <xdr:nvSpPr>
          <xdr:cNvPr id="8" name="Forma libre: forma 7">
            <a:extLst>
              <a:ext uri="{FF2B5EF4-FFF2-40B4-BE49-F238E27FC236}">
                <a16:creationId xmlns:a16="http://schemas.microsoft.com/office/drawing/2014/main" id="{E5122033-FB52-1742-0D32-AABD621BFC67}"/>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C6624074-2077-4ED6-960C-0C5783F361EB}"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2" name="Elipse 11">
            <a:extLst>
              <a:ext uri="{FF2B5EF4-FFF2-40B4-BE49-F238E27FC236}">
                <a16:creationId xmlns:a16="http://schemas.microsoft.com/office/drawing/2014/main" id="{B394540E-B2D4-8E32-0D03-75E3A50C1C70}"/>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3" name="Elipse 12">
            <a:extLst>
              <a:ext uri="{FF2B5EF4-FFF2-40B4-BE49-F238E27FC236}">
                <a16:creationId xmlns:a16="http://schemas.microsoft.com/office/drawing/2014/main" id="{ADC1EE1E-0A1F-0360-A947-DA330CCCF791}"/>
              </a:ext>
            </a:extLst>
          </xdr:cNvPr>
          <xdr:cNvSpPr/>
        </xdr:nvSpPr>
        <xdr:spPr>
          <a:xfrm>
            <a:off x="7931971" y="29619389"/>
            <a:ext cx="2241177" cy="2006525"/>
          </a:xfrm>
          <a:prstGeom prst="ellipse">
            <a:avLst/>
          </a:prstGeom>
          <a:noFill/>
          <a:ln>
            <a:solidFill>
              <a:srgbClr val="AFA927">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5</xdr:col>
      <xdr:colOff>0</xdr:colOff>
      <xdr:row>82</xdr:row>
      <xdr:rowOff>0</xdr:rowOff>
    </xdr:from>
    <xdr:to>
      <xdr:col>9</xdr:col>
      <xdr:colOff>0</xdr:colOff>
      <xdr:row>90</xdr:row>
      <xdr:rowOff>0</xdr:rowOff>
    </xdr:to>
    <xdr:grpSp>
      <xdr:nvGrpSpPr>
        <xdr:cNvPr id="2" name="Grupo 1">
          <a:extLst>
            <a:ext uri="{FF2B5EF4-FFF2-40B4-BE49-F238E27FC236}">
              <a16:creationId xmlns:a16="http://schemas.microsoft.com/office/drawing/2014/main" id="{8F678206-92CC-46F4-A511-C844D62EAFB7}"/>
            </a:ext>
          </a:extLst>
        </xdr:cNvPr>
        <xdr:cNvGrpSpPr>
          <a:grpSpLocks noChangeAspect="1"/>
        </xdr:cNvGrpSpPr>
      </xdr:nvGrpSpPr>
      <xdr:grpSpPr>
        <a:xfrm>
          <a:off x="4650441" y="17111382"/>
          <a:ext cx="4123765" cy="1524000"/>
          <a:chOff x="6902824" y="29619388"/>
          <a:chExt cx="3270325" cy="2006526"/>
        </a:xfrm>
      </xdr:grpSpPr>
      <xdr:sp macro="" textlink="$R$93">
        <xdr:nvSpPr>
          <xdr:cNvPr id="14" name="Forma libre: forma 13">
            <a:extLst>
              <a:ext uri="{FF2B5EF4-FFF2-40B4-BE49-F238E27FC236}">
                <a16:creationId xmlns:a16="http://schemas.microsoft.com/office/drawing/2014/main" id="{6B786AE8-2ACB-26E4-90D6-ABB60D0553F0}"/>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fld id="{042FA624-CE2C-4285-95D0-E93D82F1F817}" type="TxLink">
              <a:rPr lang="en-US" sz="1400" b="0" i="0" u="none" strike="noStrike">
                <a:solidFill>
                  <a:srgbClr val="000000"/>
                </a:solidFill>
                <a:latin typeface="Calibri"/>
                <a:ea typeface="Calibri"/>
                <a:cs typeface="Calibri"/>
              </a:rPr>
              <a:pPr algn="ctr"/>
              <a:t>0 coincidencias</a:t>
            </a:fld>
            <a:endParaRPr lang="en-US" sz="1400">
              <a:latin typeface="+mn-lt"/>
            </a:endParaRPr>
          </a:p>
        </xdr:txBody>
      </xdr:sp>
      <xdr:sp macro="" textlink="$Q$92">
        <xdr:nvSpPr>
          <xdr:cNvPr id="15" name="Forma libre: forma 14">
            <a:extLst>
              <a:ext uri="{FF2B5EF4-FFF2-40B4-BE49-F238E27FC236}">
                <a16:creationId xmlns:a16="http://schemas.microsoft.com/office/drawing/2014/main" id="{B22F5328-AB0F-050A-2DE1-EB10E804ABC9}"/>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EEFE0424-834C-48B2-ABE1-292AEFB58B6E}" type="TxLink">
              <a:rPr lang="en-US" sz="1400" b="0" i="0" u="none" strike="noStrike">
                <a:solidFill>
                  <a:srgbClr val="000000"/>
                </a:solidFill>
                <a:latin typeface="+mn-lt"/>
                <a:ea typeface="Verdana"/>
              </a:rPr>
              <a:pPr algn="ctr"/>
              <a:t>0</a:t>
            </a:fld>
            <a:endParaRPr lang="en-US" sz="1400">
              <a:latin typeface="+mn-lt"/>
            </a:endParaRPr>
          </a:p>
        </xdr:txBody>
      </xdr:sp>
      <xdr:sp macro="" textlink="$Q$94">
        <xdr:nvSpPr>
          <xdr:cNvPr id="16" name="Forma libre: forma 15">
            <a:extLst>
              <a:ext uri="{FF2B5EF4-FFF2-40B4-BE49-F238E27FC236}">
                <a16:creationId xmlns:a16="http://schemas.microsoft.com/office/drawing/2014/main" id="{3695FD02-B6AD-5344-8F70-C380438A91F6}"/>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5D5CE236-CC04-44F4-8E4F-8203FD51087E}"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7" name="Elipse 16">
            <a:extLst>
              <a:ext uri="{FF2B5EF4-FFF2-40B4-BE49-F238E27FC236}">
                <a16:creationId xmlns:a16="http://schemas.microsoft.com/office/drawing/2014/main" id="{E992395C-DA69-DEBA-6374-EAF453941EF4}"/>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8" name="Elipse 17">
            <a:extLst>
              <a:ext uri="{FF2B5EF4-FFF2-40B4-BE49-F238E27FC236}">
                <a16:creationId xmlns:a16="http://schemas.microsoft.com/office/drawing/2014/main" id="{579E954C-2A7C-837B-ED34-247BE398BD67}"/>
              </a:ext>
            </a:extLst>
          </xdr:cNvPr>
          <xdr:cNvSpPr/>
        </xdr:nvSpPr>
        <xdr:spPr>
          <a:xfrm>
            <a:off x="7931971" y="29619389"/>
            <a:ext cx="2241177" cy="2006525"/>
          </a:xfrm>
          <a:prstGeom prst="ellipse">
            <a:avLst/>
          </a:prstGeom>
          <a:noFill/>
          <a:ln>
            <a:solidFill>
              <a:srgbClr val="786256">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11</xdr:col>
      <xdr:colOff>152401</xdr:colOff>
      <xdr:row>0</xdr:row>
      <xdr:rowOff>295836</xdr:rowOff>
    </xdr:from>
    <xdr:to>
      <xdr:col>12</xdr:col>
      <xdr:colOff>1184014</xdr:colOff>
      <xdr:row>0</xdr:row>
      <xdr:rowOff>889160</xdr:rowOff>
    </xdr:to>
    <xdr:pic>
      <xdr:nvPicPr>
        <xdr:cNvPr id="19" name="Gráfico 18">
          <a:extLst>
            <a:ext uri="{FF2B5EF4-FFF2-40B4-BE49-F238E27FC236}">
              <a16:creationId xmlns:a16="http://schemas.microsoft.com/office/drawing/2014/main" id="{3747326D-EBAD-46C7-A748-B1D2C28448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268636" y="295836"/>
          <a:ext cx="2089449" cy="593324"/>
        </a:xfrm>
        <a:prstGeom prst="rect">
          <a:avLst/>
        </a:prstGeom>
      </xdr:spPr>
    </xdr:pic>
    <xdr:clientData/>
  </xdr:twoCellAnchor>
  <xdr:twoCellAnchor editAs="absolute">
    <xdr:from>
      <xdr:col>1</xdr:col>
      <xdr:colOff>818029</xdr:colOff>
      <xdr:row>133</xdr:row>
      <xdr:rowOff>123264</xdr:rowOff>
    </xdr:from>
    <xdr:to>
      <xdr:col>5</xdr:col>
      <xdr:colOff>851647</xdr:colOff>
      <xdr:row>150</xdr:row>
      <xdr:rowOff>123263</xdr:rowOff>
    </xdr:to>
    <xdr:grpSp>
      <xdr:nvGrpSpPr>
        <xdr:cNvPr id="42" name="Grupo 41">
          <a:extLst>
            <a:ext uri="{FF2B5EF4-FFF2-40B4-BE49-F238E27FC236}">
              <a16:creationId xmlns:a16="http://schemas.microsoft.com/office/drawing/2014/main" id="{DC9A9036-9FAA-1CC4-59B2-63A29C5EFD5E}"/>
            </a:ext>
          </a:extLst>
        </xdr:cNvPr>
        <xdr:cNvGrpSpPr/>
      </xdr:nvGrpSpPr>
      <xdr:grpSpPr>
        <a:xfrm>
          <a:off x="1143000" y="27006176"/>
          <a:ext cx="4359088" cy="3238499"/>
          <a:chOff x="1467970" y="26737235"/>
          <a:chExt cx="4235824" cy="3238499"/>
        </a:xfrm>
      </xdr:grpSpPr>
      <xdr:grpSp>
        <xdr:nvGrpSpPr>
          <xdr:cNvPr id="21" name="Grupo 20">
            <a:extLst>
              <a:ext uri="{FF2B5EF4-FFF2-40B4-BE49-F238E27FC236}">
                <a16:creationId xmlns:a16="http://schemas.microsoft.com/office/drawing/2014/main" id="{CA32201B-FF8D-3BE4-78C7-6E6672A40871}"/>
              </a:ext>
            </a:extLst>
          </xdr:cNvPr>
          <xdr:cNvGrpSpPr/>
        </xdr:nvGrpSpPr>
        <xdr:grpSpPr>
          <a:xfrm>
            <a:off x="1467970" y="26737235"/>
            <a:ext cx="4235824" cy="3238499"/>
            <a:chOff x="3575352" y="239547"/>
            <a:chExt cx="5084165" cy="4634459"/>
          </a:xfrm>
        </xdr:grpSpPr>
        <xdr:grpSp>
          <xdr:nvGrpSpPr>
            <xdr:cNvPr id="22" name="Grupo 21">
              <a:extLst>
                <a:ext uri="{FF2B5EF4-FFF2-40B4-BE49-F238E27FC236}">
                  <a16:creationId xmlns:a16="http://schemas.microsoft.com/office/drawing/2014/main" id="{EC8CEA55-0D96-5FA0-5420-F8BEDA7A4B2F}"/>
                </a:ext>
              </a:extLst>
            </xdr:cNvPr>
            <xdr:cNvGrpSpPr/>
          </xdr:nvGrpSpPr>
          <xdr:grpSpPr>
            <a:xfrm>
              <a:off x="3575352" y="239547"/>
              <a:ext cx="5084165" cy="4634459"/>
              <a:chOff x="6627099" y="239547"/>
              <a:chExt cx="5084165" cy="4634459"/>
            </a:xfrm>
          </xdr:grpSpPr>
          <xdr:sp macro="" textlink="">
            <xdr:nvSpPr>
              <xdr:cNvPr id="27" name="Forma libre: forma 26">
                <a:extLst>
                  <a:ext uri="{FF2B5EF4-FFF2-40B4-BE49-F238E27FC236}">
                    <a16:creationId xmlns:a16="http://schemas.microsoft.com/office/drawing/2014/main" id="{81A819C1-C771-06A5-DFFD-8EBB17E79FD5}"/>
                  </a:ext>
                </a:extLst>
              </xdr:cNvPr>
              <xdr:cNvSpPr/>
            </xdr:nvSpPr>
            <xdr:spPr>
              <a:xfrm>
                <a:off x="8159645" y="402360"/>
                <a:ext cx="2019073" cy="1466782"/>
              </a:xfrm>
              <a:custGeom>
                <a:avLst/>
                <a:gdLst>
                  <a:gd name="connsiteX0" fmla="*/ 1009536 w 2019073"/>
                  <a:gd name="connsiteY0" fmla="*/ 0 h 1466782"/>
                  <a:gd name="connsiteX1" fmla="*/ 1090496 w 2019073"/>
                  <a:gd name="connsiteY1" fmla="*/ 36203 h 1466782"/>
                  <a:gd name="connsiteX2" fmla="*/ 2010953 w 2019073"/>
                  <a:gd name="connsiteY2" fmla="*/ 1317513 h 1466782"/>
                  <a:gd name="connsiteX3" fmla="*/ 2019073 w 2019073"/>
                  <a:gd name="connsiteY3" fmla="*/ 1466781 h 1466782"/>
                  <a:gd name="connsiteX4" fmla="*/ 2002703 w 2019073"/>
                  <a:gd name="connsiteY4" fmla="*/ 1455418 h 1466782"/>
                  <a:gd name="connsiteX5" fmla="*/ 1009537 w 2019073"/>
                  <a:gd name="connsiteY5" fmla="*/ 1173809 h 1466782"/>
                  <a:gd name="connsiteX6" fmla="*/ 16371 w 2019073"/>
                  <a:gd name="connsiteY6" fmla="*/ 1455418 h 1466782"/>
                  <a:gd name="connsiteX7" fmla="*/ 0 w 2019073"/>
                  <a:gd name="connsiteY7" fmla="*/ 1466782 h 1466782"/>
                  <a:gd name="connsiteX8" fmla="*/ 8120 w 2019073"/>
                  <a:gd name="connsiteY8" fmla="*/ 1317513 h 1466782"/>
                  <a:gd name="connsiteX9" fmla="*/ 928577 w 2019073"/>
                  <a:gd name="connsiteY9" fmla="*/ 36203 h 1466782"/>
                  <a:gd name="connsiteX10" fmla="*/ 1009536 w 2019073"/>
                  <a:gd name="connsiteY10" fmla="*/ 0 h 1466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19073" h="1466782">
                    <a:moveTo>
                      <a:pt x="1009536" y="0"/>
                    </a:moveTo>
                    <a:lnTo>
                      <a:pt x="1090496" y="36203"/>
                    </a:lnTo>
                    <a:cubicBezTo>
                      <a:pt x="1593885" y="290045"/>
                      <a:pt x="1950309" y="763195"/>
                      <a:pt x="2010953" y="1317513"/>
                    </a:cubicBezTo>
                    <a:lnTo>
                      <a:pt x="2019073" y="1466781"/>
                    </a:lnTo>
                    <a:lnTo>
                      <a:pt x="2002703" y="1455418"/>
                    </a:lnTo>
                    <a:cubicBezTo>
                      <a:pt x="1719198" y="1277625"/>
                      <a:pt x="1377428" y="1173809"/>
                      <a:pt x="1009537" y="1173809"/>
                    </a:cubicBezTo>
                    <a:cubicBezTo>
                      <a:pt x="641646" y="1173809"/>
                      <a:pt x="299876" y="1277625"/>
                      <a:pt x="16371" y="1455418"/>
                    </a:cubicBezTo>
                    <a:lnTo>
                      <a:pt x="0" y="1466782"/>
                    </a:lnTo>
                    <a:lnTo>
                      <a:pt x="8120" y="1317513"/>
                    </a:lnTo>
                    <a:cubicBezTo>
                      <a:pt x="68764" y="763195"/>
                      <a:pt x="425188" y="290045"/>
                      <a:pt x="928577" y="36203"/>
                    </a:cubicBezTo>
                    <a:lnTo>
                      <a:pt x="1009536"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8" name="Forma libre: forma 27">
                <a:extLst>
                  <a:ext uri="{FF2B5EF4-FFF2-40B4-BE49-F238E27FC236}">
                    <a16:creationId xmlns:a16="http://schemas.microsoft.com/office/drawing/2014/main" id="{675AB424-9C3B-21C5-A1F2-D284DD473788}"/>
                  </a:ext>
                </a:extLst>
              </xdr:cNvPr>
              <xdr:cNvSpPr/>
            </xdr:nvSpPr>
            <xdr:spPr>
              <a:xfrm>
                <a:off x="9169181" y="1869141"/>
                <a:ext cx="1776336" cy="1668242"/>
              </a:xfrm>
              <a:custGeom>
                <a:avLst/>
                <a:gdLst>
                  <a:gd name="connsiteX0" fmla="*/ 1009537 w 1776336"/>
                  <a:gd name="connsiteY0" fmla="*/ 0 h 1668242"/>
                  <a:gd name="connsiteX1" fmla="*/ 1129915 w 1776336"/>
                  <a:gd name="connsiteY1" fmla="*/ 83561 h 1668242"/>
                  <a:gd name="connsiteX2" fmla="*/ 1776336 w 1776336"/>
                  <a:gd name="connsiteY2" fmla="*/ 1355946 h 1668242"/>
                  <a:gd name="connsiteX3" fmla="*/ 1775285 w 1776336"/>
                  <a:gd name="connsiteY3" fmla="*/ 1375269 h 1668242"/>
                  <a:gd name="connsiteX4" fmla="*/ 1758914 w 1776336"/>
                  <a:gd name="connsiteY4" fmla="*/ 1386633 h 1668242"/>
                  <a:gd name="connsiteX5" fmla="*/ 765748 w 1776336"/>
                  <a:gd name="connsiteY5" fmla="*/ 1668242 h 1668242"/>
                  <a:gd name="connsiteX6" fmla="*/ 74318 w 1776336"/>
                  <a:gd name="connsiteY6" fmla="*/ 1538662 h 1668242"/>
                  <a:gd name="connsiteX7" fmla="*/ 0 w 1776336"/>
                  <a:gd name="connsiteY7" fmla="*/ 1505429 h 1668242"/>
                  <a:gd name="connsiteX8" fmla="*/ 80960 w 1776336"/>
                  <a:gd name="connsiteY8" fmla="*/ 1469226 h 1668242"/>
                  <a:gd name="connsiteX9" fmla="*/ 1010588 w 1776336"/>
                  <a:gd name="connsiteY9" fmla="*/ 19324 h 1668242"/>
                  <a:gd name="connsiteX10" fmla="*/ 1009537 w 1776336"/>
                  <a:gd name="connsiteY10" fmla="*/ 0 h 16682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6" h="1668242">
                    <a:moveTo>
                      <a:pt x="1009537" y="0"/>
                    </a:moveTo>
                    <a:lnTo>
                      <a:pt x="1129915" y="83561"/>
                    </a:lnTo>
                    <a:cubicBezTo>
                      <a:pt x="1524701" y="385997"/>
                      <a:pt x="1776336" y="843693"/>
                      <a:pt x="1776336" y="1355946"/>
                    </a:cubicBezTo>
                    <a:lnTo>
                      <a:pt x="1775285" y="1375269"/>
                    </a:lnTo>
                    <a:lnTo>
                      <a:pt x="1758914" y="1386633"/>
                    </a:lnTo>
                    <a:cubicBezTo>
                      <a:pt x="1475409" y="1564426"/>
                      <a:pt x="1133639" y="1668242"/>
                      <a:pt x="765748" y="1668242"/>
                    </a:cubicBezTo>
                    <a:cubicBezTo>
                      <a:pt x="520487" y="1668242"/>
                      <a:pt x="286836" y="1622102"/>
                      <a:pt x="74318" y="1538662"/>
                    </a:cubicBezTo>
                    <a:lnTo>
                      <a:pt x="0" y="1505429"/>
                    </a:lnTo>
                    <a:lnTo>
                      <a:pt x="80960" y="1469226"/>
                    </a:lnTo>
                    <a:cubicBezTo>
                      <a:pt x="634688" y="1190000"/>
                      <a:pt x="1010588" y="645411"/>
                      <a:pt x="1010588" y="19324"/>
                    </a:cubicBezTo>
                    <a:lnTo>
                      <a:pt x="1009537" y="0"/>
                    </a:lnTo>
                    <a:close/>
                  </a:path>
                </a:pathLst>
              </a:custGeom>
              <a:solidFill>
                <a:srgbClr val="D6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1" name="Forma libre: forma 30">
                <a:extLst>
                  <a:ext uri="{FF2B5EF4-FFF2-40B4-BE49-F238E27FC236}">
                    <a16:creationId xmlns:a16="http://schemas.microsoft.com/office/drawing/2014/main" id="{D33F7ACE-6593-8449-0D8B-106D7FD70C55}"/>
                  </a:ext>
                </a:extLst>
              </xdr:cNvPr>
              <xdr:cNvSpPr/>
            </xdr:nvSpPr>
            <xdr:spPr>
              <a:xfrm>
                <a:off x="7392847" y="1869143"/>
                <a:ext cx="1776334" cy="1668241"/>
              </a:xfrm>
              <a:custGeom>
                <a:avLst/>
                <a:gdLst>
                  <a:gd name="connsiteX0" fmla="*/ 766798 w 1776334"/>
                  <a:gd name="connsiteY0" fmla="*/ 0 h 1668241"/>
                  <a:gd name="connsiteX1" fmla="*/ 765747 w 1776334"/>
                  <a:gd name="connsiteY1" fmla="*/ 19323 h 1668241"/>
                  <a:gd name="connsiteX2" fmla="*/ 1695375 w 1776334"/>
                  <a:gd name="connsiteY2" fmla="*/ 1469225 h 1668241"/>
                  <a:gd name="connsiteX3" fmla="*/ 1776334 w 1776334"/>
                  <a:gd name="connsiteY3" fmla="*/ 1505428 h 1668241"/>
                  <a:gd name="connsiteX4" fmla="*/ 1702017 w 1776334"/>
                  <a:gd name="connsiteY4" fmla="*/ 1538661 h 1668241"/>
                  <a:gd name="connsiteX5" fmla="*/ 1010587 w 1776334"/>
                  <a:gd name="connsiteY5" fmla="*/ 1668241 h 1668241"/>
                  <a:gd name="connsiteX6" fmla="*/ 17421 w 1776334"/>
                  <a:gd name="connsiteY6" fmla="*/ 1386632 h 1668241"/>
                  <a:gd name="connsiteX7" fmla="*/ 1051 w 1776334"/>
                  <a:gd name="connsiteY7" fmla="*/ 1375269 h 1668241"/>
                  <a:gd name="connsiteX8" fmla="*/ 0 w 1776334"/>
                  <a:gd name="connsiteY8" fmla="*/ 1355945 h 1668241"/>
                  <a:gd name="connsiteX9" fmla="*/ 646421 w 1776334"/>
                  <a:gd name="connsiteY9" fmla="*/ 83560 h 1668241"/>
                  <a:gd name="connsiteX10" fmla="*/ 766798 w 1776334"/>
                  <a:gd name="connsiteY10" fmla="*/ 0 h 16682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4" h="1668241">
                    <a:moveTo>
                      <a:pt x="766798" y="0"/>
                    </a:moveTo>
                    <a:lnTo>
                      <a:pt x="765747" y="19323"/>
                    </a:lnTo>
                    <a:cubicBezTo>
                      <a:pt x="765747" y="645410"/>
                      <a:pt x="1141647" y="1189999"/>
                      <a:pt x="1695375" y="1469225"/>
                    </a:cubicBezTo>
                    <a:lnTo>
                      <a:pt x="1776334" y="1505428"/>
                    </a:lnTo>
                    <a:lnTo>
                      <a:pt x="1702017" y="1538661"/>
                    </a:lnTo>
                    <a:cubicBezTo>
                      <a:pt x="1489499" y="1622101"/>
                      <a:pt x="1255848" y="1668241"/>
                      <a:pt x="1010587" y="1668241"/>
                    </a:cubicBezTo>
                    <a:cubicBezTo>
                      <a:pt x="642696" y="1668241"/>
                      <a:pt x="300926" y="1564425"/>
                      <a:pt x="17421" y="1386632"/>
                    </a:cubicBezTo>
                    <a:lnTo>
                      <a:pt x="1051" y="1375269"/>
                    </a:lnTo>
                    <a:lnTo>
                      <a:pt x="0" y="1355945"/>
                    </a:lnTo>
                    <a:cubicBezTo>
                      <a:pt x="0" y="843692"/>
                      <a:pt x="251636" y="385996"/>
                      <a:pt x="646421" y="83560"/>
                    </a:cubicBezTo>
                    <a:lnTo>
                      <a:pt x="766798"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sz="1200"/>
              </a:p>
            </xdr:txBody>
          </xdr:sp>
          <xdr:sp macro="" textlink="">
            <xdr:nvSpPr>
              <xdr:cNvPr id="32" name="Forma libre: forma 31">
                <a:extLst>
                  <a:ext uri="{FF2B5EF4-FFF2-40B4-BE49-F238E27FC236}">
                    <a16:creationId xmlns:a16="http://schemas.microsoft.com/office/drawing/2014/main" id="{D0F2E677-18B6-50F5-EE1F-C9A53F3D4454}"/>
                  </a:ext>
                </a:extLst>
              </xdr:cNvPr>
              <xdr:cNvSpPr/>
            </xdr:nvSpPr>
            <xdr:spPr>
              <a:xfrm>
                <a:off x="6627099" y="239547"/>
                <a:ext cx="2542082" cy="3004864"/>
              </a:xfrm>
              <a:custGeom>
                <a:avLst/>
                <a:gdLst>
                  <a:gd name="connsiteX0" fmla="*/ 1776335 w 2542082"/>
                  <a:gd name="connsiteY0" fmla="*/ 0 h 3004864"/>
                  <a:gd name="connsiteX1" fmla="*/ 2467765 w 2542082"/>
                  <a:gd name="connsiteY1" fmla="*/ 129580 h 3004864"/>
                  <a:gd name="connsiteX2" fmla="*/ 2542082 w 2542082"/>
                  <a:gd name="connsiteY2" fmla="*/ 162813 h 3004864"/>
                  <a:gd name="connsiteX3" fmla="*/ 2461123 w 2542082"/>
                  <a:gd name="connsiteY3" fmla="*/ 199016 h 3004864"/>
                  <a:gd name="connsiteX4" fmla="*/ 1540666 w 2542082"/>
                  <a:gd name="connsiteY4" fmla="*/ 1480326 h 3004864"/>
                  <a:gd name="connsiteX5" fmla="*/ 1532546 w 2542082"/>
                  <a:gd name="connsiteY5" fmla="*/ 1629595 h 3004864"/>
                  <a:gd name="connsiteX6" fmla="*/ 1412169 w 2542082"/>
                  <a:gd name="connsiteY6" fmla="*/ 1713155 h 3004864"/>
                  <a:gd name="connsiteX7" fmla="*/ 765748 w 2542082"/>
                  <a:gd name="connsiteY7" fmla="*/ 2985540 h 3004864"/>
                  <a:gd name="connsiteX8" fmla="*/ 766799 w 2542082"/>
                  <a:gd name="connsiteY8" fmla="*/ 3004864 h 3004864"/>
                  <a:gd name="connsiteX9" fmla="*/ 646421 w 2542082"/>
                  <a:gd name="connsiteY9" fmla="*/ 2921303 h 3004864"/>
                  <a:gd name="connsiteX10" fmla="*/ 0 w 2542082"/>
                  <a:gd name="connsiteY10" fmla="*/ 1648918 h 3004864"/>
                  <a:gd name="connsiteX11" fmla="*/ 1776335 w 2542082"/>
                  <a:gd name="connsiteY11" fmla="*/ 0 h 3004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2" h="3004864">
                    <a:moveTo>
                      <a:pt x="1776335" y="0"/>
                    </a:moveTo>
                    <a:cubicBezTo>
                      <a:pt x="2021596" y="0"/>
                      <a:pt x="2255247" y="46140"/>
                      <a:pt x="2467765" y="129580"/>
                    </a:cubicBezTo>
                    <a:lnTo>
                      <a:pt x="2542082" y="162813"/>
                    </a:lnTo>
                    <a:lnTo>
                      <a:pt x="2461123" y="199016"/>
                    </a:lnTo>
                    <a:cubicBezTo>
                      <a:pt x="1957734" y="452858"/>
                      <a:pt x="1601310" y="926008"/>
                      <a:pt x="1540666" y="1480326"/>
                    </a:cubicBezTo>
                    <a:lnTo>
                      <a:pt x="1532546" y="1629595"/>
                    </a:lnTo>
                    <a:lnTo>
                      <a:pt x="1412169" y="1713155"/>
                    </a:lnTo>
                    <a:cubicBezTo>
                      <a:pt x="1017384" y="2015591"/>
                      <a:pt x="765748" y="2473287"/>
                      <a:pt x="765748" y="2985540"/>
                    </a:cubicBezTo>
                    <a:lnTo>
                      <a:pt x="766799" y="3004864"/>
                    </a:lnTo>
                    <a:lnTo>
                      <a:pt x="646421" y="2921303"/>
                    </a:lnTo>
                    <a:cubicBezTo>
                      <a:pt x="251636" y="2618867"/>
                      <a:pt x="0" y="2161171"/>
                      <a:pt x="0" y="1648918"/>
                    </a:cubicBezTo>
                    <a:cubicBezTo>
                      <a:pt x="0" y="738246"/>
                      <a:pt x="795292" y="0"/>
                      <a:pt x="1776335"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3" name="Forma libre: forma 32">
                <a:extLst>
                  <a:ext uri="{FF2B5EF4-FFF2-40B4-BE49-F238E27FC236}">
                    <a16:creationId xmlns:a16="http://schemas.microsoft.com/office/drawing/2014/main" id="{15581FA3-A38C-2C58-3648-4ECC92677BB2}"/>
                  </a:ext>
                </a:extLst>
              </xdr:cNvPr>
              <xdr:cNvSpPr/>
            </xdr:nvSpPr>
            <xdr:spPr>
              <a:xfrm>
                <a:off x="9169181" y="239548"/>
                <a:ext cx="2542083" cy="3004863"/>
              </a:xfrm>
              <a:custGeom>
                <a:avLst/>
                <a:gdLst>
                  <a:gd name="connsiteX0" fmla="*/ 765748 w 2542083"/>
                  <a:gd name="connsiteY0" fmla="*/ 0 h 3004863"/>
                  <a:gd name="connsiteX1" fmla="*/ 2542083 w 2542083"/>
                  <a:gd name="connsiteY1" fmla="*/ 1648918 h 3004863"/>
                  <a:gd name="connsiteX2" fmla="*/ 1895662 w 2542083"/>
                  <a:gd name="connsiteY2" fmla="*/ 2921303 h 3004863"/>
                  <a:gd name="connsiteX3" fmla="*/ 1775285 w 2542083"/>
                  <a:gd name="connsiteY3" fmla="*/ 3004863 h 3004863"/>
                  <a:gd name="connsiteX4" fmla="*/ 1776336 w 2542083"/>
                  <a:gd name="connsiteY4" fmla="*/ 2985540 h 3004863"/>
                  <a:gd name="connsiteX5" fmla="*/ 1129915 w 2542083"/>
                  <a:gd name="connsiteY5" fmla="*/ 1713155 h 3004863"/>
                  <a:gd name="connsiteX6" fmla="*/ 1009537 w 2542083"/>
                  <a:gd name="connsiteY6" fmla="*/ 1629594 h 3004863"/>
                  <a:gd name="connsiteX7" fmla="*/ 1001417 w 2542083"/>
                  <a:gd name="connsiteY7" fmla="*/ 1480326 h 3004863"/>
                  <a:gd name="connsiteX8" fmla="*/ 80960 w 2542083"/>
                  <a:gd name="connsiteY8" fmla="*/ 199016 h 3004863"/>
                  <a:gd name="connsiteX9" fmla="*/ 0 w 2542083"/>
                  <a:gd name="connsiteY9" fmla="*/ 162813 h 3004863"/>
                  <a:gd name="connsiteX10" fmla="*/ 74318 w 2542083"/>
                  <a:gd name="connsiteY10" fmla="*/ 129580 h 3004863"/>
                  <a:gd name="connsiteX11" fmla="*/ 765748 w 2542083"/>
                  <a:gd name="connsiteY11" fmla="*/ 0 h 30048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3" h="3004863">
                    <a:moveTo>
                      <a:pt x="765748" y="0"/>
                    </a:moveTo>
                    <a:cubicBezTo>
                      <a:pt x="1746791" y="0"/>
                      <a:pt x="2542083" y="738246"/>
                      <a:pt x="2542083" y="1648918"/>
                    </a:cubicBezTo>
                    <a:cubicBezTo>
                      <a:pt x="2542083" y="2161171"/>
                      <a:pt x="2290448" y="2618867"/>
                      <a:pt x="1895662" y="2921303"/>
                    </a:cubicBezTo>
                    <a:lnTo>
                      <a:pt x="1775285" y="3004863"/>
                    </a:lnTo>
                    <a:lnTo>
                      <a:pt x="1776336" y="2985540"/>
                    </a:lnTo>
                    <a:cubicBezTo>
                      <a:pt x="1776336" y="2473287"/>
                      <a:pt x="1524701" y="2015591"/>
                      <a:pt x="1129915" y="1713155"/>
                    </a:cubicBezTo>
                    <a:lnTo>
                      <a:pt x="1009537" y="1629594"/>
                    </a:lnTo>
                    <a:lnTo>
                      <a:pt x="1001417" y="1480326"/>
                    </a:lnTo>
                    <a:cubicBezTo>
                      <a:pt x="940773" y="926008"/>
                      <a:pt x="584349" y="452858"/>
                      <a:pt x="80960" y="199016"/>
                    </a:cubicBezTo>
                    <a:lnTo>
                      <a:pt x="0" y="162813"/>
                    </a:lnTo>
                    <a:lnTo>
                      <a:pt x="74318" y="129580"/>
                    </a:lnTo>
                    <a:cubicBezTo>
                      <a:pt x="286836" y="46140"/>
                      <a:pt x="520487" y="0"/>
                      <a:pt x="765748"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4" name="Forma libre: forma 33">
                <a:extLst>
                  <a:ext uri="{FF2B5EF4-FFF2-40B4-BE49-F238E27FC236}">
                    <a16:creationId xmlns:a16="http://schemas.microsoft.com/office/drawing/2014/main" id="{568F44BD-5506-FAC7-DBE3-BD730422540A}"/>
                  </a:ext>
                </a:extLst>
              </xdr:cNvPr>
              <xdr:cNvSpPr/>
            </xdr:nvSpPr>
            <xdr:spPr>
              <a:xfrm>
                <a:off x="8158594" y="1576170"/>
                <a:ext cx="2021175" cy="1798401"/>
              </a:xfrm>
              <a:custGeom>
                <a:avLst/>
                <a:gdLst>
                  <a:gd name="connsiteX0" fmla="*/ 1010588 w 2021175"/>
                  <a:gd name="connsiteY0" fmla="*/ 0 h 1798401"/>
                  <a:gd name="connsiteX1" fmla="*/ 2003754 w 2021175"/>
                  <a:gd name="connsiteY1" fmla="*/ 281609 h 1798401"/>
                  <a:gd name="connsiteX2" fmla="*/ 2020124 w 2021175"/>
                  <a:gd name="connsiteY2" fmla="*/ 292972 h 1798401"/>
                  <a:gd name="connsiteX3" fmla="*/ 2021175 w 2021175"/>
                  <a:gd name="connsiteY3" fmla="*/ 312296 h 1798401"/>
                  <a:gd name="connsiteX4" fmla="*/ 1091547 w 2021175"/>
                  <a:gd name="connsiteY4" fmla="*/ 1762198 h 1798401"/>
                  <a:gd name="connsiteX5" fmla="*/ 1010587 w 2021175"/>
                  <a:gd name="connsiteY5" fmla="*/ 1798401 h 1798401"/>
                  <a:gd name="connsiteX6" fmla="*/ 929628 w 2021175"/>
                  <a:gd name="connsiteY6" fmla="*/ 1762198 h 1798401"/>
                  <a:gd name="connsiteX7" fmla="*/ 0 w 2021175"/>
                  <a:gd name="connsiteY7" fmla="*/ 312296 h 1798401"/>
                  <a:gd name="connsiteX8" fmla="*/ 1051 w 2021175"/>
                  <a:gd name="connsiteY8" fmla="*/ 292973 h 1798401"/>
                  <a:gd name="connsiteX9" fmla="*/ 17422 w 2021175"/>
                  <a:gd name="connsiteY9" fmla="*/ 281609 h 1798401"/>
                  <a:gd name="connsiteX10" fmla="*/ 1010588 w 2021175"/>
                  <a:gd name="connsiteY10" fmla="*/ 0 h 17984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21175" h="1798401">
                    <a:moveTo>
                      <a:pt x="1010588" y="0"/>
                    </a:moveTo>
                    <a:cubicBezTo>
                      <a:pt x="1378479" y="0"/>
                      <a:pt x="1720249" y="103816"/>
                      <a:pt x="2003754" y="281609"/>
                    </a:cubicBezTo>
                    <a:lnTo>
                      <a:pt x="2020124" y="292972"/>
                    </a:lnTo>
                    <a:lnTo>
                      <a:pt x="2021175" y="312296"/>
                    </a:lnTo>
                    <a:cubicBezTo>
                      <a:pt x="2021175" y="938383"/>
                      <a:pt x="1645275" y="1482972"/>
                      <a:pt x="1091547" y="1762198"/>
                    </a:cubicBezTo>
                    <a:lnTo>
                      <a:pt x="1010587" y="1798401"/>
                    </a:lnTo>
                    <a:lnTo>
                      <a:pt x="929628" y="1762198"/>
                    </a:lnTo>
                    <a:cubicBezTo>
                      <a:pt x="375900" y="1482972"/>
                      <a:pt x="0" y="938383"/>
                      <a:pt x="0" y="312296"/>
                    </a:cubicBezTo>
                    <a:lnTo>
                      <a:pt x="1051" y="292973"/>
                    </a:lnTo>
                    <a:lnTo>
                      <a:pt x="17422" y="281609"/>
                    </a:lnTo>
                    <a:cubicBezTo>
                      <a:pt x="300927" y="103816"/>
                      <a:pt x="642697" y="0"/>
                      <a:pt x="1010588" y="0"/>
                    </a:cubicBezTo>
                    <a:close/>
                  </a:path>
                </a:pathLst>
              </a:custGeom>
              <a:solidFill>
                <a:srgbClr val="BECA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5" name="Forma libre: forma 34">
                <a:extLst>
                  <a:ext uri="{FF2B5EF4-FFF2-40B4-BE49-F238E27FC236}">
                    <a16:creationId xmlns:a16="http://schemas.microsoft.com/office/drawing/2014/main" id="{BF6EF3CF-08B7-B377-9C5D-FD1128F221A1}"/>
                  </a:ext>
                </a:extLst>
              </xdr:cNvPr>
              <xdr:cNvSpPr/>
            </xdr:nvSpPr>
            <xdr:spPr>
              <a:xfrm>
                <a:off x="7393898" y="3244411"/>
                <a:ext cx="3550568" cy="1629595"/>
              </a:xfrm>
              <a:custGeom>
                <a:avLst/>
                <a:gdLst>
                  <a:gd name="connsiteX0" fmla="*/ 3550568 w 3550568"/>
                  <a:gd name="connsiteY0" fmla="*/ 0 h 1629595"/>
                  <a:gd name="connsiteX1" fmla="*/ 3542448 w 3550568"/>
                  <a:gd name="connsiteY1" fmla="*/ 149269 h 1629595"/>
                  <a:gd name="connsiteX2" fmla="*/ 1775284 w 3550568"/>
                  <a:gd name="connsiteY2" fmla="*/ 1629595 h 1629595"/>
                  <a:gd name="connsiteX3" fmla="*/ 8120 w 3550568"/>
                  <a:gd name="connsiteY3" fmla="*/ 149269 h 1629595"/>
                  <a:gd name="connsiteX4" fmla="*/ 0 w 3550568"/>
                  <a:gd name="connsiteY4" fmla="*/ 1 h 1629595"/>
                  <a:gd name="connsiteX5" fmla="*/ 16370 w 3550568"/>
                  <a:gd name="connsiteY5" fmla="*/ 11364 h 1629595"/>
                  <a:gd name="connsiteX6" fmla="*/ 1009536 w 3550568"/>
                  <a:gd name="connsiteY6" fmla="*/ 292973 h 1629595"/>
                  <a:gd name="connsiteX7" fmla="*/ 1700966 w 3550568"/>
                  <a:gd name="connsiteY7" fmla="*/ 163393 h 1629595"/>
                  <a:gd name="connsiteX8" fmla="*/ 1775283 w 3550568"/>
                  <a:gd name="connsiteY8" fmla="*/ 130160 h 1629595"/>
                  <a:gd name="connsiteX9" fmla="*/ 1849601 w 3550568"/>
                  <a:gd name="connsiteY9" fmla="*/ 163393 h 1629595"/>
                  <a:gd name="connsiteX10" fmla="*/ 2541031 w 3550568"/>
                  <a:gd name="connsiteY10" fmla="*/ 292973 h 1629595"/>
                  <a:gd name="connsiteX11" fmla="*/ 3534197 w 3550568"/>
                  <a:gd name="connsiteY11" fmla="*/ 11364 h 1629595"/>
                  <a:gd name="connsiteX12" fmla="*/ 3550568 w 3550568"/>
                  <a:gd name="connsiteY12" fmla="*/ 0 h 16295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550568" h="1629595">
                    <a:moveTo>
                      <a:pt x="3550568" y="0"/>
                    </a:moveTo>
                    <a:lnTo>
                      <a:pt x="3542448" y="149269"/>
                    </a:lnTo>
                    <a:cubicBezTo>
                      <a:pt x="3451482" y="980746"/>
                      <a:pt x="2695012" y="1629595"/>
                      <a:pt x="1775284" y="1629595"/>
                    </a:cubicBezTo>
                    <a:cubicBezTo>
                      <a:pt x="855556" y="1629595"/>
                      <a:pt x="99086" y="980746"/>
                      <a:pt x="8120" y="149269"/>
                    </a:cubicBezTo>
                    <a:lnTo>
                      <a:pt x="0" y="1"/>
                    </a:lnTo>
                    <a:lnTo>
                      <a:pt x="16370" y="11364"/>
                    </a:lnTo>
                    <a:cubicBezTo>
                      <a:pt x="299875" y="189157"/>
                      <a:pt x="641645" y="292973"/>
                      <a:pt x="1009536" y="292973"/>
                    </a:cubicBezTo>
                    <a:cubicBezTo>
                      <a:pt x="1254797" y="292973"/>
                      <a:pt x="1488448" y="246833"/>
                      <a:pt x="1700966" y="163393"/>
                    </a:cubicBezTo>
                    <a:lnTo>
                      <a:pt x="1775283" y="130160"/>
                    </a:lnTo>
                    <a:lnTo>
                      <a:pt x="1849601" y="163393"/>
                    </a:lnTo>
                    <a:cubicBezTo>
                      <a:pt x="2062119" y="246833"/>
                      <a:pt x="2295770" y="292973"/>
                      <a:pt x="2541031" y="292973"/>
                    </a:cubicBezTo>
                    <a:cubicBezTo>
                      <a:pt x="2908922" y="292973"/>
                      <a:pt x="3250692" y="189157"/>
                      <a:pt x="3534197" y="11364"/>
                    </a:cubicBezTo>
                    <a:lnTo>
                      <a:pt x="3550568" y="0"/>
                    </a:ln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nvGrpSpPr>
            <xdr:cNvPr id="23" name="Grupo 22">
              <a:extLst>
                <a:ext uri="{FF2B5EF4-FFF2-40B4-BE49-F238E27FC236}">
                  <a16:creationId xmlns:a16="http://schemas.microsoft.com/office/drawing/2014/main" id="{DD4AEF0C-B10C-A8B9-D991-9529A1F6DE6D}"/>
                </a:ext>
              </a:extLst>
            </xdr:cNvPr>
            <xdr:cNvGrpSpPr/>
          </xdr:nvGrpSpPr>
          <xdr:grpSpPr>
            <a:xfrm>
              <a:off x="3575352" y="239547"/>
              <a:ext cx="5084164" cy="4634458"/>
              <a:chOff x="523604" y="239547"/>
              <a:chExt cx="5084164" cy="4634458"/>
            </a:xfrm>
          </xdr:grpSpPr>
          <xdr:sp macro="" textlink="">
            <xdr:nvSpPr>
              <xdr:cNvPr id="24" name="Elipse 23">
                <a:extLst>
                  <a:ext uri="{FF2B5EF4-FFF2-40B4-BE49-F238E27FC236}">
                    <a16:creationId xmlns:a16="http://schemas.microsoft.com/office/drawing/2014/main" id="{4E3DBF42-5E40-C347-B854-BB453442E205}"/>
                  </a:ext>
                </a:extLst>
              </xdr:cNvPr>
              <xdr:cNvSpPr/>
            </xdr:nvSpPr>
            <xdr:spPr>
              <a:xfrm>
                <a:off x="523604" y="239547"/>
                <a:ext cx="3552669" cy="3297836"/>
              </a:xfrm>
              <a:prstGeom prst="ellipse">
                <a:avLst/>
              </a:prstGeom>
              <a:noFill/>
              <a:ln w="19050">
                <a:solidFill>
                  <a:srgbClr val="4D947B">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5" name="Elipse 24">
                <a:extLst>
                  <a:ext uri="{FF2B5EF4-FFF2-40B4-BE49-F238E27FC236}">
                    <a16:creationId xmlns:a16="http://schemas.microsoft.com/office/drawing/2014/main" id="{06DC2029-39D5-DE35-7B99-7F42D9089A99}"/>
                  </a:ext>
                </a:extLst>
              </xdr:cNvPr>
              <xdr:cNvSpPr/>
            </xdr:nvSpPr>
            <xdr:spPr>
              <a:xfrm>
                <a:off x="2055099" y="239547"/>
                <a:ext cx="3552669" cy="3297836"/>
              </a:xfrm>
              <a:prstGeom prst="ellipse">
                <a:avLst/>
              </a:prstGeom>
              <a:noFill/>
              <a:ln>
                <a:solidFill>
                  <a:srgbClr val="AFA927">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6" name="Elipse 25">
                <a:extLst>
                  <a:ext uri="{FF2B5EF4-FFF2-40B4-BE49-F238E27FC236}">
                    <a16:creationId xmlns:a16="http://schemas.microsoft.com/office/drawing/2014/main" id="{F44A9F4F-1E37-30A8-7FDB-DE0B3B675F16}"/>
                  </a:ext>
                </a:extLst>
              </xdr:cNvPr>
              <xdr:cNvSpPr/>
            </xdr:nvSpPr>
            <xdr:spPr>
              <a:xfrm>
                <a:off x="1289352" y="1576169"/>
                <a:ext cx="3552669" cy="3297836"/>
              </a:xfrm>
              <a:prstGeom prst="ellipse">
                <a:avLst/>
              </a:prstGeom>
              <a:noFill/>
              <a:ln>
                <a:solidFill>
                  <a:srgbClr val="786256">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sp macro="" textlink="$Q$137">
        <xdr:nvSpPr>
          <xdr:cNvPr id="20" name="Rectángulo 19">
            <a:extLst>
              <a:ext uri="{FF2B5EF4-FFF2-40B4-BE49-F238E27FC236}">
                <a16:creationId xmlns:a16="http://schemas.microsoft.com/office/drawing/2014/main" id="{CA9E4E4C-FD8F-19A1-79EE-CD7DDFC8E7BB}"/>
              </a:ext>
            </a:extLst>
          </xdr:cNvPr>
          <xdr:cNvSpPr/>
        </xdr:nvSpPr>
        <xdr:spPr>
          <a:xfrm>
            <a:off x="1748117"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3AB5FD-64A0-451F-810B-6A268EF63418}"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9">
        <xdr:nvSpPr>
          <xdr:cNvPr id="36" name="Rectángulo 35">
            <a:extLst>
              <a:ext uri="{FF2B5EF4-FFF2-40B4-BE49-F238E27FC236}">
                <a16:creationId xmlns:a16="http://schemas.microsoft.com/office/drawing/2014/main" id="{66BB8732-B4F8-4CFE-BFAF-78E35FFEAC23}"/>
              </a:ext>
            </a:extLst>
          </xdr:cNvPr>
          <xdr:cNvSpPr/>
        </xdr:nvSpPr>
        <xdr:spPr>
          <a:xfrm>
            <a:off x="3036794" y="2696807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FA99A5-4A81-43B1-A827-47FE10D7AC2A}"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5">
        <xdr:nvSpPr>
          <xdr:cNvPr id="37" name="Rectángulo 36">
            <a:extLst>
              <a:ext uri="{FF2B5EF4-FFF2-40B4-BE49-F238E27FC236}">
                <a16:creationId xmlns:a16="http://schemas.microsoft.com/office/drawing/2014/main" id="{8FF6CEF4-E796-4858-923B-674928982723}"/>
              </a:ext>
            </a:extLst>
          </xdr:cNvPr>
          <xdr:cNvSpPr/>
        </xdr:nvSpPr>
        <xdr:spPr>
          <a:xfrm>
            <a:off x="4428564"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4A8655-7CBE-4D83-9B86-321BEDABEDAE}"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1">
        <xdr:nvSpPr>
          <xdr:cNvPr id="38" name="Rectángulo 37">
            <a:extLst>
              <a:ext uri="{FF2B5EF4-FFF2-40B4-BE49-F238E27FC236}">
                <a16:creationId xmlns:a16="http://schemas.microsoft.com/office/drawing/2014/main" id="{CCE9E713-D289-4FB6-B50C-F828877A3731}"/>
              </a:ext>
            </a:extLst>
          </xdr:cNvPr>
          <xdr:cNvSpPr/>
        </xdr:nvSpPr>
        <xdr:spPr>
          <a:xfrm>
            <a:off x="3036794" y="2786678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186150-E99F-4EDF-8AF4-A42A480808FB}"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6">
        <xdr:nvSpPr>
          <xdr:cNvPr id="39" name="Rectángulo 38">
            <a:extLst>
              <a:ext uri="{FF2B5EF4-FFF2-40B4-BE49-F238E27FC236}">
                <a16:creationId xmlns:a16="http://schemas.microsoft.com/office/drawing/2014/main" id="{D7022232-7633-470D-AC59-79A9CAAB76C7}"/>
              </a:ext>
            </a:extLst>
          </xdr:cNvPr>
          <xdr:cNvSpPr/>
        </xdr:nvSpPr>
        <xdr:spPr>
          <a:xfrm>
            <a:off x="3036794" y="29128568"/>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04954D-3CC5-4A0F-A86A-F886C203DAB3}"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0">
        <xdr:nvSpPr>
          <xdr:cNvPr id="40" name="Rectángulo 39">
            <a:extLst>
              <a:ext uri="{FF2B5EF4-FFF2-40B4-BE49-F238E27FC236}">
                <a16:creationId xmlns:a16="http://schemas.microsoft.com/office/drawing/2014/main" id="{DE3B68EA-F957-4994-8F5B-A4DD4203C160}"/>
              </a:ext>
            </a:extLst>
          </xdr:cNvPr>
          <xdr:cNvSpPr/>
        </xdr:nvSpPr>
        <xdr:spPr>
          <a:xfrm>
            <a:off x="2073088"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94A8EE-E92F-471A-BEAE-4AF2F38805C6}"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8">
        <xdr:nvSpPr>
          <xdr:cNvPr id="41" name="Rectángulo 40">
            <a:extLst>
              <a:ext uri="{FF2B5EF4-FFF2-40B4-BE49-F238E27FC236}">
                <a16:creationId xmlns:a16="http://schemas.microsoft.com/office/drawing/2014/main" id="{73989F5C-EDDA-43C6-AF67-C23AA72543D0}"/>
              </a:ext>
            </a:extLst>
          </xdr:cNvPr>
          <xdr:cNvSpPr/>
        </xdr:nvSpPr>
        <xdr:spPr>
          <a:xfrm>
            <a:off x="3973606"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AD7A93-3181-4FBC-A018-1EE8993B2BA1}"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grpSp>
    <xdr:clientData/>
  </xdr:twoCellAnchor>
  <xdr:twoCellAnchor editAs="absolute">
    <xdr:from>
      <xdr:col>1</xdr:col>
      <xdr:colOff>-1</xdr:colOff>
      <xdr:row>43</xdr:row>
      <xdr:rowOff>0</xdr:rowOff>
    </xdr:from>
    <xdr:to>
      <xdr:col>7</xdr:col>
      <xdr:colOff>-1</xdr:colOff>
      <xdr:row>46</xdr:row>
      <xdr:rowOff>0</xdr:rowOff>
    </xdr:to>
    <xdr:sp macro="" textlink="$X$2">
      <xdr:nvSpPr>
        <xdr:cNvPr id="43" name="Rectángulo 42">
          <a:extLst>
            <a:ext uri="{FF2B5EF4-FFF2-40B4-BE49-F238E27FC236}">
              <a16:creationId xmlns:a16="http://schemas.microsoft.com/office/drawing/2014/main" id="{3C1E4657-30A1-326E-2163-CAB5CD55B74B}"/>
            </a:ext>
          </a:extLst>
        </xdr:cNvPr>
        <xdr:cNvSpPr/>
      </xdr:nvSpPr>
      <xdr:spPr>
        <a:xfrm>
          <a:off x="324970" y="9648265"/>
          <a:ext cx="6387353" cy="571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3D56F34-9384-41CE-B1E3-FAE1552480EE}" type="TxLink">
            <a:rPr lang="en-US" sz="1100" b="0" i="0" u="none" strike="noStrike">
              <a:solidFill>
                <a:srgbClr val="FF0000"/>
              </a:solidFill>
              <a:latin typeface="+mj-lt"/>
              <a:ea typeface="Calibri"/>
              <a:cs typeface="Calibri"/>
            </a:rPr>
            <a:pPr algn="l"/>
            <a:t> </a:t>
          </a:fld>
          <a:endParaRPr lang="es-CO" sz="1100">
            <a:solidFill>
              <a:srgbClr val="FF0000"/>
            </a:solidFill>
            <a:latin typeface="+mj-lt"/>
          </a:endParaRPr>
        </a:p>
      </xdr:txBody>
    </xdr:sp>
    <xdr:clientData/>
  </xdr:twoCellAnchor>
</xdr:wsDr>
</file>

<file path=xl/tables/table1.xml><?xml version="1.0" encoding="utf-8"?>
<table xmlns="http://schemas.openxmlformats.org/spreadsheetml/2006/main" xmlns:mc="http://schemas.openxmlformats.org/markup-compatibility/2006" id="1" name="seguim_fciero" displayName="seguim_fciero" ref="A7:X251" totalsRowCount="0" totalsRowShown="0">
  <autoFilter ref="A7:X251"/>
  <tableColumns count="24">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Descripción del Producto (MGA)"/>
    <tableColumn id="9" name="Códigos BPIN Asociados"/>
    <tableColumn id="10" name="Programación Cuatrienio SisPT"/>
    <tableColumn id="11" name="Programado 2024 (SisPT)"/>
    <tableColumn id="12" name="Programado 2025 (SisPT)"/>
    <tableColumn id="13" name="Programado 2026 (SisPT)"/>
    <tableColumn id="14" name="Programado 2027 (SisPT)"/>
    <tableColumn id="15" name="Compromisos 2024 (CUIPO)"/>
    <tableColumn id="16" name="Obligaciones 2024 (CUIPO)"/>
    <tableColumn id="17" name="Pagos 2024 (CUIPO)"/>
    <tableColumn id="18" name="Obligaciones como % de lo programado (2024)"/>
    <tableColumn id="19" name="Explicación del valor 2024"/>
    <tableColumn id="20" name="Compromisos 2025 (CUIPO)"/>
    <tableColumn id="21" name="Obligaciones 2025 (CUIPO)"/>
    <tableColumn id="22" name="Pagos 2025 (CUIPO)"/>
    <tableColumn id="23" name="Obligaciones como % de lo programado (2025)"/>
    <tableColumn id="24" name="Explicación del valor 20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id="2" name="seguim_fisico" displayName="seguim_fisico" ref="A7:W254" totalsRowCount="0" totalsRowShown="0">
  <autoFilter ref="A7:W254"/>
  <tableColumns count="23">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Código Indicador Producto (MGA)"/>
    <tableColumn id="9" name="Indicador Producto (MGA)"/>
    <tableColumn id="10" name="Códigos BPIN Asociados"/>
    <tableColumn id="11" name="Acumulativo"/>
    <tableColumn id="12" name="Unidad de Medida"/>
    <tableColumn id="13" name="Meta del Cuatrenio (SisPT)"/>
    <tableColumn id="14" name="Programado 2024 (SisPT)"/>
    <tableColumn id="15" name="Programado 2025 (SisPT)"/>
    <tableColumn id="16" name="Programado 2026 (SisPT)"/>
    <tableColumn id="17" name="Programado 2027 (SisPT)"/>
    <tableColumn id="18" name="Ejecución Física 2024 (PIIP)"/>
    <tableColumn id="19" name="Avance físico 2024 (%)"/>
    <tableColumn id="20" name="Explicación del valor 2024"/>
    <tableColumn id="21" name="Ejecución Física 2025 (PIIP)"/>
    <tableColumn id="22" name="Avance físico 2025 (%)"/>
    <tableColumn id="23" name="Explicación del valor 2025"/>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4">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AB154"/>
  <sheetViews>
    <sheetView showRowColHeaders="0" tabSelected="1" zoomScale="85" zoomScaleNormal="85" workbookViewId="0">
      <selection activeCell="D16" sqref="D16:E16"/>
    </sheetView>
  </sheetViews>
  <sheetFormatPr baseColWidth="10" defaultColWidth="0" defaultRowHeight="15" zeroHeight="1" x14ac:dyDescent="0.25"/>
  <cols>
    <col min="1" max="1" width="4.85546875" style="1" customWidth="1"/>
    <col min="2" max="2" width="18.42578125" style="1" customWidth="1"/>
    <col min="3" max="12" width="15.42578125" style="1" customWidth="1"/>
    <col min="13" max="13" width="18.42578125" style="1" customWidth="1"/>
    <col min="14" max="14" width="4.85546875" style="1" customWidth="1"/>
    <col min="15" max="15" width="14.28515625" style="1" hidden="1"/>
    <col min="16" max="23" width="11.5703125" style="1" hidden="1"/>
    <col min="24" max="27" width="8" style="1" hidden="1"/>
    <col min="28" max="16384" width="11.5703125" style="1" hidden="1"/>
  </cols>
  <sheetData>
    <row r="1" spans="2:28" ht="75.599999999999994" customHeight="1" x14ac:dyDescent="0.25">
      <c r="D1" s="80" t="str">
        <f>CONCATENATE("Informe de Seguimiento al PDT
Vigencia ",X1)</f>
        <v>Informe de Seguimiento al PDT
Vigencia (Dar clic en Habilitar Edición)</v>
      </c>
      <c r="E1" s="80"/>
      <c r="F1" s="80"/>
      <c r="G1" s="80"/>
      <c r="H1" s="80"/>
      <c r="I1" s="80"/>
      <c r="J1" s="80"/>
      <c r="K1" s="80"/>
      <c r="P1" s="2"/>
      <c r="Q1" s="1" t="s">
        <v>50</v>
      </c>
      <c r="R1" s="1" t="str">
        <f>MID(TEXT(R2,"#.#"),2,1)</f>
        <v>.</v>
      </c>
      <c r="S1" s="1" t="s">
        <v>104</v>
      </c>
      <c r="X1" s="50" t="inlineStr">
        <is>
          <t>2025 - tercer trimestre</t>
        </is>
      </c>
      <c r="Y1" s="1" t="str">
        <f>LEFT(X1,4)</f>
        <v>(Dar</v>
      </c>
      <c r="Z1" s="1" t="str">
        <f>IF(Y1="2025","2024",IF(Y1="2026","2024, 2025","2024, 2025, 2026"))</f>
        <v>2024, 2025, 2026</v>
      </c>
    </row>
    <row r="2" spans="2:28" x14ac:dyDescent="0.25">
      <c r="C2" s="3"/>
      <c r="D2" s="3"/>
      <c r="E2" s="3"/>
      <c r="F2" s="3"/>
      <c r="G2" s="3"/>
      <c r="H2" s="3"/>
      <c r="I2" s="3"/>
      <c r="J2" s="3"/>
      <c r="K2" s="3"/>
      <c r="L2" s="3"/>
      <c r="P2" s="2"/>
      <c r="Q2" s="1" t="s">
        <v>51</v>
      </c>
      <c r="R2" s="1">
        <v>1.1000000000000001</v>
      </c>
      <c r="S2" s="1" t="str">
        <f>IF(S1=R1,".",",")</f>
        <v>.</v>
      </c>
      <c r="U2" s="1" t="str">
        <f>_xlfn.CONCAT("#",$S$3,"##0")</f>
        <v>#,##0</v>
      </c>
      <c r="X2" s="55" t="str">
        <f>IF($X$3=0,"",CONCATENATE("Nota: Hay indicadores asociados a más de una línea estratégica, por lo que la suma de los montos por línea NO equivale al monto total mostrado arriba. La diferencia es de $",TEXT($X$3,$U$2),"."))</f>
      </c>
    </row>
    <row r="3" spans="2:28" ht="18.600000000000001" customHeight="1" x14ac:dyDescent="0.3">
      <c r="B3" s="4"/>
      <c r="C3" s="78" t="inlineStr">
        <is>
          <t>“Tocancipá Segura, Experiencia con Visión Social 2024 – 2027” – Recuperemos el Progreso</t>
        </is>
      </c>
      <c r="D3" s="78"/>
      <c r="E3" s="78"/>
      <c r="F3" s="78"/>
      <c r="G3" s="78"/>
      <c r="H3" s="78"/>
      <c r="I3" s="78"/>
      <c r="J3" s="78"/>
      <c r="K3" s="78"/>
      <c r="L3" s="78"/>
      <c r="M3" s="4"/>
      <c r="Q3" s="1" t="s">
        <v>52</v>
      </c>
      <c r="S3" s="1" t="str">
        <f>IF(S2=".",",",".")</f>
        <v>,</v>
      </c>
      <c r="U3" s="1" t="str">
        <f>_xlfn.CONCAT("#",$S$3,"##0",$S$2,"0")</f>
        <v>#,##0.0</v>
      </c>
      <c r="X3" s="1">
        <f>IFERROR(INDEX(X5:AB5,MATCH($D$16,$C$23:$G$23,0)),0)</f>
        <v>0</v>
      </c>
    </row>
    <row r="4" spans="2:28" ht="18.600000000000001" customHeight="1" x14ac:dyDescent="0.3">
      <c r="B4" s="4"/>
      <c r="C4" s="78"/>
      <c r="D4" s="78"/>
      <c r="E4" s="78"/>
      <c r="F4" s="78"/>
      <c r="G4" s="78"/>
      <c r="H4" s="78"/>
      <c r="I4" s="78"/>
      <c r="J4" s="78"/>
      <c r="K4" s="78"/>
      <c r="L4" s="78"/>
      <c r="M4" s="4"/>
      <c r="Q4" s="1" t="s">
        <v>53</v>
      </c>
      <c r="X4" s="1">
        <v>2024</v>
      </c>
      <c r="Y4" s="1">
        <v>2025</v>
      </c>
      <c r="Z4" s="1">
        <v>2026</v>
      </c>
      <c r="AA4" s="1">
        <v>2027</v>
      </c>
      <c r="AB4" s="1" t="s">
        <v>6</v>
      </c>
    </row>
    <row r="5" spans="2:28" ht="25.5" x14ac:dyDescent="0.5">
      <c r="B5" s="79" t="inlineStr">
        <is>
          <t>Tocancipá, Cundinamarca</t>
        </is>
      </c>
      <c r="C5" s="79"/>
      <c r="D5" s="79"/>
      <c r="E5" s="79"/>
      <c r="F5" s="79"/>
      <c r="G5" s="79"/>
      <c r="H5" s="79"/>
      <c r="I5" s="79"/>
      <c r="J5" s="79"/>
      <c r="K5" s="79"/>
      <c r="L5" s="79"/>
      <c r="M5" s="79"/>
      <c r="Q5" s="2" t="s">
        <v>6</v>
      </c>
      <c r="X5" s="1">
        <v>0</v>
      </c>
      <c r="Y5" s="1">
        <v>0</v>
      </c>
      <c r="Z5" s="1">
        <v>0</v>
      </c>
      <c r="AA5" s="1">
        <v>0</v>
      </c>
      <c r="AB5" s="1">
        <f>IFERROR(SUM(X5:AA5),0)</f>
        <v>0</v>
      </c>
    </row>
    <row r="6" spans="2:28" x14ac:dyDescent="0.25">
      <c r="P6" t="inlineStr">
        <is>
          <t>LineaEstrategica</t>
        </is>
      </c>
      <c r="Q6" t="inlineStr">
        <is>
          <t>2024</t>
        </is>
      </c>
      <c r="R6" t="inlineStr">
        <is>
          <t>2025</t>
        </is>
      </c>
      <c r="S6" t="inlineStr">
        <is>
          <t>2026</t>
        </is>
      </c>
      <c r="T6" t="inlineStr">
        <is>
          <t>2027</t>
        </is>
      </c>
    </row>
    <row r="7" spans="2:28" x14ac:dyDescent="0.25">
      <c r="E7" s="28"/>
      <c r="F7" s="28"/>
      <c r="G7" s="28"/>
      <c r="H7" s="30" t="s">
        <v>49</v>
      </c>
      <c r="I7" s="22" t="inlineStr">
        <is>
          <t>31 de diciembre de 2025</t>
        </is>
      </c>
      <c r="J7" s="28"/>
      <c r="O7" s="5"/>
      <c r="P7" s="6" t="inlineStr">
        <is>
          <t>Institucionalidad sólida para el progreso</t>
        </is>
      </c>
      <c r="Q7" s="6">
        <v>3578.1307</v>
      </c>
      <c r="R7" s="6">
        <v>10380.642</v>
      </c>
      <c r="S7" s="6">
        <v>3162.363835</v>
      </c>
      <c r="T7" s="6">
        <v>3314.227026</v>
      </c>
      <c r="U7" s="7">
        <f t="shared" ref="U7" si="0">SUM(Q7:T7)</f>
        <v>0</v>
      </c>
      <c r="V7" s="8">
        <f t="shared" ref="V7:V70" si="1">IF(P7="","",INDEX(Q7:U7,MATCH($D$16,$C$23:$G$23,0)))</f>
        <v>0</v>
      </c>
      <c r="W7" s="42" t="str">
        <f>IFERROR(IF(P7="","",CONCATENATE(TEXT(V7,$U$2)," (",TEXT(V7*100/$I$23,$U$3),"%)")),"")</f>
      </c>
    </row>
    <row r="8" spans="2:28" x14ac:dyDescent="0.25">
      <c r="P8" s="6" t="inlineStr">
        <is>
          <t>Progreso con Desarrollo Humano, Integral, equitativo e inclusivo</t>
        </is>
      </c>
      <c r="Q8" s="6">
        <v>201501.78971237</v>
      </c>
      <c r="R8" s="6">
        <v>46136.1631072</v>
      </c>
      <c r="S8" s="6">
        <v>47687.7170361</v>
      </c>
      <c r="T8" s="6">
        <v>50016.7661086</v>
      </c>
      <c r="U8" s="7">
        <f t="shared" ref="U8" si="2">SUM(Q8:T8)</f>
        <v>0</v>
      </c>
      <c r="V8" s="8" t="str">
        <f t="shared" si="1"/>
      </c>
      <c r="W8" s="42" t="str">
        <f t="shared" ref="W8:W71" si="3">IFERROR(IF(P8="","",CONCATENATE(TEXT(V8,$U$2)," (",TEXT(V8*100/$I$23,$U$3),"%)")),"")</f>
      </c>
    </row>
    <row r="9" spans="2:28" ht="30" customHeight="1" x14ac:dyDescent="0.25">
      <c r="B9" s="77" t="s">
        <v>128</v>
      </c>
      <c r="C9" s="77"/>
      <c r="D9" s="77"/>
      <c r="E9" s="77"/>
      <c r="F9" s="77"/>
      <c r="G9" s="77"/>
      <c r="H9" s="77"/>
      <c r="I9" s="77"/>
      <c r="J9" s="77"/>
      <c r="K9" s="77"/>
      <c r="L9" s="77"/>
      <c r="M9" s="77"/>
      <c r="P9" s="6" t="inlineStr">
        <is>
          <t>Progreso con Desarrollo Humano, económico y Productividad</t>
        </is>
      </c>
      <c r="Q9" s="6">
        <v>1672.71399963</v>
      </c>
      <c r="R9" s="6">
        <v>5933.858955</v>
      </c>
      <c r="S9" s="6">
        <v>1784.777101</v>
      </c>
      <c r="T9" s="6">
        <v>1635.900899</v>
      </c>
      <c r="U9" s="7">
        <f t="shared" ref="U9:U40" si="4">SUM(Q9:T9)</f>
        <v>0</v>
      </c>
      <c r="V9" s="8" t="str">
        <f t="shared" si="1"/>
      </c>
      <c r="W9" s="42" t="str">
        <f t="shared" si="3"/>
      </c>
    </row>
    <row r="10" spans="2:28" ht="30" customHeight="1" x14ac:dyDescent="0.25">
      <c r="B10" s="77"/>
      <c r="C10" s="77"/>
      <c r="D10" s="77"/>
      <c r="E10" s="77"/>
      <c r="F10" s="77"/>
      <c r="G10" s="77"/>
      <c r="H10" s="77"/>
      <c r="I10" s="77"/>
      <c r="J10" s="77"/>
      <c r="K10" s="77"/>
      <c r="L10" s="77"/>
      <c r="M10" s="77"/>
      <c r="P10" s="6" t="inlineStr">
        <is>
          <t>Seguridad y Convivencia para el Progreso</t>
        </is>
      </c>
      <c r="Q10" s="6">
        <v>11953.54480951</v>
      </c>
      <c r="R10" s="6">
        <v>25145.838849</v>
      </c>
      <c r="S10" s="6">
        <v>5658.5608572</v>
      </c>
      <c r="T10" s="6">
        <v>7790.0151384</v>
      </c>
      <c r="U10" s="7">
        <f t="shared" si="4"/>
        <v>0</v>
      </c>
      <c r="V10" s="8" t="str">
        <f t="shared" si="1"/>
      </c>
      <c r="W10" s="42" t="str">
        <f t="shared" si="3"/>
      </c>
    </row>
    <row r="11" spans="2:28" x14ac:dyDescent="0.25">
      <c r="P11" s="6" t="inlineStr">
        <is>
          <t>Tocancipá progresa con Territorio Innovador,ordenado, ambiente protegido e infraestructura para la vida</t>
        </is>
      </c>
      <c r="Q11" s="6">
        <v>86487.32870573</v>
      </c>
      <c r="R11" s="6">
        <v>129186.2597</v>
      </c>
      <c r="S11" s="6">
        <v>109239.4971113</v>
      </c>
      <c r="T11" s="6">
        <v>168767.3877325</v>
      </c>
      <c r="U11" s="7">
        <f t="shared" si="4"/>
        <v>0</v>
      </c>
      <c r="V11" s="8" t="str">
        <f t="shared" si="1"/>
      </c>
      <c r="W11" s="42" t="str">
        <f t="shared" si="3"/>
      </c>
    </row>
    <row r="12" spans="2:28" ht="17.25" x14ac:dyDescent="0.3">
      <c r="B12" s="11" t="s">
        <v>105</v>
      </c>
      <c r="C12" s="12"/>
      <c r="D12" s="12"/>
      <c r="E12" s="12"/>
      <c r="F12" s="12"/>
      <c r="G12" s="12"/>
      <c r="H12" s="12"/>
      <c r="I12" s="12"/>
      <c r="J12" s="12"/>
      <c r="K12" s="12"/>
      <c r="L12" s="12"/>
      <c r="M12" s="12"/>
      <c r="P12" s="6"/>
      <c r="Q12" s="6"/>
      <c r="R12" s="6"/>
      <c r="S12" s="6"/>
      <c r="T12" s="6"/>
      <c r="U12" s="7">
        <f t="shared" si="4"/>
        <v>0</v>
      </c>
      <c r="V12" s="8" t="str">
        <f t="shared" si="1"/>
      </c>
      <c r="W12" s="42" t="str">
        <f t="shared" si="3"/>
      </c>
    </row>
    <row r="13" spans="2:28" x14ac:dyDescent="0.25">
      <c r="P13" s="6"/>
      <c r="Q13" s="6"/>
      <c r="R13" s="6"/>
      <c r="S13" s="6"/>
      <c r="T13" s="6"/>
      <c r="U13" s="7">
        <f t="shared" si="4"/>
        <v>0</v>
      </c>
      <c r="V13" s="8" t="str">
        <f t="shared" si="1"/>
      </c>
      <c r="W13" s="42" t="str">
        <f t="shared" si="3"/>
      </c>
    </row>
    <row r="14" spans="2:28" x14ac:dyDescent="0.25">
      <c r="B14" s="28" t="s">
        <v>4</v>
      </c>
      <c r="C14" s="28"/>
      <c r="D14" s="28"/>
      <c r="E14" s="28"/>
      <c r="F14" s="28"/>
      <c r="G14" s="28"/>
      <c r="H14" s="28"/>
      <c r="I14" s="28"/>
      <c r="U14" s="7">
        <f t="shared" si="4"/>
        <v>0</v>
      </c>
      <c r="V14" s="8" t="str">
        <f t="shared" si="1"/>
      </c>
      <c r="W14" s="42" t="str">
        <f t="shared" si="3"/>
      </c>
    </row>
    <row r="15" spans="2:28" x14ac:dyDescent="0.25">
      <c r="B15" s="28"/>
      <c r="C15" s="29"/>
      <c r="D15" s="28"/>
      <c r="E15" s="28"/>
      <c r="F15" s="28"/>
      <c r="G15" s="28"/>
      <c r="H15" s="35"/>
      <c r="I15" s="35"/>
      <c r="J15" s="3"/>
      <c r="U15" s="7">
        <f t="shared" si="4"/>
        <v>0</v>
      </c>
      <c r="V15" s="8" t="str">
        <f t="shared" si="1"/>
      </c>
      <c r="W15" s="42" t="str">
        <f t="shared" si="3"/>
      </c>
    </row>
    <row r="16" spans="2:28" x14ac:dyDescent="0.25">
      <c r="B16" s="81" t="s">
        <v>5</v>
      </c>
      <c r="C16" s="81"/>
      <c r="D16" s="82" t="s">
        <v>6</v>
      </c>
      <c r="E16" s="83"/>
      <c r="F16" s="28"/>
      <c r="G16" s="28"/>
      <c r="H16" s="35"/>
      <c r="I16" s="35"/>
      <c r="J16" s="3"/>
      <c r="U16" s="7">
        <f t="shared" si="4"/>
        <v>0</v>
      </c>
      <c r="V16" s="8" t="str">
        <f t="shared" si="1"/>
      </c>
      <c r="W16" s="42" t="str">
        <f t="shared" si="3"/>
      </c>
    </row>
    <row r="17" spans="1:23" x14ac:dyDescent="0.25">
      <c r="B17" s="28"/>
      <c r="C17" s="28"/>
      <c r="D17" s="28"/>
      <c r="E17" s="28"/>
      <c r="F17" s="28"/>
      <c r="G17" s="28"/>
      <c r="H17" s="35"/>
      <c r="I17" s="35"/>
      <c r="J17" s="3"/>
      <c r="U17" s="7">
        <f t="shared" si="4"/>
        <v>0</v>
      </c>
      <c r="V17" s="8" t="str">
        <f t="shared" si="1"/>
      </c>
      <c r="W17" s="42" t="str">
        <f t="shared" si="3"/>
      </c>
    </row>
    <row r="18" spans="1:23" ht="21" customHeight="1" x14ac:dyDescent="0.25">
      <c r="B18" s="76" t="str">
        <f>CONCATENATE("Monto total programado ",D16," (en millones de pesos): ",TEXT(I23,$U$2))</f>
        <v>Monto total programado Total Cuatrienio (en millones de pesos): 0</v>
      </c>
      <c r="C18" s="76"/>
      <c r="D18" s="76"/>
      <c r="E18" s="76"/>
      <c r="F18" s="76"/>
      <c r="G18" s="76"/>
      <c r="H18" s="35"/>
      <c r="I18" s="35"/>
      <c r="J18" s="3"/>
      <c r="U18" s="7">
        <f t="shared" si="4"/>
        <v>0</v>
      </c>
      <c r="V18" s="8" t="str">
        <f t="shared" si="1"/>
      </c>
      <c r="W18" s="42" t="str">
        <f t="shared" si="3"/>
      </c>
    </row>
    <row r="19" spans="1:23" x14ac:dyDescent="0.25">
      <c r="A19" s="3"/>
      <c r="B19" s="36"/>
      <c r="C19" s="36"/>
      <c r="D19" s="36"/>
      <c r="E19" s="3"/>
      <c r="F19" s="3"/>
      <c r="G19" s="3"/>
      <c r="H19" s="3"/>
      <c r="I19" s="3"/>
      <c r="J19" s="3"/>
      <c r="U19" s="7">
        <f t="shared" si="4"/>
        <v>0</v>
      </c>
      <c r="V19" s="8" t="str">
        <f t="shared" si="1"/>
      </c>
      <c r="W19" s="42" t="str">
        <f t="shared" si="3"/>
      </c>
    </row>
    <row r="20" spans="1:23" x14ac:dyDescent="0.25">
      <c r="A20" s="3"/>
      <c r="B20" s="36"/>
      <c r="C20" s="36"/>
      <c r="D20" s="36"/>
      <c r="E20" s="3"/>
      <c r="F20" s="3"/>
      <c r="G20" s="3"/>
      <c r="H20" s="3"/>
      <c r="I20" s="3"/>
      <c r="J20" s="3"/>
      <c r="U20" s="7">
        <f t="shared" si="4"/>
        <v>0</v>
      </c>
      <c r="V20" s="8" t="str">
        <f t="shared" si="1"/>
      </c>
      <c r="W20" s="42" t="str">
        <f t="shared" si="3"/>
      </c>
    </row>
    <row r="21" spans="1:23" x14ac:dyDescent="0.25">
      <c r="A21" s="3"/>
      <c r="B21" s="3"/>
      <c r="C21" s="3"/>
      <c r="D21" s="3"/>
      <c r="E21" s="3"/>
      <c r="F21" s="3"/>
      <c r="G21" s="3"/>
      <c r="H21" s="3"/>
      <c r="I21" s="3"/>
      <c r="J21" s="3"/>
      <c r="U21" s="7">
        <f t="shared" si="4"/>
        <v>0</v>
      </c>
      <c r="V21" s="8" t="str">
        <f t="shared" si="1"/>
      </c>
      <c r="W21" s="42" t="str">
        <f t="shared" si="3"/>
      </c>
    </row>
    <row r="22" spans="1:23" x14ac:dyDescent="0.25">
      <c r="A22" s="3"/>
      <c r="B22" s="3"/>
      <c r="C22" s="3"/>
      <c r="D22" s="3"/>
      <c r="E22" s="3"/>
      <c r="F22" s="3"/>
      <c r="G22" s="3"/>
      <c r="H22" s="3"/>
      <c r="I22" s="3"/>
      <c r="J22" s="3"/>
      <c r="K22" s="9"/>
      <c r="L22" s="9"/>
      <c r="M22" s="9"/>
      <c r="N22" s="9"/>
      <c r="O22" s="9"/>
      <c r="U22" s="7">
        <f t="shared" si="4"/>
        <v>0</v>
      </c>
      <c r="V22" s="8" t="str">
        <f t="shared" si="1"/>
      </c>
      <c r="W22" s="42" t="str">
        <f t="shared" si="3"/>
      </c>
    </row>
    <row r="23" spans="1:23" x14ac:dyDescent="0.25">
      <c r="A23" s="9"/>
      <c r="B23" s="9" t="inlineStr">
        <is>
          <t>Var</t>
        </is>
      </c>
      <c r="C23" s="9" t="inlineStr">
        <is>
          <t>2024</t>
        </is>
      </c>
      <c r="D23" s="9" t="inlineStr">
        <is>
          <t>2025</t>
        </is>
      </c>
      <c r="E23" s="9" t="inlineStr">
        <is>
          <t>2026</t>
        </is>
      </c>
      <c r="F23" s="9" t="inlineStr">
        <is>
          <t>2027</t>
        </is>
      </c>
      <c r="G23" s="9" t="s">
        <v>6</v>
      </c>
      <c r="H23" s="9" t="str">
        <f t="shared" ref="H23:H54" si="5">INDEX(C23:G23,MATCH($D$16,$C$23:$G$23,0))</f>
        <v>Total Cuatrienio</v>
      </c>
      <c r="I23" s="13">
        <f>SUM(H24:H42)</f>
        <v>0</v>
      </c>
      <c r="J23" s="9"/>
      <c r="K23" s="9"/>
      <c r="L23" s="9"/>
      <c r="M23" s="9"/>
      <c r="N23" s="9"/>
      <c r="O23" s="9"/>
      <c r="U23" s="7">
        <f t="shared" si="4"/>
        <v>0</v>
      </c>
      <c r="V23" s="8" t="str">
        <f t="shared" si="1"/>
      </c>
      <c r="W23" s="42" t="str">
        <f t="shared" si="3"/>
      </c>
    </row>
    <row r="24" spans="1:23" x14ac:dyDescent="0.25">
      <c r="A24" s="9"/>
      <c r="B24" s="9" t="inlineStr">
        <is>
          <t xml:space="preserve">Agricultura y desarrollo rural
</t>
        </is>
      </c>
      <c r="C24" s="9">
        <v>758.21399963</v>
      </c>
      <c r="D24" s="14">
        <v>996.358955</v>
      </c>
      <c r="E24" s="14">
        <v>403.219</v>
      </c>
      <c r="F24" s="14">
        <v>313.639</v>
      </c>
      <c r="G24" s="14">
        <f>SUM(C24:F24)</f>
        <v>0</v>
      </c>
      <c r="H24" s="13">
        <f t="shared" si="5"/>
        <v>0</v>
      </c>
      <c r="I24" s="9" t="e">
        <f>CONCATENATE(TEXT(H24,$U$2)," (",TEXT(H24*100/$I$23,$U$3),"%)")</f>
        <v>#DIV/0!</v>
      </c>
      <c r="J24" s="9"/>
      <c r="K24" s="9"/>
      <c r="L24" s="9"/>
      <c r="M24" s="9"/>
      <c r="N24" s="9"/>
      <c r="O24" s="9"/>
      <c r="U24" s="7">
        <f t="shared" si="4"/>
        <v>0</v>
      </c>
      <c r="V24" s="8" t="str">
        <f t="shared" si="1"/>
      </c>
      <c r="W24" s="42" t="str">
        <f t="shared" si="3"/>
      </c>
    </row>
    <row r="25" spans="1:23" x14ac:dyDescent="0.25">
      <c r="A25" s="9"/>
      <c r="B25" s="9" t="inlineStr">
        <is>
          <t>Ambiente y desarrollo sostenible</t>
        </is>
      </c>
      <c r="C25" s="9">
        <v>2388.5000564</v>
      </c>
      <c r="D25" s="14">
        <v>4162.131538</v>
      </c>
      <c r="E25" s="14">
        <v>2119.521085</v>
      </c>
      <c r="F25" s="14">
        <v>2097.337038</v>
      </c>
      <c r="G25" s="14">
        <f t="shared" ref="G25:G40" si="6">SUM(C25:F25)</f>
        <v>0</v>
      </c>
      <c r="H25" s="13">
        <f t="shared" si="5"/>
        <v>0</v>
      </c>
      <c r="I25" s="9" t="e">
        <f t="shared" ref="I25:I73" si="7">CONCATENATE(TEXT(H25,$U$2)," (",TEXT(H25*100/$I$23,$U$3),"%)")</f>
        <v>#DIV/0!</v>
      </c>
      <c r="J25" s="9"/>
      <c r="K25" s="9"/>
      <c r="L25" s="9"/>
      <c r="M25" s="9"/>
      <c r="N25" s="9"/>
      <c r="O25" s="9"/>
      <c r="U25" s="7">
        <f t="shared" si="4"/>
        <v>0</v>
      </c>
      <c r="V25" s="8" t="str">
        <f t="shared" si="1"/>
      </c>
      <c r="W25" s="42" t="str">
        <f t="shared" si="3"/>
      </c>
    </row>
    <row r="26" spans="1:23" x14ac:dyDescent="0.25">
      <c r="A26" s="9"/>
      <c r="B26" s="9" t="inlineStr">
        <is>
          <t xml:space="preserve">Ciencia, tecnología e innovación
</t>
        </is>
      </c>
      <c r="C26" s="9">
        <v>0</v>
      </c>
      <c r="D26" s="14">
        <v>0</v>
      </c>
      <c r="E26" s="14">
        <v>0</v>
      </c>
      <c r="F26" s="14">
        <v>0</v>
      </c>
      <c r="G26" s="14">
        <f t="shared" si="6"/>
        <v>0</v>
      </c>
      <c r="H26" s="13">
        <f t="shared" si="5"/>
        <v>0</v>
      </c>
      <c r="I26" s="9" t="e">
        <f t="shared" si="7"/>
        <v>#DIV/0!</v>
      </c>
      <c r="J26" s="9"/>
      <c r="K26" s="9"/>
      <c r="L26" s="9"/>
      <c r="M26" s="9"/>
      <c r="N26" s="9"/>
      <c r="O26" s="9"/>
      <c r="U26" s="7">
        <f t="shared" si="4"/>
        <v>0</v>
      </c>
      <c r="V26" s="8" t="str">
        <f t="shared" si="1"/>
      </c>
      <c r="W26" s="42" t="str">
        <f t="shared" si="3"/>
      </c>
    </row>
    <row r="27" spans="1:23" x14ac:dyDescent="0.25">
      <c r="A27" s="9"/>
      <c r="B27" s="9" t="inlineStr">
        <is>
          <t>Comercio, industria y turismo</t>
        </is>
      </c>
      <c r="C27" s="9">
        <v>744.5</v>
      </c>
      <c r="D27" s="9">
        <v>3737.5</v>
      </c>
      <c r="E27" s="9">
        <v>1226.558101</v>
      </c>
      <c r="F27" s="9">
        <v>1167.261899</v>
      </c>
      <c r="G27" s="14">
        <f t="shared" si="6"/>
        <v>0</v>
      </c>
      <c r="H27" s="13">
        <f t="shared" si="5"/>
        <v>0</v>
      </c>
      <c r="I27" s="9" t="e">
        <f t="shared" si="7"/>
        <v>#DIV/0!</v>
      </c>
      <c r="J27" s="9"/>
      <c r="K27" s="9"/>
      <c r="L27" s="9"/>
      <c r="M27" s="9"/>
      <c r="N27" s="9"/>
      <c r="O27" s="9"/>
      <c r="U27" s="7">
        <f t="shared" si="4"/>
        <v>0</v>
      </c>
      <c r="V27" s="8" t="str">
        <f t="shared" si="1"/>
      </c>
      <c r="W27" s="42" t="str">
        <f t="shared" si="3"/>
      </c>
    </row>
    <row r="28" spans="1:23" x14ac:dyDescent="0.25">
      <c r="A28" s="9"/>
      <c r="B28" s="9" t="inlineStr">
        <is>
          <t>Cultura</t>
        </is>
      </c>
      <c r="C28" s="9">
        <v>39109.9922906</v>
      </c>
      <c r="D28" s="9">
        <v>37850.3038904</v>
      </c>
      <c r="E28" s="9">
        <v>8389.644814</v>
      </c>
      <c r="F28" s="9">
        <v>25081.1741584</v>
      </c>
      <c r="G28" s="14">
        <f t="shared" si="6"/>
        <v>0</v>
      </c>
      <c r="H28" s="13">
        <f t="shared" si="5"/>
        <v>0</v>
      </c>
      <c r="I28" s="9" t="e">
        <f t="shared" si="7"/>
        <v>#DIV/0!</v>
      </c>
      <c r="J28" s="9"/>
      <c r="K28" s="9"/>
      <c r="L28" s="9"/>
      <c r="M28" s="9"/>
      <c r="N28" s="9"/>
      <c r="O28" s="9"/>
      <c r="U28" s="7">
        <f t="shared" si="4"/>
        <v>0</v>
      </c>
      <c r="V28" s="8" t="str">
        <f t="shared" si="1"/>
      </c>
      <c r="W28" s="42" t="str">
        <f t="shared" si="3"/>
      </c>
    </row>
    <row r="29" spans="1:23" x14ac:dyDescent="0.25">
      <c r="A29" s="9"/>
      <c r="B29" s="9" t="inlineStr">
        <is>
          <t>Defensa y Policía</t>
        </is>
      </c>
      <c r="C29" s="9">
        <v>0</v>
      </c>
      <c r="D29" s="9">
        <v>0</v>
      </c>
      <c r="E29" s="9">
        <v>0</v>
      </c>
      <c r="F29" s="9">
        <v>0</v>
      </c>
      <c r="G29" s="14">
        <f t="shared" si="6"/>
        <v>0</v>
      </c>
      <c r="H29" s="13">
        <f t="shared" si="5"/>
        <v>0</v>
      </c>
      <c r="I29" s="9" t="e">
        <f t="shared" si="7"/>
        <v>#DIV/0!</v>
      </c>
      <c r="J29" s="9"/>
      <c r="K29" s="9"/>
      <c r="L29" s="9"/>
      <c r="M29" s="9"/>
      <c r="N29" s="9"/>
      <c r="O29" s="9"/>
      <c r="U29" s="7">
        <f t="shared" si="4"/>
        <v>0</v>
      </c>
      <c r="V29" s="8" t="str">
        <f t="shared" si="1"/>
      </c>
      <c r="W29" s="42" t="str">
        <f t="shared" si="3"/>
      </c>
    </row>
    <row r="30" spans="1:23" x14ac:dyDescent="0.25">
      <c r="A30" s="9"/>
      <c r="B30" s="9" t="inlineStr">
        <is>
          <t>Deporte y Recreación</t>
        </is>
      </c>
      <c r="C30" s="9">
        <v>12408.3171392</v>
      </c>
      <c r="D30" s="9">
        <v>12180.7211312</v>
      </c>
      <c r="E30" s="9">
        <v>14211.108</v>
      </c>
      <c r="F30" s="9">
        <v>10957.491</v>
      </c>
      <c r="G30" s="14">
        <f t="shared" si="6"/>
        <v>0</v>
      </c>
      <c r="H30" s="13">
        <f t="shared" si="5"/>
        <v>0</v>
      </c>
      <c r="I30" s="9" t="e">
        <f t="shared" si="7"/>
        <v>#DIV/0!</v>
      </c>
      <c r="J30" s="9"/>
      <c r="K30" s="9"/>
      <c r="L30" s="9"/>
      <c r="M30" s="9"/>
      <c r="N30" s="9"/>
      <c r="O30" s="9"/>
      <c r="U30" s="7">
        <f t="shared" si="4"/>
        <v>0</v>
      </c>
      <c r="V30" s="8" t="str">
        <f t="shared" si="1"/>
      </c>
      <c r="W30" s="42" t="str">
        <f t="shared" si="3"/>
      </c>
    </row>
    <row r="31" spans="1:23" x14ac:dyDescent="0.25">
      <c r="A31" s="9"/>
      <c r="B31" s="9" t="inlineStr">
        <is>
          <t>Educación</t>
        </is>
      </c>
      <c r="C31" s="9">
        <v>155797.82146761</v>
      </c>
      <c r="D31" s="9">
        <v>20356.103311</v>
      </c>
      <c r="E31" s="9">
        <v>27015.8025875</v>
      </c>
      <c r="F31" s="9">
        <v>26502.1032326</v>
      </c>
      <c r="G31" s="14">
        <f t="shared" si="6"/>
        <v>0</v>
      </c>
      <c r="H31" s="13">
        <f t="shared" si="5"/>
        <v>0</v>
      </c>
      <c r="I31" s="9" t="e">
        <f t="shared" si="7"/>
        <v>#DIV/0!</v>
      </c>
      <c r="J31" s="9"/>
      <c r="K31" s="9"/>
      <c r="L31" s="9"/>
      <c r="M31" s="9"/>
      <c r="N31" s="9"/>
      <c r="O31" s="9"/>
      <c r="U31" s="7">
        <f t="shared" si="4"/>
        <v>0</v>
      </c>
      <c r="V31" s="8" t="str">
        <f t="shared" si="1"/>
      </c>
      <c r="W31" s="42" t="str">
        <f t="shared" si="3"/>
      </c>
    </row>
    <row r="32" spans="1:23" x14ac:dyDescent="0.25">
      <c r="A32" s="9"/>
      <c r="B32" s="9" t="inlineStr">
        <is>
          <t>Gobierno Territorial</t>
        </is>
      </c>
      <c r="C32" s="9">
        <v>16934.50609249</v>
      </c>
      <c r="D32" s="9">
        <v>45704.414472</v>
      </c>
      <c r="E32" s="9">
        <v>12413.4858772</v>
      </c>
      <c r="F32" s="9">
        <v>14018.4846382</v>
      </c>
      <c r="G32" s="14">
        <f t="shared" si="6"/>
        <v>0</v>
      </c>
      <c r="H32" s="13">
        <f t="shared" si="5"/>
        <v>0</v>
      </c>
      <c r="I32" s="9" t="e">
        <f t="shared" si="7"/>
        <v>#DIV/0!</v>
      </c>
      <c r="J32" s="9"/>
      <c r="K32" s="9"/>
      <c r="L32" s="9"/>
      <c r="M32" s="9"/>
      <c r="N32" s="9"/>
      <c r="O32" s="9"/>
      <c r="U32" s="7">
        <f t="shared" si="4"/>
        <v>0</v>
      </c>
      <c r="V32" s="8" t="str">
        <f t="shared" si="1"/>
      </c>
      <c r="W32" s="42" t="str">
        <f t="shared" si="3"/>
      </c>
    </row>
    <row r="33" spans="1:23" x14ac:dyDescent="0.25">
      <c r="A33" s="9"/>
      <c r="B33" s="9" t="inlineStr">
        <is>
          <t xml:space="preserve">Inclusión social y reconciliación </t>
        </is>
      </c>
      <c r="C33" s="9">
        <v>23264.12791066</v>
      </c>
      <c r="D33" s="9">
        <v>29129.584332</v>
      </c>
      <c r="E33" s="9">
        <v>9487.8186533</v>
      </c>
      <c r="F33" s="9">
        <v>7548.9360622</v>
      </c>
      <c r="G33" s="14">
        <f t="shared" si="6"/>
        <v>0</v>
      </c>
      <c r="H33" s="13">
        <f t="shared" si="5"/>
        <v>0</v>
      </c>
      <c r="I33" s="9" t="e">
        <f t="shared" si="7"/>
        <v>#DIV/0!</v>
      </c>
      <c r="J33" s="9"/>
      <c r="K33" s="9"/>
      <c r="L33" s="9"/>
      <c r="M33" s="9"/>
      <c r="N33" s="9"/>
      <c r="O33" s="9"/>
      <c r="U33" s="7">
        <f t="shared" si="4"/>
        <v>0</v>
      </c>
      <c r="V33" s="8" t="str">
        <f t="shared" si="1"/>
      </c>
      <c r="W33" s="42" t="str">
        <f t="shared" si="3"/>
      </c>
    </row>
    <row r="34" spans="1:23" x14ac:dyDescent="0.25">
      <c r="A34" s="9"/>
      <c r="B34" s="9" t="inlineStr">
        <is>
          <t>Información Estadística</t>
        </is>
      </c>
      <c r="C34" s="9">
        <v>923.08831715</v>
      </c>
      <c r="D34" s="9">
        <v>1282.720706</v>
      </c>
      <c r="E34" s="9">
        <v>2549.705</v>
      </c>
      <c r="F34" s="9">
        <v>322.52</v>
      </c>
      <c r="G34" s="14">
        <f t="shared" si="6"/>
        <v>0</v>
      </c>
      <c r="H34" s="13">
        <f t="shared" si="5"/>
        <v>0</v>
      </c>
      <c r="I34" s="9" t="e">
        <f t="shared" si="7"/>
        <v>#DIV/0!</v>
      </c>
      <c r="J34" s="9"/>
      <c r="K34" s="9"/>
      <c r="L34" s="9"/>
      <c r="M34" s="9"/>
      <c r="N34" s="9"/>
      <c r="O34" s="9"/>
      <c r="U34" s="7">
        <f t="shared" si="4"/>
        <v>0</v>
      </c>
      <c r="V34" s="8" t="str">
        <f t="shared" si="1"/>
      </c>
      <c r="W34" s="42" t="str">
        <f t="shared" si="3"/>
      </c>
    </row>
    <row r="35" spans="1:23" x14ac:dyDescent="0.25">
      <c r="A35" s="9"/>
      <c r="B35" s="9" t="inlineStr">
        <is>
          <t>Justicia y del derecho</t>
        </is>
      </c>
      <c r="C35" s="9">
        <v>194.4</v>
      </c>
      <c r="D35" s="9">
        <v>430</v>
      </c>
      <c r="E35" s="9">
        <v>97.5</v>
      </c>
      <c r="F35" s="9">
        <v>96</v>
      </c>
      <c r="G35" s="14">
        <f t="shared" si="6"/>
        <v>0</v>
      </c>
      <c r="H35" s="13">
        <f t="shared" si="5"/>
        <v>0</v>
      </c>
      <c r="I35" s="9" t="e">
        <f t="shared" si="7"/>
        <v>#DIV/0!</v>
      </c>
      <c r="J35" s="9"/>
      <c r="K35" s="9"/>
      <c r="L35" s="9"/>
      <c r="M35" s="9"/>
      <c r="N35" s="9"/>
      <c r="O35" s="9"/>
      <c r="U35" s="7">
        <f t="shared" si="4"/>
        <v>0</v>
      </c>
      <c r="V35" s="8" t="str">
        <f t="shared" si="1"/>
      </c>
      <c r="W35" s="42" t="str">
        <f t="shared" si="3"/>
      </c>
    </row>
    <row r="36" spans="1:23" x14ac:dyDescent="0.25">
      <c r="A36" s="9"/>
      <c r="B36" s="9" t="inlineStr">
        <is>
          <t>Minas y Energía</t>
        </is>
      </c>
      <c r="C36" s="9">
        <v>4486.271835</v>
      </c>
      <c r="D36" s="9">
        <v>5002</v>
      </c>
      <c r="E36" s="9">
        <v>500</v>
      </c>
      <c r="F36" s="9">
        <v>500</v>
      </c>
      <c r="G36" s="14">
        <f t="shared" si="6"/>
        <v>0</v>
      </c>
      <c r="H36" s="13">
        <f t="shared" si="5"/>
        <v>0</v>
      </c>
      <c r="I36" s="9" t="e">
        <f t="shared" si="7"/>
        <v>#DIV/0!</v>
      </c>
      <c r="J36" s="9"/>
      <c r="K36" s="9"/>
      <c r="L36" s="9"/>
      <c r="M36" s="9"/>
      <c r="N36" s="9"/>
      <c r="O36" s="9"/>
      <c r="U36" s="7">
        <f t="shared" si="4"/>
        <v>0</v>
      </c>
      <c r="V36" s="8" t="str">
        <f t="shared" si="1"/>
      </c>
      <c r="W36" s="42" t="str">
        <f t="shared" si="3"/>
      </c>
    </row>
    <row r="37" spans="1:23" x14ac:dyDescent="0.25">
      <c r="A37" s="9"/>
      <c r="B37" s="9" t="inlineStr">
        <is>
          <t>Organismos de Control</t>
        </is>
      </c>
      <c r="C37" s="9">
        <v>0</v>
      </c>
      <c r="D37" s="9">
        <v>0</v>
      </c>
      <c r="E37" s="9">
        <v>0</v>
      </c>
      <c r="F37" s="9">
        <v>0</v>
      </c>
      <c r="G37" s="14">
        <f t="shared" si="6"/>
        <v>0</v>
      </c>
      <c r="H37" s="13">
        <f t="shared" si="5"/>
        <v>0</v>
      </c>
      <c r="I37" s="9" t="e">
        <f t="shared" si="7"/>
        <v>#DIV/0!</v>
      </c>
      <c r="J37" s="9"/>
      <c r="K37" s="9"/>
      <c r="L37" s="9"/>
      <c r="M37" s="9"/>
      <c r="N37" s="9"/>
      <c r="O37" s="9"/>
      <c r="U37" s="7">
        <f t="shared" si="4"/>
        <v>0</v>
      </c>
      <c r="V37" s="8" t="str">
        <f t="shared" si="1"/>
      </c>
      <c r="W37" s="42" t="str">
        <f t="shared" si="3"/>
      </c>
    </row>
    <row r="38" spans="1:23" x14ac:dyDescent="0.25">
      <c r="A38" s="9"/>
      <c r="B38" s="9" t="inlineStr">
        <is>
          <t>Salud y protección social</t>
        </is>
      </c>
      <c r="C38" s="9">
        <v>19304.937841</v>
      </c>
      <c r="D38" s="9">
        <v>3311.2081806</v>
      </c>
      <c r="E38" s="9">
        <v>4785.1102626</v>
      </c>
      <c r="F38" s="9">
        <v>4474.3657761</v>
      </c>
      <c r="G38" s="14">
        <f t="shared" si="6"/>
        <v>0</v>
      </c>
      <c r="H38" s="13">
        <f t="shared" si="5"/>
        <v>0</v>
      </c>
      <c r="I38" s="9" t="e">
        <f t="shared" si="7"/>
        <v>#DIV/0!</v>
      </c>
      <c r="J38" s="9"/>
      <c r="K38" s="9"/>
      <c r="L38" s="9"/>
      <c r="M38" s="9"/>
      <c r="N38" s="9"/>
      <c r="O38" s="9"/>
      <c r="U38" s="7">
        <f t="shared" si="4"/>
        <v>0</v>
      </c>
      <c r="V38" s="8" t="str">
        <f t="shared" si="1"/>
      </c>
      <c r="W38" s="42" t="str">
        <f t="shared" si="3"/>
      </c>
    </row>
    <row r="39" spans="1:23" x14ac:dyDescent="0.25">
      <c r="A39" s="9"/>
      <c r="B39" s="9" t="inlineStr">
        <is>
          <t>Tecnologías de la información y las comunicaciones</t>
        </is>
      </c>
      <c r="C39" s="9">
        <v>661.34002</v>
      </c>
      <c r="D39" s="9">
        <v>1545</v>
      </c>
      <c r="E39" s="9">
        <v>222</v>
      </c>
      <c r="F39" s="9">
        <v>228.5</v>
      </c>
      <c r="G39" s="14">
        <f t="shared" si="6"/>
        <v>0</v>
      </c>
      <c r="H39" s="13">
        <f t="shared" si="5"/>
        <v>0</v>
      </c>
      <c r="I39" s="9" t="e">
        <f t="shared" si="7"/>
        <v>#DIV/0!</v>
      </c>
      <c r="J39" s="9"/>
      <c r="K39" s="9"/>
      <c r="L39" s="9"/>
      <c r="M39" s="9"/>
      <c r="N39" s="9"/>
      <c r="O39" s="9"/>
      <c r="U39" s="7">
        <f t="shared" si="4"/>
        <v>0</v>
      </c>
      <c r="V39" s="8" t="str">
        <f t="shared" si="1"/>
      </c>
      <c r="W39" s="42" t="str">
        <f t="shared" si="3"/>
      </c>
    </row>
    <row r="40" spans="1:23" x14ac:dyDescent="0.25">
      <c r="A40" s="9"/>
      <c r="B40" s="9" t="inlineStr">
        <is>
          <t>Trabajo</t>
        </is>
      </c>
      <c r="C40" s="9">
        <v>170</v>
      </c>
      <c r="D40" s="9">
        <v>200</v>
      </c>
      <c r="E40" s="9">
        <v>155</v>
      </c>
      <c r="F40" s="9">
        <v>155</v>
      </c>
      <c r="G40" s="14">
        <f t="shared" si="6"/>
        <v>0</v>
      </c>
      <c r="H40" s="13">
        <f t="shared" si="5"/>
        <v>0</v>
      </c>
      <c r="I40" s="9" t="e">
        <f t="shared" si="7"/>
        <v>#DIV/0!</v>
      </c>
      <c r="J40" s="9"/>
      <c r="K40" s="9"/>
      <c r="L40" s="9"/>
      <c r="M40" s="9"/>
      <c r="N40" s="9"/>
      <c r="O40" s="9"/>
      <c r="U40" s="7">
        <f t="shared" si="4"/>
        <v>0</v>
      </c>
      <c r="V40" s="8" t="str">
        <f t="shared" si="1"/>
      </c>
      <c r="W40" s="42" t="str">
        <f t="shared" si="3"/>
      </c>
    </row>
    <row r="41" spans="1:23" x14ac:dyDescent="0.25">
      <c r="A41" s="9"/>
      <c r="B41" s="9" t="inlineStr">
        <is>
          <t>Transporte</t>
        </is>
      </c>
      <c r="C41" s="9">
        <v>13792.08893501</v>
      </c>
      <c r="D41" s="9">
        <v>30937.456258</v>
      </c>
      <c r="E41" s="9">
        <v>77061.256</v>
      </c>
      <c r="F41" s="9">
        <v>130788.815</v>
      </c>
      <c r="G41" s="14">
        <f t="shared" ref="G41:G42" si="8">SUM(C41:F41)</f>
        <v>0</v>
      </c>
      <c r="H41" s="13">
        <f t="shared" si="5"/>
        <v>0</v>
      </c>
      <c r="I41" s="9" t="e">
        <f t="shared" si="7"/>
        <v>#DIV/0!</v>
      </c>
      <c r="J41" s="9"/>
      <c r="K41" s="9"/>
      <c r="L41" s="9"/>
      <c r="M41" s="9"/>
      <c r="N41" s="9"/>
      <c r="O41" s="9"/>
      <c r="U41" s="7">
        <f t="shared" ref="U41:U71" si="9">SUM(Q41:T41)</f>
        <v>0</v>
      </c>
      <c r="V41" s="8" t="str">
        <f t="shared" si="1"/>
      </c>
      <c r="W41" s="42" t="str">
        <f t="shared" si="3"/>
      </c>
    </row>
    <row r="42" spans="1:23" x14ac:dyDescent="0.25">
      <c r="A42" s="9"/>
      <c r="B42" s="9" t="inlineStr">
        <is>
          <t>Vivienda, ciudad y territorio</t>
        </is>
      </c>
      <c r="C42" s="9">
        <v>14255.40202249</v>
      </c>
      <c r="D42" s="9">
        <v>19957.259837</v>
      </c>
      <c r="E42" s="9">
        <v>6895.18656</v>
      </c>
      <c r="F42" s="9">
        <v>7272.6691</v>
      </c>
      <c r="G42" s="14">
        <f t="shared" si="8"/>
        <v>0</v>
      </c>
      <c r="H42" s="13">
        <f t="shared" si="5"/>
        <v>0</v>
      </c>
      <c r="I42" s="9" t="e">
        <f t="shared" si="7"/>
        <v>#DIV/0!</v>
      </c>
      <c r="J42" s="9"/>
      <c r="K42" s="9"/>
      <c r="L42" s="9"/>
      <c r="M42" s="9"/>
      <c r="N42" s="9"/>
      <c r="O42" s="9"/>
      <c r="U42" s="7">
        <f t="shared" si="9"/>
        <v>0</v>
      </c>
      <c r="V42" s="8" t="str">
        <f t="shared" si="1"/>
      </c>
      <c r="W42" s="42" t="str">
        <f t="shared" si="3"/>
      </c>
    </row>
    <row r="43" spans="1:23" x14ac:dyDescent="0.25">
      <c r="A43" s="9"/>
      <c r="B43" s="9" t="inlineStr">
        <is>
          <t>Recursos Propios</t>
        </is>
      </c>
      <c r="C43" s="9">
        <v>153775.7374425</v>
      </c>
      <c r="D43" s="9">
        <v>206351.6994284</v>
      </c>
      <c r="E43" s="9">
        <v>146193.6582731</v>
      </c>
      <c r="F43" s="9">
        <v>155481.3276028</v>
      </c>
      <c r="G43" s="14">
        <f t="shared" ref="G43:G56" si="10">SUM(C43:F43)</f>
        <v>0</v>
      </c>
      <c r="H43" s="13">
        <f t="shared" si="5"/>
        <v>0</v>
      </c>
      <c r="I43" s="9" t="e">
        <f t="shared" si="7"/>
        <v>#DIV/0!</v>
      </c>
      <c r="J43" s="9"/>
      <c r="K43" s="9"/>
      <c r="L43" s="9"/>
      <c r="M43" s="9"/>
      <c r="N43" s="9"/>
      <c r="O43" s="9"/>
      <c r="U43" s="7">
        <f t="shared" si="9"/>
        <v>0</v>
      </c>
      <c r="V43" s="8" t="str">
        <f t="shared" si="1"/>
      </c>
      <c r="W43" s="42" t="str">
        <f t="shared" si="3"/>
      </c>
    </row>
    <row r="44" spans="1:23" x14ac:dyDescent="0.25">
      <c r="A44" s="9"/>
      <c r="B44" s="9" t="inlineStr">
        <is>
          <t>SGP Educación</t>
        </is>
      </c>
      <c r="C44" s="9">
        <v>989.79104134</v>
      </c>
      <c r="D44" s="9">
        <v>1365.1216376</v>
      </c>
      <c r="E44" s="9">
        <v>982.4105362</v>
      </c>
      <c r="F44" s="9">
        <v>1011.8828527</v>
      </c>
      <c r="G44" s="14">
        <f t="shared" si="10"/>
        <v>0</v>
      </c>
      <c r="H44" s="13">
        <f t="shared" si="5"/>
        <v>0</v>
      </c>
      <c r="I44" s="9" t="e">
        <f t="shared" si="7"/>
        <v>#DIV/0!</v>
      </c>
      <c r="J44" s="9"/>
      <c r="K44" s="9"/>
      <c r="L44" s="9"/>
      <c r="M44" s="9"/>
      <c r="N44" s="9"/>
      <c r="O44" s="9"/>
      <c r="U44" s="7">
        <f t="shared" si="9"/>
        <v>0</v>
      </c>
      <c r="V44" s="8" t="str">
        <f t="shared" si="1"/>
      </c>
      <c r="W44" s="42" t="str">
        <f t="shared" si="3"/>
      </c>
    </row>
    <row r="45" spans="1:23" x14ac:dyDescent="0.25">
      <c r="A45" s="9"/>
      <c r="B45" s="9" t="inlineStr">
        <is>
          <t>SGP Salud</t>
        </is>
      </c>
      <c r="C45" s="9">
        <v>7100.511525</v>
      </c>
      <c r="D45" s="9">
        <v>460.9283694</v>
      </c>
      <c r="E45" s="9">
        <v>483.9747879</v>
      </c>
      <c r="F45" s="9">
        <v>508.1735273</v>
      </c>
      <c r="G45" s="14">
        <f t="shared" si="10"/>
        <v>0</v>
      </c>
      <c r="H45" s="13">
        <f t="shared" si="5"/>
        <v>0</v>
      </c>
      <c r="I45" s="9" t="e">
        <f t="shared" si="7"/>
        <v>#DIV/0!</v>
      </c>
      <c r="J45" s="9"/>
      <c r="K45" s="9"/>
      <c r="L45" s="9"/>
      <c r="M45" s="9"/>
      <c r="N45" s="9"/>
      <c r="O45" s="9"/>
      <c r="U45" s="7">
        <f t="shared" si="9"/>
        <v>0</v>
      </c>
      <c r="V45" s="8" t="str">
        <f t="shared" si="1"/>
      </c>
      <c r="W45" s="42" t="str">
        <f t="shared" si="3"/>
      </c>
    </row>
    <row r="46" spans="1:23" x14ac:dyDescent="0.25">
      <c r="A46" s="9"/>
      <c r="B46" s="9" t="inlineStr">
        <is>
          <t>SGP Deporte</t>
        </is>
      </c>
      <c r="C46" s="9">
        <v>416.72025</v>
      </c>
      <c r="D46" s="9">
        <v>34.267234</v>
      </c>
      <c r="E46" s="9">
        <v>356.879</v>
      </c>
      <c r="F46" s="9">
        <v>367.586</v>
      </c>
      <c r="G46" s="14">
        <f t="shared" si="10"/>
        <v>0</v>
      </c>
      <c r="H46" s="13">
        <f t="shared" si="5"/>
        <v>0</v>
      </c>
      <c r="I46" s="9" t="e">
        <f t="shared" si="7"/>
        <v>#DIV/0!</v>
      </c>
      <c r="J46" s="9"/>
      <c r="K46" s="9"/>
      <c r="L46" s="9"/>
      <c r="M46" s="9"/>
      <c r="N46" s="9"/>
      <c r="O46" s="9"/>
      <c r="U46" s="7">
        <f t="shared" si="9"/>
        <v>0</v>
      </c>
      <c r="V46" s="8" t="str">
        <f t="shared" si="1"/>
      </c>
      <c r="W46" s="42" t="str">
        <f t="shared" si="3"/>
      </c>
    </row>
    <row r="47" spans="1:23" x14ac:dyDescent="0.25">
      <c r="A47" s="9"/>
      <c r="B47" s="9" t="inlineStr">
        <is>
          <t>SGP Cultura</t>
        </is>
      </c>
      <c r="C47" s="9">
        <v>317.677968</v>
      </c>
      <c r="D47" s="9">
        <v>25.9863528</v>
      </c>
      <c r="E47" s="9">
        <v>26.7659434</v>
      </c>
      <c r="F47" s="9">
        <v>27.5689217</v>
      </c>
      <c r="G47" s="14">
        <f t="shared" si="10"/>
        <v>0</v>
      </c>
      <c r="H47" s="13">
        <f t="shared" si="5"/>
        <v>0</v>
      </c>
      <c r="I47" s="9" t="e">
        <f t="shared" si="7"/>
        <v>#DIV/0!</v>
      </c>
      <c r="J47" s="9"/>
      <c r="K47" s="9"/>
      <c r="L47" s="9"/>
      <c r="M47" s="9"/>
      <c r="N47" s="9"/>
      <c r="O47" s="9"/>
      <c r="U47" s="7">
        <f t="shared" si="9"/>
        <v>0</v>
      </c>
      <c r="V47" s="8" t="str">
        <f t="shared" si="1"/>
      </c>
      <c r="W47" s="42" t="str">
        <f t="shared" si="3"/>
      </c>
    </row>
    <row r="48" spans="1:23" x14ac:dyDescent="0.25">
      <c r="A48" s="9"/>
      <c r="B48" s="9" t="inlineStr">
        <is>
          <t>SGP Libre Inversión</t>
        </is>
      </c>
      <c r="C48" s="9">
        <v>429.339542</v>
      </c>
      <c r="D48" s="9">
        <v>416</v>
      </c>
      <c r="E48" s="9">
        <v>0</v>
      </c>
      <c r="F48" s="9">
        <v>0</v>
      </c>
      <c r="G48" s="14">
        <f t="shared" si="10"/>
        <v>0</v>
      </c>
      <c r="H48" s="13">
        <f t="shared" si="5"/>
        <v>0</v>
      </c>
      <c r="I48" s="9" t="e">
        <f t="shared" si="7"/>
        <v>#DIV/0!</v>
      </c>
      <c r="J48" s="9"/>
      <c r="K48" s="9"/>
      <c r="L48" s="9"/>
      <c r="M48" s="9"/>
      <c r="N48" s="9"/>
      <c r="O48" s="9"/>
      <c r="U48" s="7">
        <f t="shared" si="9"/>
        <v>0</v>
      </c>
      <c r="V48" s="8" t="str">
        <f t="shared" si="1"/>
      </c>
      <c r="W48" s="42" t="str">
        <f t="shared" si="3"/>
      </c>
    </row>
    <row r="49" spans="1:23" x14ac:dyDescent="0.25">
      <c r="A49" s="9"/>
      <c r="B49" s="9" t="inlineStr">
        <is>
          <t>SGP Libre Destinación</t>
        </is>
      </c>
      <c r="C49" s="9">
        <v>0</v>
      </c>
      <c r="D49" s="9">
        <v>0</v>
      </c>
      <c r="E49" s="9">
        <v>0</v>
      </c>
      <c r="F49" s="9">
        <v>0</v>
      </c>
      <c r="G49" s="14">
        <f t="shared" si="10"/>
        <v>0</v>
      </c>
      <c r="H49" s="13">
        <f t="shared" si="5"/>
        <v>0</v>
      </c>
      <c r="I49" s="9" t="e">
        <f t="shared" si="7"/>
        <v>#DIV/0!</v>
      </c>
      <c r="J49" s="9"/>
      <c r="K49" s="9"/>
      <c r="L49" s="9"/>
      <c r="M49" s="9"/>
      <c r="N49" s="9"/>
      <c r="O49" s="9"/>
      <c r="U49" s="7">
        <f t="shared" si="9"/>
        <v>0</v>
      </c>
      <c r="V49" s="8" t="str">
        <f t="shared" si="1"/>
      </c>
      <c r="W49" s="42" t="str">
        <f t="shared" si="3"/>
      </c>
    </row>
    <row r="50" spans="1:23" x14ac:dyDescent="0.25">
      <c r="A50" s="9"/>
      <c r="B50" s="9" t="inlineStr">
        <is>
          <t>SGP Alimentación Escolar</t>
        </is>
      </c>
      <c r="C50" s="9">
        <v>137522.86619</v>
      </c>
      <c r="D50" s="9">
        <v>0</v>
      </c>
      <c r="E50" s="9">
        <v>0</v>
      </c>
      <c r="F50" s="9">
        <v>0</v>
      </c>
      <c r="G50" s="14">
        <f t="shared" si="10"/>
        <v>0</v>
      </c>
      <c r="H50" s="13">
        <f t="shared" si="5"/>
        <v>0</v>
      </c>
      <c r="I50" s="9" t="e">
        <f t="shared" si="7"/>
        <v>#DIV/0!</v>
      </c>
      <c r="J50" s="9"/>
      <c r="K50" s="9"/>
      <c r="L50" s="9"/>
      <c r="M50" s="9"/>
      <c r="N50" s="9"/>
      <c r="O50" s="9"/>
      <c r="U50" s="7">
        <f t="shared" si="9"/>
        <v>0</v>
      </c>
      <c r="V50" s="8" t="str">
        <f t="shared" si="1"/>
      </c>
      <c r="W50" s="42" t="str">
        <f t="shared" si="3"/>
      </c>
    </row>
    <row r="51" spans="1:23" x14ac:dyDescent="0.25">
      <c r="A51" s="9"/>
      <c r="B51" s="9" t="inlineStr">
        <is>
          <t>SGP municipios Río Magdalena</t>
        </is>
      </c>
      <c r="C51" s="9">
        <v>0</v>
      </c>
      <c r="D51" s="9">
        <v>0</v>
      </c>
      <c r="E51" s="9">
        <v>0</v>
      </c>
      <c r="F51" s="9">
        <v>0</v>
      </c>
      <c r="G51" s="14">
        <f t="shared" si="10"/>
        <v>0</v>
      </c>
      <c r="H51" s="13">
        <f t="shared" si="5"/>
        <v>0</v>
      </c>
      <c r="I51" s="9" t="e">
        <f t="shared" si="7"/>
        <v>#DIV/0!</v>
      </c>
      <c r="J51" s="9"/>
      <c r="K51" s="9"/>
      <c r="L51" s="9"/>
      <c r="M51" s="9"/>
      <c r="N51" s="9"/>
      <c r="O51" s="9"/>
      <c r="U51" s="7">
        <f t="shared" si="9"/>
        <v>0</v>
      </c>
      <c r="V51" s="8" t="str">
        <f t="shared" si="1"/>
      </c>
      <c r="W51" s="42" t="str">
        <f t="shared" si="3"/>
      </c>
    </row>
    <row r="52" spans="1:23" x14ac:dyDescent="0.25">
      <c r="A52" s="9"/>
      <c r="B52" s="9" t="inlineStr">
        <is>
          <t>SGP APSB</t>
        </is>
      </c>
      <c r="C52" s="9">
        <v>1679.9729698</v>
      </c>
      <c r="D52" s="9">
        <v>3628.759589</v>
      </c>
      <c r="E52" s="9">
        <v>119.2274</v>
      </c>
      <c r="F52" s="9">
        <v>1346.958</v>
      </c>
      <c r="G52" s="14">
        <f t="shared" si="10"/>
        <v>0</v>
      </c>
      <c r="H52" s="13">
        <f t="shared" si="5"/>
        <v>0</v>
      </c>
      <c r="I52" s="9" t="e">
        <f t="shared" si="7"/>
        <v>#DIV/0!</v>
      </c>
      <c r="J52" s="9"/>
      <c r="K52" s="9"/>
      <c r="L52" s="9"/>
      <c r="M52" s="9"/>
      <c r="N52" s="9"/>
      <c r="O52" s="9"/>
      <c r="U52" s="7">
        <f t="shared" si="9"/>
        <v>0</v>
      </c>
      <c r="V52" s="8" t="str">
        <f t="shared" si="1"/>
      </c>
      <c r="W52" s="42" t="str">
        <f t="shared" si="3"/>
      </c>
    </row>
    <row r="53" spans="1:23" x14ac:dyDescent="0.25">
      <c r="A53" s="9"/>
      <c r="B53" s="9" t="inlineStr">
        <is>
          <t>Crédito</t>
        </is>
      </c>
      <c r="C53" s="9">
        <v>2412.3962896</v>
      </c>
      <c r="D53" s="9">
        <v>4500</v>
      </c>
      <c r="E53" s="9">
        <v>19370</v>
      </c>
      <c r="F53" s="9">
        <v>67780.8</v>
      </c>
      <c r="G53" s="14">
        <f t="shared" si="10"/>
        <v>0</v>
      </c>
      <c r="H53" s="13">
        <f t="shared" si="5"/>
        <v>0</v>
      </c>
      <c r="I53" s="9" t="e">
        <f t="shared" si="7"/>
        <v>#DIV/0!</v>
      </c>
      <c r="J53" s="9"/>
      <c r="K53" s="9"/>
      <c r="L53" s="9"/>
      <c r="M53" s="9"/>
      <c r="N53" s="9"/>
      <c r="O53" s="9"/>
      <c r="U53" s="7">
        <f t="shared" si="9"/>
        <v>0</v>
      </c>
      <c r="V53" s="8" t="str">
        <f t="shared" si="1"/>
      </c>
      <c r="W53" s="42" t="str">
        <f t="shared" si="3"/>
      </c>
    </row>
    <row r="54" spans="1:23" x14ac:dyDescent="0.25">
      <c r="A54" s="9"/>
      <c r="B54" s="9" t="inlineStr">
        <is>
          <t>Transf. capital - Cof. Territorial</t>
        </is>
      </c>
      <c r="C54" s="9">
        <v>548.494709</v>
      </c>
      <c r="D54" s="9">
        <v>0</v>
      </c>
      <c r="E54" s="9">
        <v>0</v>
      </c>
      <c r="F54" s="9">
        <v>5000</v>
      </c>
      <c r="G54" s="14">
        <f t="shared" si="10"/>
        <v>0</v>
      </c>
      <c r="H54" s="13">
        <f t="shared" si="5"/>
        <v>0</v>
      </c>
      <c r="I54" s="9" t="e">
        <f t="shared" si="7"/>
        <v>#DIV/0!</v>
      </c>
      <c r="J54" s="9"/>
      <c r="K54" s="9"/>
      <c r="L54" s="9"/>
      <c r="M54" s="9"/>
      <c r="N54" s="9"/>
      <c r="O54" s="9"/>
      <c r="U54" s="7">
        <f t="shared" si="9"/>
        <v>0</v>
      </c>
      <c r="V54" s="8" t="str">
        <f t="shared" si="1"/>
      </c>
      <c r="W54" s="42" t="str">
        <f t="shared" si="3"/>
      </c>
    </row>
    <row r="55" spans="1:23" x14ac:dyDescent="0.25">
      <c r="A55" s="9"/>
      <c r="B55" s="9" t="inlineStr">
        <is>
          <t>Transf. capital - Cof. Nación</t>
        </is>
      </c>
      <c r="C55" s="9">
        <v>0</v>
      </c>
      <c r="D55" s="9">
        <v>0</v>
      </c>
      <c r="E55" s="9">
        <v>0</v>
      </c>
      <c r="F55" s="9">
        <v>0</v>
      </c>
      <c r="G55" s="14">
        <f t="shared" si="10"/>
        <v>0</v>
      </c>
      <c r="H55" s="13">
        <f t="shared" ref="H55:H73" si="11">INDEX(C55:G55,MATCH($D$16,$C$23:$G$23,0))</f>
        <v>0</v>
      </c>
      <c r="I55" s="9" t="e">
        <f t="shared" si="7"/>
        <v>#DIV/0!</v>
      </c>
      <c r="J55" s="9"/>
      <c r="K55" s="9"/>
      <c r="L55" s="9"/>
      <c r="M55" s="9"/>
      <c r="N55" s="9"/>
      <c r="O55" s="9"/>
      <c r="U55" s="7">
        <f t="shared" si="9"/>
        <v>0</v>
      </c>
      <c r="V55" s="8" t="str">
        <f t="shared" si="1"/>
      </c>
      <c r="W55" s="42" t="str">
        <f t="shared" si="3"/>
      </c>
    </row>
    <row r="56" spans="1:23" x14ac:dyDescent="0.25">
      <c r="A56" s="9"/>
      <c r="B56" s="9" t="inlineStr">
        <is>
          <t>Otros</t>
        </is>
      </c>
      <c r="C56" s="9">
        <v>0</v>
      </c>
      <c r="D56" s="9">
        <v>0</v>
      </c>
      <c r="E56" s="9">
        <v>0</v>
      </c>
      <c r="F56" s="9">
        <v>0</v>
      </c>
      <c r="G56" s="14">
        <f t="shared" si="10"/>
        <v>0</v>
      </c>
      <c r="H56" s="13">
        <f t="shared" si="11"/>
        <v>0</v>
      </c>
      <c r="I56" s="9" t="e">
        <f t="shared" si="7"/>
        <v>#DIV/0!</v>
      </c>
      <c r="J56" s="9"/>
      <c r="K56" s="9"/>
      <c r="L56" s="9"/>
      <c r="M56" s="9"/>
      <c r="N56" s="9"/>
      <c r="O56" s="9"/>
      <c r="U56" s="7">
        <f t="shared" si="9"/>
        <v>0</v>
      </c>
      <c r="V56" s="8" t="str">
        <f t="shared" si="1"/>
      </c>
      <c r="W56" s="42" t="str">
        <f t="shared" si="3"/>
      </c>
    </row>
    <row r="57" spans="1:23" x14ac:dyDescent="0.25">
      <c r="A57" s="9"/>
      <c r="B57" s="9" t="inlineStr">
        <is>
          <t>1. Fin de la pobreza</t>
        </is>
      </c>
      <c r="C57" s="9">
        <v>10149.47326509</v>
      </c>
      <c r="D57" s="9">
        <v>9955.95407</v>
      </c>
      <c r="E57" s="9">
        <v>6240.0714478</v>
      </c>
      <c r="F57" s="9">
        <v>6256.0916463</v>
      </c>
      <c r="G57" s="14">
        <f t="shared" ref="G57:G73" si="12">SUM(C57:F57)</f>
        <v>0</v>
      </c>
      <c r="H57" s="13">
        <f t="shared" si="11"/>
        <v>0</v>
      </c>
      <c r="I57" s="9" t="e">
        <f t="shared" si="7"/>
        <v>#DIV/0!</v>
      </c>
      <c r="J57" s="9"/>
      <c r="K57" s="9"/>
      <c r="L57" s="9"/>
      <c r="M57" s="9"/>
      <c r="N57" s="9"/>
      <c r="O57" s="9"/>
      <c r="U57" s="7">
        <f t="shared" si="9"/>
        <v>0</v>
      </c>
      <c r="V57" s="8" t="str">
        <f t="shared" si="1"/>
      </c>
      <c r="W57" s="42" t="str">
        <f t="shared" si="3"/>
      </c>
    </row>
    <row r="58" spans="1:23" x14ac:dyDescent="0.25">
      <c r="A58" s="9"/>
      <c r="B58" s="9" t="inlineStr">
        <is>
          <t>2. Hambre cero</t>
        </is>
      </c>
      <c r="C58" s="9">
        <v>650.1</v>
      </c>
      <c r="D58" s="9">
        <v>757</v>
      </c>
      <c r="E58" s="9">
        <v>119.2</v>
      </c>
      <c r="F58" s="9">
        <v>119.2</v>
      </c>
      <c r="G58" s="14">
        <f t="shared" si="12"/>
        <v>0</v>
      </c>
      <c r="H58" s="13">
        <f t="shared" si="11"/>
        <v>0</v>
      </c>
      <c r="I58" s="9" t="e">
        <f t="shared" si="7"/>
        <v>#DIV/0!</v>
      </c>
      <c r="J58" s="9"/>
      <c r="K58" s="9"/>
      <c r="L58" s="9"/>
      <c r="M58" s="9"/>
      <c r="N58" s="9"/>
      <c r="O58" s="9"/>
      <c r="U58" s="7">
        <f t="shared" si="9"/>
        <v>0</v>
      </c>
      <c r="V58" s="8" t="str">
        <f t="shared" si="1"/>
      </c>
      <c r="W58" s="42" t="str">
        <f t="shared" si="3"/>
      </c>
    </row>
    <row r="59" spans="1:23" x14ac:dyDescent="0.25">
      <c r="A59" s="9"/>
      <c r="B59" s="9" t="inlineStr">
        <is>
          <t>3. Salud y bienestar</t>
        </is>
      </c>
      <c r="C59" s="9">
        <v>25495.918092</v>
      </c>
      <c r="D59" s="9">
        <v>10455.6119578</v>
      </c>
      <c r="E59" s="9">
        <v>14325.0937626</v>
      </c>
      <c r="F59" s="9">
        <v>10489.5198261</v>
      </c>
      <c r="G59" s="14">
        <f t="shared" si="12"/>
        <v>0</v>
      </c>
      <c r="H59" s="13">
        <f t="shared" si="11"/>
        <v>0</v>
      </c>
      <c r="I59" s="9" t="e">
        <f t="shared" si="7"/>
        <v>#DIV/0!</v>
      </c>
      <c r="J59" s="9"/>
      <c r="K59" s="9"/>
      <c r="L59" s="9"/>
      <c r="M59" s="9"/>
      <c r="N59" s="9"/>
      <c r="O59" s="9"/>
      <c r="U59" s="7">
        <f t="shared" si="9"/>
        <v>0</v>
      </c>
      <c r="V59" s="8" t="str">
        <f t="shared" si="1"/>
      </c>
      <c r="W59" s="42" t="str">
        <f t="shared" si="3"/>
      </c>
    </row>
    <row r="60" spans="1:23" x14ac:dyDescent="0.25">
      <c r="A60" s="9"/>
      <c r="B60" s="9" t="inlineStr">
        <is>
          <t>4. Educación de calidad</t>
        </is>
      </c>
      <c r="C60" s="9">
        <v>157778.83241961</v>
      </c>
      <c r="D60" s="9">
        <v>23176.173426</v>
      </c>
      <c r="E60" s="9">
        <v>25815.4507144</v>
      </c>
      <c r="F60" s="9">
        <v>25112.1571181</v>
      </c>
      <c r="G60" s="14">
        <f t="shared" si="12"/>
        <v>0</v>
      </c>
      <c r="H60" s="13">
        <f t="shared" si="11"/>
        <v>0</v>
      </c>
      <c r="I60" s="9" t="e">
        <f t="shared" si="7"/>
        <v>#DIV/0!</v>
      </c>
      <c r="J60" s="9"/>
      <c r="K60" s="9"/>
      <c r="L60" s="9"/>
      <c r="M60" s="9"/>
      <c r="N60" s="9"/>
      <c r="O60" s="9"/>
      <c r="U60" s="7">
        <f t="shared" si="9"/>
        <v>0</v>
      </c>
      <c r="V60" s="8" t="str">
        <f t="shared" si="1"/>
      </c>
      <c r="W60" s="42" t="str">
        <f t="shared" si="3"/>
      </c>
    </row>
    <row r="61" spans="1:23" x14ac:dyDescent="0.25">
      <c r="A61" s="9"/>
      <c r="B61" s="9" t="inlineStr">
        <is>
          <t>5. Igualdad de género</t>
        </is>
      </c>
      <c r="C61" s="9">
        <v>0</v>
      </c>
      <c r="D61" s="9">
        <v>70</v>
      </c>
      <c r="E61" s="9">
        <v>1.65</v>
      </c>
      <c r="F61" s="9">
        <v>0</v>
      </c>
      <c r="G61" s="14">
        <f t="shared" si="12"/>
        <v>0</v>
      </c>
      <c r="H61" s="13">
        <f t="shared" si="11"/>
        <v>0</v>
      </c>
      <c r="I61" s="9" t="e">
        <f t="shared" si="7"/>
        <v>#DIV/0!</v>
      </c>
      <c r="J61" s="9"/>
      <c r="K61" s="9"/>
      <c r="L61" s="9"/>
      <c r="M61" s="9"/>
      <c r="N61" s="9"/>
      <c r="O61" s="9"/>
      <c r="U61" s="7">
        <f t="shared" si="9"/>
        <v>0</v>
      </c>
      <c r="V61" s="8" t="str">
        <f t="shared" si="1"/>
      </c>
      <c r="W61" s="42" t="str">
        <f t="shared" si="3"/>
      </c>
    </row>
    <row r="62" spans="1:23" x14ac:dyDescent="0.25">
      <c r="A62" s="9"/>
      <c r="B62" s="9" t="inlineStr">
        <is>
          <t>6. Agua limpia y saneamiento</t>
        </is>
      </c>
      <c r="C62" s="9">
        <v>10795.58766778</v>
      </c>
      <c r="D62" s="9">
        <v>14362.941775</v>
      </c>
      <c r="E62" s="9">
        <v>4389.0544</v>
      </c>
      <c r="F62" s="9">
        <v>4473.082</v>
      </c>
      <c r="G62" s="14">
        <f t="shared" si="12"/>
        <v>0</v>
      </c>
      <c r="H62" s="13">
        <f t="shared" si="11"/>
        <v>0</v>
      </c>
      <c r="I62" s="9" t="e">
        <f t="shared" si="7"/>
        <v>#DIV/0!</v>
      </c>
      <c r="J62" s="9"/>
      <c r="K62" s="9"/>
      <c r="L62" s="9"/>
      <c r="M62" s="9"/>
      <c r="N62" s="9"/>
      <c r="O62" s="9"/>
      <c r="U62" s="7">
        <f t="shared" si="9"/>
        <v>0</v>
      </c>
      <c r="V62" s="8" t="str">
        <f t="shared" si="1"/>
      </c>
      <c r="W62" s="42" t="str">
        <f t="shared" si="3"/>
      </c>
    </row>
    <row r="63" spans="1:23" x14ac:dyDescent="0.25">
      <c r="A63" s="9"/>
      <c r="B63" s="9" t="inlineStr">
        <is>
          <t>7. Energía asequible y no contaminante</t>
        </is>
      </c>
      <c r="C63" s="9">
        <v>4486.271835</v>
      </c>
      <c r="D63" s="9">
        <v>5002</v>
      </c>
      <c r="E63" s="9">
        <v>500</v>
      </c>
      <c r="F63" s="9">
        <v>500</v>
      </c>
      <c r="G63" s="14">
        <f t="shared" si="12"/>
        <v>0</v>
      </c>
      <c r="H63" s="13">
        <f t="shared" si="11"/>
        <v>0</v>
      </c>
      <c r="I63" s="9" t="e">
        <f t="shared" si="7"/>
        <v>#DIV/0!</v>
      </c>
      <c r="J63" s="9"/>
      <c r="K63" s="9"/>
      <c r="L63" s="9"/>
      <c r="M63" s="9"/>
      <c r="N63" s="9"/>
      <c r="O63" s="9"/>
      <c r="U63" s="7">
        <f t="shared" si="9"/>
        <v>0</v>
      </c>
      <c r="V63" s="8" t="str">
        <f t="shared" si="1"/>
      </c>
      <c r="W63" s="42" t="str">
        <f t="shared" si="3"/>
      </c>
    </row>
    <row r="64" spans="1:23" x14ac:dyDescent="0.25">
      <c r="A64" s="9"/>
      <c r="B64" s="9" t="inlineStr">
        <is>
          <t>8. Trabajo decente y crecimiento económico</t>
        </is>
      </c>
      <c r="C64" s="9">
        <v>444.5</v>
      </c>
      <c r="D64" s="9">
        <v>2405.5</v>
      </c>
      <c r="E64" s="9">
        <v>737.858101</v>
      </c>
      <c r="F64" s="9">
        <v>680.141899</v>
      </c>
      <c r="G64" s="14">
        <f t="shared" si="12"/>
        <v>0</v>
      </c>
      <c r="H64" s="13">
        <f t="shared" si="11"/>
        <v>0</v>
      </c>
      <c r="I64" s="9" t="e">
        <f t="shared" si="7"/>
        <v>#DIV/0!</v>
      </c>
      <c r="J64" s="9"/>
      <c r="K64" s="9"/>
      <c r="L64" s="9"/>
      <c r="M64" s="9"/>
      <c r="N64" s="9"/>
      <c r="O64" s="9"/>
      <c r="U64" s="7">
        <f t="shared" si="9"/>
        <v>0</v>
      </c>
      <c r="V64" s="8" t="str">
        <f t="shared" si="1"/>
      </c>
      <c r="W64" s="42" t="str">
        <f t="shared" si="3"/>
      </c>
    </row>
    <row r="65" spans="1:23" x14ac:dyDescent="0.25">
      <c r="A65" s="9"/>
      <c r="B65" s="9" t="inlineStr">
        <is>
          <t>9. Industria, innovación e infraestructura</t>
        </is>
      </c>
      <c r="C65" s="9">
        <v>18175.60260241</v>
      </c>
      <c r="D65" s="9">
        <v>32246.8591814</v>
      </c>
      <c r="E65" s="9">
        <v>75418.4726611</v>
      </c>
      <c r="F65" s="9">
        <v>122688.8110749</v>
      </c>
      <c r="G65" s="14">
        <f t="shared" si="12"/>
        <v>0</v>
      </c>
      <c r="H65" s="13">
        <f t="shared" si="11"/>
        <v>0</v>
      </c>
      <c r="I65" s="9" t="e">
        <f t="shared" si="7"/>
        <v>#DIV/0!</v>
      </c>
      <c r="J65" s="9"/>
      <c r="K65" s="9"/>
      <c r="L65" s="9"/>
      <c r="M65" s="9"/>
      <c r="N65" s="9"/>
      <c r="O65" s="9"/>
      <c r="U65" s="7">
        <f t="shared" si="9"/>
        <v>0</v>
      </c>
      <c r="V65" s="8" t="str">
        <f t="shared" si="1"/>
      </c>
      <c r="W65" s="42" t="str">
        <f t="shared" si="3"/>
      </c>
    </row>
    <row r="66" spans="1:23" x14ac:dyDescent="0.25">
      <c r="A66" s="9"/>
      <c r="B66" s="9" t="inlineStr">
        <is>
          <t>10. Reducción de las desigualdades</t>
        </is>
      </c>
      <c r="C66" s="9">
        <v>10144.7813822</v>
      </c>
      <c r="D66" s="9">
        <v>13459.779209</v>
      </c>
      <c r="E66" s="9">
        <v>2523.397</v>
      </c>
      <c r="F66" s="9">
        <v>440</v>
      </c>
      <c r="G66" s="14">
        <f t="shared" si="12"/>
        <v>0</v>
      </c>
      <c r="H66" s="13">
        <f t="shared" si="11"/>
        <v>0</v>
      </c>
      <c r="I66" s="9" t="e">
        <f t="shared" si="7"/>
        <v>#DIV/0!</v>
      </c>
      <c r="J66" s="9"/>
      <c r="K66" s="9"/>
      <c r="L66" s="9"/>
      <c r="M66" s="9"/>
      <c r="N66" s="9"/>
      <c r="O66" s="9"/>
      <c r="U66" s="7">
        <f t="shared" si="9"/>
        <v>0</v>
      </c>
      <c r="V66" s="8" t="str">
        <f t="shared" si="1"/>
      </c>
      <c r="W66" s="42" t="str">
        <f t="shared" si="3"/>
      </c>
    </row>
    <row r="67" spans="1:23" x14ac:dyDescent="0.25">
      <c r="A67" s="9"/>
      <c r="B67" s="9" t="inlineStr">
        <is>
          <t>11. Ciudades y comunidades sostenibles</t>
        </is>
      </c>
      <c r="C67" s="9">
        <v>44335.30275235</v>
      </c>
      <c r="D67" s="9">
        <v>52898.275276</v>
      </c>
      <c r="E67" s="9">
        <v>20918.832395</v>
      </c>
      <c r="F67" s="9">
        <v>44377.1741</v>
      </c>
      <c r="G67" s="14">
        <f t="shared" si="12"/>
        <v>0</v>
      </c>
      <c r="H67" s="13">
        <f t="shared" si="11"/>
        <v>0</v>
      </c>
      <c r="I67" s="9" t="e">
        <f t="shared" si="7"/>
        <v>#DIV/0!</v>
      </c>
      <c r="J67" s="9"/>
      <c r="K67" s="9"/>
      <c r="L67" s="9"/>
      <c r="M67" s="9"/>
      <c r="N67" s="9"/>
      <c r="O67" s="9"/>
      <c r="U67" s="7">
        <f t="shared" si="9"/>
        <v>0</v>
      </c>
      <c r="V67" s="8" t="str">
        <f t="shared" si="1"/>
      </c>
      <c r="W67" s="42" t="str">
        <f t="shared" si="3"/>
      </c>
    </row>
    <row r="68" spans="1:23" x14ac:dyDescent="0.25">
      <c r="A68" s="9"/>
      <c r="B68" s="9" t="inlineStr">
        <is>
          <t>12. Producción y consumo responsables</t>
        </is>
      </c>
      <c r="C68" s="9">
        <v>65</v>
      </c>
      <c r="D68" s="9">
        <v>145</v>
      </c>
      <c r="E68" s="9">
        <v>214.456</v>
      </c>
      <c r="F68" s="9">
        <v>196.915</v>
      </c>
      <c r="G68" s="14">
        <f t="shared" si="12"/>
        <v>0</v>
      </c>
      <c r="H68" s="13">
        <f t="shared" si="11"/>
        <v>0</v>
      </c>
      <c r="I68" s="9" t="e">
        <f t="shared" si="7"/>
        <v>#DIV/0!</v>
      </c>
      <c r="J68" s="9"/>
      <c r="K68" s="9"/>
      <c r="L68" s="9"/>
      <c r="M68" s="9"/>
      <c r="N68" s="9"/>
      <c r="O68" s="9"/>
      <c r="U68" s="7">
        <f t="shared" si="9"/>
        <v>0</v>
      </c>
      <c r="V68" s="8" t="str">
        <f t="shared" si="1"/>
      </c>
      <c r="W68" s="42" t="str">
        <f t="shared" si="3"/>
      </c>
    </row>
    <row r="69" spans="1:23" x14ac:dyDescent="0.25">
      <c r="A69" s="9"/>
      <c r="B69" s="9" t="inlineStr">
        <is>
          <t>13. Acción por el clima</t>
        </is>
      </c>
      <c r="C69" s="9">
        <v>12</v>
      </c>
      <c r="D69" s="9">
        <v>108.982235</v>
      </c>
      <c r="E69" s="9">
        <v>30</v>
      </c>
      <c r="F69" s="9">
        <v>22</v>
      </c>
      <c r="G69" s="14">
        <f t="shared" si="12"/>
        <v>0</v>
      </c>
      <c r="H69" s="13">
        <f t="shared" si="11"/>
        <v>0</v>
      </c>
      <c r="I69" s="9" t="e">
        <f t="shared" si="7"/>
        <v>#DIV/0!</v>
      </c>
      <c r="J69" s="9"/>
      <c r="K69" s="9"/>
      <c r="L69" s="9"/>
      <c r="M69" s="9"/>
      <c r="N69" s="9"/>
      <c r="O69" s="9"/>
      <c r="U69" s="7">
        <f t="shared" si="9"/>
        <v>0</v>
      </c>
      <c r="V69" s="8" t="str">
        <f t="shared" si="1"/>
      </c>
      <c r="W69" s="42" t="str">
        <f t="shared" si="3"/>
      </c>
    </row>
    <row r="70" spans="1:23" x14ac:dyDescent="0.25">
      <c r="A70" s="9"/>
      <c r="B70" s="9" t="inlineStr">
        <is>
          <t>14. Vida submarina</t>
        </is>
      </c>
      <c r="C70" s="9">
        <v>0</v>
      </c>
      <c r="D70" s="9">
        <v>0</v>
      </c>
      <c r="E70" s="9">
        <v>0</v>
      </c>
      <c r="F70" s="9">
        <v>0</v>
      </c>
      <c r="G70" s="14">
        <f t="shared" si="12"/>
        <v>0</v>
      </c>
      <c r="H70" s="13">
        <f t="shared" si="11"/>
        <v>0</v>
      </c>
      <c r="I70" s="9" t="e">
        <f t="shared" si="7"/>
        <v>#DIV/0!</v>
      </c>
      <c r="J70" s="9"/>
      <c r="K70" s="9"/>
      <c r="L70" s="9"/>
      <c r="M70" s="9"/>
      <c r="N70" s="9"/>
      <c r="O70" s="9"/>
      <c r="U70" s="7">
        <f t="shared" si="9"/>
        <v>0</v>
      </c>
      <c r="V70" s="8" t="str">
        <f t="shared" si="1"/>
      </c>
      <c r="W70" s="42" t="str">
        <f t="shared" si="3"/>
      </c>
    </row>
    <row r="71" spans="1:23" x14ac:dyDescent="0.25">
      <c r="A71" s="9"/>
      <c r="B71" s="9" t="inlineStr">
        <is>
          <t>15. Vida de ecosistemas terrestres</t>
        </is>
      </c>
      <c r="C71" s="9">
        <v>2291.64771714</v>
      </c>
      <c r="D71" s="9">
        <v>3178.672356</v>
      </c>
      <c r="E71" s="9">
        <v>1986.956085</v>
      </c>
      <c r="F71" s="9">
        <v>1899.994768</v>
      </c>
      <c r="G71" s="14">
        <f t="shared" si="12"/>
        <v>0</v>
      </c>
      <c r="H71" s="13">
        <f t="shared" si="11"/>
        <v>0</v>
      </c>
      <c r="I71" s="9" t="e">
        <f t="shared" si="7"/>
        <v>#DIV/0!</v>
      </c>
      <c r="J71" s="9"/>
      <c r="K71" s="9"/>
      <c r="L71" s="9"/>
      <c r="M71" s="9"/>
      <c r="N71" s="9"/>
      <c r="O71" s="9"/>
      <c r="U71" s="7">
        <f t="shared" si="9"/>
        <v>0</v>
      </c>
      <c r="V71" s="8" t="str">
        <f t="shared" ref="V71:V75" si="13">IF(P71="","",INDEX(Q71:U71,MATCH($D$16,$C$23:$G$23,0)))</f>
      </c>
      <c r="W71" s="42" t="str">
        <f t="shared" si="3"/>
      </c>
    </row>
    <row r="72" spans="1:23" x14ac:dyDescent="0.25">
      <c r="A72" s="9"/>
      <c r="B72" s="9" t="inlineStr">
        <is>
          <t>16. Paz, justicia e instituciones sólidas</t>
        </is>
      </c>
      <c r="C72" s="9">
        <v>19773.80187651</v>
      </c>
      <c r="D72" s="9">
        <v>46731.622969</v>
      </c>
      <c r="E72" s="9">
        <v>12802.2383737</v>
      </c>
      <c r="F72" s="9">
        <v>12970.2094721</v>
      </c>
      <c r="G72" s="14">
        <f t="shared" si="12"/>
        <v>0</v>
      </c>
      <c r="H72" s="13">
        <f t="shared" si="11"/>
        <v>0</v>
      </c>
      <c r="I72" s="9" t="e">
        <f t="shared" si="7"/>
        <v>#DIV/0!</v>
      </c>
      <c r="J72" s="9"/>
      <c r="K72" s="9"/>
      <c r="L72" s="9"/>
      <c r="M72" s="9"/>
      <c r="N72" s="9"/>
      <c r="O72" s="9"/>
      <c r="U72" s="7">
        <f t="shared" ref="U72:U73" si="14">SUM(Q72:T72)</f>
        <v>0</v>
      </c>
      <c r="V72" s="8" t="str">
        <f t="shared" si="13"/>
      </c>
      <c r="W72" s="42" t="str">
        <f t="shared" ref="W72:W75" si="15">IFERROR(IF(P72="","",CONCATENATE(TEXT(V72,$U$2)," (",TEXT(V72*100/$I$23,$U$3),"%)")),"")</f>
      </c>
    </row>
    <row r="73" spans="1:23" x14ac:dyDescent="0.25">
      <c r="A73" s="9"/>
      <c r="B73" s="9" t="inlineStr">
        <is>
          <t>17. Alianzas para lograr los objetivos</t>
        </is>
      </c>
      <c r="C73" s="9">
        <v>594.68831715</v>
      </c>
      <c r="D73" s="9">
        <v>1828.390156</v>
      </c>
      <c r="E73" s="9">
        <v>1510.185</v>
      </c>
      <c r="F73" s="9">
        <v>1299</v>
      </c>
      <c r="G73" s="14">
        <f t="shared" si="12"/>
        <v>0</v>
      </c>
      <c r="H73" s="13">
        <f t="shared" si="11"/>
        <v>0</v>
      </c>
      <c r="I73" s="9" t="e">
        <f t="shared" si="7"/>
        <v>#DIV/0!</v>
      </c>
      <c r="J73" s="9"/>
      <c r="K73" s="9"/>
      <c r="L73" s="9"/>
      <c r="M73" s="9"/>
      <c r="N73" s="9"/>
      <c r="O73" s="9"/>
      <c r="U73" s="7">
        <f t="shared" si="14"/>
        <v>0</v>
      </c>
      <c r="V73" s="8" t="str">
        <f t="shared" si="13"/>
      </c>
      <c r="W73" s="42" t="str">
        <f t="shared" si="15"/>
      </c>
    </row>
    <row r="74" spans="1:23" x14ac:dyDescent="0.25">
      <c r="A74" s="9"/>
      <c r="B74" s="9"/>
      <c r="C74" s="9"/>
      <c r="D74" s="9"/>
      <c r="E74" s="9"/>
      <c r="F74" s="9"/>
      <c r="G74" s="9"/>
      <c r="H74" s="9"/>
      <c r="I74" s="9"/>
      <c r="J74" s="9"/>
      <c r="K74" s="9"/>
      <c r="L74" s="9"/>
      <c r="M74" s="9"/>
      <c r="N74" s="9"/>
      <c r="O74" s="9"/>
      <c r="U74" s="7">
        <f t="shared" ref="U74:U75" si="16">SUM(Q74:T74)</f>
        <v>0</v>
      </c>
      <c r="V74" s="8" t="str">
        <f t="shared" si="13"/>
      </c>
      <c r="W74" s="42" t="str">
        <f t="shared" si="15"/>
      </c>
    </row>
    <row r="75" spans="1:23" x14ac:dyDescent="0.25">
      <c r="K75" s="3"/>
      <c r="U75" s="7">
        <f t="shared" si="16"/>
        <v>0</v>
      </c>
      <c r="V75" s="8" t="str">
        <f t="shared" si="13"/>
      </c>
      <c r="W75" s="42" t="str">
        <f t="shared" si="15"/>
      </c>
    </row>
    <row r="76" spans="1:23" ht="17.25" x14ac:dyDescent="0.3">
      <c r="B76" s="11" t="str">
        <f>CONCATENATE("Seguimiento físico al Plan de Desarrollo - Vigencia ",$X$1)</f>
        <v>Seguimiento físico al Plan de Desarrollo - Vigencia (Dar clic en Habilitar Edición)</v>
      </c>
      <c r="C76" s="12"/>
      <c r="D76" s="12"/>
      <c r="E76" s="12"/>
      <c r="F76" s="12"/>
      <c r="G76" s="12"/>
      <c r="H76" s="12"/>
      <c r="I76" s="12"/>
      <c r="J76" s="12"/>
      <c r="K76" s="12"/>
      <c r="L76" s="12"/>
      <c r="M76" s="12"/>
    </row>
    <row r="77" spans="1:23" x14ac:dyDescent="0.25"/>
    <row r="78" spans="1:23" x14ac:dyDescent="0.25">
      <c r="B78" s="70" t="str">
        <f>CONCATENATE("El seguimiento físico se hace a nivel de código BPIN e indicador de producto, junto con su modo de acumulación respectivo. Esta información, consignada en SisPT, la contrastamos con la ejecución acumulada en PIIP al corte de la vigencia ",$X$1,", de los proyectos cuya entidad ejecutora es la entidad territorial en cuestión.")</f>
        <v>El seguimiento físico se hace a nivel de código BPIN e indicador de producto, junto con su modo de acumulación respectivo. Esta información, consignada en SisPT, la contrastamos con la ejecución acumulada en PIIP al corte de la vigencia (Dar clic en Habilitar Edición), de los proyectos cuya entidad ejecutora es la entidad territorial en cuestión.</v>
      </c>
      <c r="C78" s="70"/>
      <c r="D78" s="70"/>
      <c r="E78" s="70"/>
      <c r="F78" s="70"/>
      <c r="G78" s="70"/>
      <c r="H78" s="70"/>
      <c r="I78" s="70"/>
      <c r="J78" s="70"/>
      <c r="K78" s="70"/>
      <c r="L78" s="70"/>
      <c r="M78" s="70"/>
    </row>
    <row r="79" spans="1:23" ht="15.6" customHeight="1" x14ac:dyDescent="0.25">
      <c r="B79" s="70"/>
      <c r="C79" s="70"/>
      <c r="D79" s="70"/>
      <c r="E79" s="70"/>
      <c r="F79" s="70"/>
      <c r="G79" s="70"/>
      <c r="H79" s="70"/>
      <c r="I79" s="70"/>
      <c r="J79" s="70"/>
      <c r="K79" s="70"/>
      <c r="L79" s="70"/>
      <c r="M79" s="70"/>
    </row>
    <row r="80" spans="1:23" ht="15.6" customHeight="1" x14ac:dyDescent="0.25">
      <c r="B80" s="70" t="str">
        <f>CONCATENATE("En el Plan Indicativo del Presupuesto Ordinario de SisPT, la entidad cuenta con ",SUM(B95:B100)," combinaciones únicas de BPIN, indicador de producto, y modo de acumulación. El siguiente diagrama de Venn ilustra, en el lenguaje de teoría de conjuntos, el nivel de coincidencia en la información entre SisPT y PIIP:")</f>
        <v>En el Plan Indicativo del Presupuesto Ordinario de SisPT, la entidad cuenta con 0 combinaciones únicas de BPIN, indicador de producto, y modo de acumulación. El siguiente diagrama de Venn ilustra, en el lenguaje de teoría de conjuntos, el nivel de coincidencia en la información entre SisPT y PIIP:</v>
      </c>
      <c r="C80" s="70"/>
      <c r="D80" s="70"/>
      <c r="E80" s="70"/>
      <c r="F80" s="70"/>
      <c r="G80" s="70"/>
      <c r="H80" s="70"/>
      <c r="I80" s="70"/>
      <c r="J80" s="70"/>
      <c r="K80" s="70"/>
      <c r="L80" s="70"/>
      <c r="M80" s="70"/>
    </row>
    <row r="81" spans="2:20" ht="15.6" customHeight="1" x14ac:dyDescent="0.25">
      <c r="B81" s="70"/>
      <c r="C81" s="70"/>
      <c r="D81" s="70"/>
      <c r="E81" s="70"/>
      <c r="F81" s="70"/>
      <c r="G81" s="70"/>
      <c r="H81" s="70"/>
      <c r="I81" s="70"/>
      <c r="J81" s="70"/>
      <c r="K81" s="70"/>
      <c r="L81" s="70"/>
      <c r="M81" s="70"/>
    </row>
    <row r="82" spans="2:20" ht="15.6" customHeight="1" x14ac:dyDescent="0.25">
      <c r="F82" s="10"/>
      <c r="G82" s="10"/>
      <c r="H82" s="10"/>
      <c r="I82" s="10"/>
      <c r="J82" s="10"/>
      <c r="K82" s="10"/>
      <c r="L82" s="10"/>
      <c r="M82" s="10"/>
    </row>
    <row r="83" spans="2:20" ht="15.6" customHeight="1" x14ac:dyDescent="0.25">
      <c r="F83" s="10"/>
      <c r="G83" s="10"/>
      <c r="H83" s="10"/>
      <c r="I83" s="10"/>
      <c r="J83" s="10"/>
      <c r="K83" s="10"/>
      <c r="L83" s="10"/>
      <c r="M83" s="10"/>
    </row>
    <row r="84" spans="2:20" ht="15.6" customHeight="1" x14ac:dyDescent="0.25">
      <c r="D84" s="71" t="s">
        <v>82</v>
      </c>
      <c r="E84" s="71"/>
      <c r="F84" s="33"/>
      <c r="G84" s="33"/>
      <c r="H84" s="33"/>
      <c r="I84" s="34"/>
      <c r="J84" s="74" t="s">
        <v>88</v>
      </c>
      <c r="K84" s="74"/>
      <c r="L84" s="10"/>
      <c r="M84" s="10"/>
    </row>
    <row r="85" spans="2:20" ht="15.6" customHeight="1" x14ac:dyDescent="0.25">
      <c r="D85" s="68" t="str">
        <f>CONCATENATE(SUM(Q92:Q93)," combinaciones BPIN-Ind. Producto-Tipo Acumulación")</f>
        <v>0 combinaciones BPIN-Ind. Producto-Tipo Acumulación</v>
      </c>
      <c r="E85" s="68"/>
      <c r="F85" s="33"/>
      <c r="G85" s="33"/>
      <c r="H85" s="33"/>
      <c r="I85" s="34"/>
      <c r="J85" s="68" t="str">
        <f>CONCATENATE(SUM(Q93:Q94)," combinaciones BPIN-Ind. Producto-Tipo Acumulación")</f>
        <v>0 combinaciones BPIN-Ind. Producto-Tipo Acumulación</v>
      </c>
      <c r="K85" s="68"/>
      <c r="L85" s="10"/>
      <c r="M85" s="10"/>
    </row>
    <row r="86" spans="2:20" ht="15.6" customHeight="1" x14ac:dyDescent="0.25">
      <c r="D86" s="68"/>
      <c r="E86" s="68"/>
      <c r="F86" s="33"/>
      <c r="G86" s="33"/>
      <c r="H86" s="33"/>
      <c r="I86" s="34"/>
      <c r="J86" s="68"/>
      <c r="K86" s="68"/>
      <c r="L86" s="10"/>
      <c r="M86" s="10"/>
    </row>
    <row r="87" spans="2:20" ht="15.6" customHeight="1" x14ac:dyDescent="0.3">
      <c r="D87" s="68"/>
      <c r="E87" s="68"/>
      <c r="F87" s="33"/>
      <c r="G87" s="33"/>
      <c r="H87" s="33"/>
      <c r="I87" s="34"/>
      <c r="J87" s="68"/>
      <c r="K87" s="68"/>
      <c r="L87" s="10"/>
      <c r="M87" s="10"/>
      <c r="T87" s="49"/>
    </row>
    <row r="88" spans="2:20" ht="15.6" customHeight="1" x14ac:dyDescent="0.25">
      <c r="D88" s="15"/>
      <c r="E88" s="10"/>
      <c r="F88" s="10"/>
      <c r="G88" s="10"/>
      <c r="H88" s="10"/>
      <c r="J88" s="10"/>
      <c r="K88" s="10"/>
      <c r="L88" s="10"/>
      <c r="M88" s="10"/>
    </row>
    <row r="89" spans="2:20" ht="15.6" customHeight="1" x14ac:dyDescent="0.25">
      <c r="D89" s="15"/>
      <c r="E89" s="10"/>
      <c r="F89" s="10"/>
      <c r="G89" s="10"/>
      <c r="H89" s="10"/>
      <c r="J89" s="10"/>
      <c r="K89" s="10"/>
      <c r="L89" s="10"/>
      <c r="M89" s="10"/>
    </row>
    <row r="90" spans="2:20" ht="15.6" customHeight="1" x14ac:dyDescent="0.25">
      <c r="D90" s="10"/>
      <c r="E90" s="10"/>
      <c r="F90" s="10"/>
      <c r="G90" s="10"/>
      <c r="H90" s="10"/>
      <c r="I90" s="2"/>
      <c r="J90" s="10"/>
      <c r="K90" s="10"/>
      <c r="L90" s="10"/>
      <c r="M90" s="10"/>
    </row>
    <row r="91" spans="2:20" ht="15.6" customHeight="1" x14ac:dyDescent="0.25">
      <c r="B91" s="62"/>
      <c r="C91" s="63"/>
      <c r="F91" s="10"/>
      <c r="G91" s="10"/>
      <c r="H91" s="10"/>
      <c r="I91" s="2"/>
      <c r="J91" s="10"/>
      <c r="K91" s="10"/>
      <c r="L91" s="10"/>
      <c r="M91" s="10"/>
    </row>
    <row r="92" spans="2:20" ht="15.6" customHeight="1" x14ac:dyDescent="0.25">
      <c r="B92" s="75" t="str">
        <f>CONCATENATE("El diagrama de Venn muestra que hay ",SUM(B95:B99)," combinaciones en el Plan Indicativo de SisPT que no tienen seguimiento físico en PIIP. Las siguientes tabla y gráfica muestran las distintas razones por las que esas combinaciones no pudieron rastrearse en PIIP, junto con las ",R93,".")</f>
        <v>El diagrama de Venn muestra que hay 0 combinaciones en el Plan Indicativo de SisPT que no tienen seguimiento físico en PIIP. Las siguientes tabla y gráfica muestran las distintas razones por las que esas combinaciones no pudieron rastrearse en PIIP, junto con las 0 coincidencias.</v>
      </c>
      <c r="C92" s="75"/>
      <c r="D92" s="75"/>
      <c r="E92" s="75"/>
      <c r="F92" s="75"/>
      <c r="G92" s="75"/>
      <c r="H92" s="75"/>
      <c r="I92" s="75"/>
      <c r="J92" s="75"/>
      <c r="K92" s="75"/>
      <c r="L92" s="75"/>
      <c r="M92" s="75"/>
      <c r="P92" s="1" t="s">
        <v>79</v>
      </c>
      <c r="Q92" s="1">
        <f>SUM(B95:B99)</f>
        <v>0</v>
      </c>
    </row>
    <row r="93" spans="2:20" ht="15.6" customHeight="1" x14ac:dyDescent="0.25">
      <c r="B93" s="75"/>
      <c r="C93" s="75"/>
      <c r="D93" s="75"/>
      <c r="E93" s="75"/>
      <c r="F93" s="75"/>
      <c r="G93" s="75"/>
      <c r="H93" s="75"/>
      <c r="I93" s="75"/>
      <c r="J93" s="75"/>
      <c r="K93" s="75"/>
      <c r="L93" s="75"/>
      <c r="M93" s="75"/>
      <c r="P93" s="1" t="s">
        <v>80</v>
      </c>
      <c r="Q93" s="1">
        <f>B100</f>
        <v>0</v>
      </c>
      <c r="R93" s="1" t="str">
        <f>IF(Q93=1,CONCATENATE(Q93," coincidencia"),CONCATENATE(Q93," coincidencias"))</f>
        <v>0 coincidencias</v>
      </c>
    </row>
    <row r="94" spans="2:20" ht="15.6" customHeight="1" x14ac:dyDescent="0.25">
      <c r="B94" s="17"/>
      <c r="C94" s="10"/>
      <c r="L94" s="10"/>
      <c r="M94" s="10"/>
      <c r="P94" s="1" t="s">
        <v>89</v>
      </c>
      <c r="Q94" s="1">
        <f>B101</f>
        <v>0</v>
      </c>
    </row>
    <row r="95" spans="2:20" ht="15.6" customHeight="1" x14ac:dyDescent="0.25">
      <c r="B95" s="21">
        <v>7</v>
      </c>
      <c r="C95" s="22" t="s">
        <v>76</v>
      </c>
      <c r="L95" s="10"/>
      <c r="M95" s="10"/>
    </row>
    <row r="96" spans="2:20" ht="15.6" customHeight="1" x14ac:dyDescent="0.25">
      <c r="B96" s="23">
        <v>29</v>
      </c>
      <c r="C96" s="22" t="s">
        <v>77</v>
      </c>
    </row>
    <row r="97" spans="2:18" ht="15.6" customHeight="1" x14ac:dyDescent="0.25">
      <c r="B97" s="24">
        <v>91</v>
      </c>
      <c r="C97" s="22" t="s">
        <v>87</v>
      </c>
    </row>
    <row r="98" spans="2:18" ht="15.6" customHeight="1" x14ac:dyDescent="0.25">
      <c r="B98" s="25">
        <v>0</v>
      </c>
      <c r="C98" s="22" t="s">
        <v>91</v>
      </c>
      <c r="D98" s="10"/>
      <c r="E98" s="10"/>
      <c r="F98" s="10"/>
      <c r="G98" s="10"/>
      <c r="H98" s="10"/>
      <c r="I98" s="2"/>
      <c r="J98" s="10"/>
      <c r="K98" s="10"/>
      <c r="L98" s="10"/>
      <c r="M98" s="10"/>
    </row>
    <row r="99" spans="2:18" ht="15.6" customHeight="1" x14ac:dyDescent="0.25">
      <c r="B99" s="26">
        <v>35</v>
      </c>
      <c r="C99" s="22" t="s">
        <v>78</v>
      </c>
      <c r="D99" s="10"/>
      <c r="E99" s="10"/>
      <c r="F99" s="10"/>
      <c r="G99" s="10"/>
      <c r="H99" s="10"/>
      <c r="I99" s="2"/>
      <c r="J99" s="10"/>
      <c r="K99" s="10"/>
      <c r="L99" s="10"/>
      <c r="M99" s="10"/>
    </row>
    <row r="100" spans="2:18" ht="15.6" customHeight="1" x14ac:dyDescent="0.25">
      <c r="B100" s="27">
        <v>85</v>
      </c>
      <c r="C100" s="22" t="s">
        <v>92</v>
      </c>
      <c r="D100" s="56"/>
      <c r="E100" s="56"/>
      <c r="F100" s="56"/>
      <c r="G100" s="56"/>
      <c r="H100" s="56"/>
      <c r="I100" s="56"/>
      <c r="J100" s="56"/>
      <c r="K100" s="56"/>
      <c r="L100" s="56"/>
      <c r="M100" s="56"/>
    </row>
    <row r="101" spans="2:18" ht="15.6" customHeight="1" x14ac:dyDescent="0.25">
      <c r="B101" s="17">
        <v>221</v>
      </c>
      <c r="C101" s="63"/>
    </row>
    <row r="102" spans="2:18" ht="15.6" customHeight="1" x14ac:dyDescent="0.25">
      <c r="B102" s="75" t="s">
        <v>130</v>
      </c>
      <c r="C102" s="75"/>
      <c r="D102" s="75"/>
      <c r="E102" s="75"/>
      <c r="F102" s="75"/>
      <c r="G102" s="75"/>
      <c r="H102" s="75"/>
      <c r="I102" s="75"/>
      <c r="J102" s="75"/>
      <c r="K102" s="75"/>
      <c r="L102" s="75"/>
      <c r="M102" s="75"/>
    </row>
    <row r="103" spans="2:18" ht="15.6" customHeight="1" x14ac:dyDescent="0.25">
      <c r="B103" s="75"/>
      <c r="C103" s="75"/>
      <c r="D103" s="75"/>
      <c r="E103" s="75"/>
      <c r="F103" s="75"/>
      <c r="G103" s="75"/>
      <c r="H103" s="75"/>
      <c r="I103" s="75"/>
      <c r="J103" s="75"/>
      <c r="K103" s="75"/>
      <c r="L103" s="75"/>
      <c r="M103" s="75"/>
    </row>
    <row r="104" spans="2:18" ht="15.6" customHeight="1" x14ac:dyDescent="0.25">
      <c r="B104" s="10"/>
      <c r="C104" s="10"/>
      <c r="D104" s="10"/>
      <c r="E104" s="10"/>
      <c r="F104" s="10"/>
      <c r="G104" s="10"/>
      <c r="H104" s="10"/>
      <c r="I104" s="10"/>
      <c r="J104" s="10"/>
      <c r="K104" s="10"/>
      <c r="L104" s="10"/>
      <c r="M104" s="10"/>
    </row>
    <row r="105" spans="2:18" x14ac:dyDescent="0.25"/>
    <row r="106" spans="2:18" ht="17.25" x14ac:dyDescent="0.3">
      <c r="B106" s="11" t="str">
        <f>CONCATENATE("Seguimiento financiero al Plan de Desarrollo - Vigencia ",$X$1)</f>
        <v>Seguimiento financiero al Plan de Desarrollo - Vigencia (Dar clic en Habilitar Edición)</v>
      </c>
      <c r="C106" s="12"/>
      <c r="D106" s="12"/>
      <c r="E106" s="12"/>
      <c r="F106" s="12"/>
      <c r="G106" s="12"/>
      <c r="H106" s="12"/>
      <c r="I106" s="12"/>
      <c r="J106" s="12"/>
      <c r="K106" s="12"/>
      <c r="L106" s="12"/>
      <c r="M106" s="12"/>
    </row>
    <row r="107" spans="2:18" x14ac:dyDescent="0.25"/>
    <row r="108" spans="2:18" x14ac:dyDescent="0.25">
      <c r="B108" s="70" t="str">
        <f>CONCATENATE(_xlfn._LONGTEXT("El seguimiento financiero se hace a nivel de código BPIN y producto. Note que el seguimiento financiero no se hace a nivel de indicador de producto. Esta información, consignada en SisPT, la contrastamos con los reportes de ejecución en CUIPO hasta el cie","rre de la vigencia "),$X$1,".")</f>
        <v>El seguimiento financiero se hace a nivel de código BPIN y producto. Note que el seguimiento financiero no se hace a nivel de indicador de producto. Esta información, consignada en SisPT, la contrastamos con los reportes de ejecución en CUIPO hasta el cierre de la vigencia (Dar clic en Habilitar Edición).</v>
      </c>
      <c r="C108" s="70"/>
      <c r="D108" s="70"/>
      <c r="E108" s="70"/>
      <c r="F108" s="70"/>
      <c r="G108" s="70"/>
      <c r="H108" s="70"/>
      <c r="I108" s="70"/>
      <c r="J108" s="70"/>
      <c r="K108" s="70"/>
      <c r="L108" s="70"/>
      <c r="M108" s="70"/>
    </row>
    <row r="109" spans="2:18" x14ac:dyDescent="0.25">
      <c r="B109" s="70"/>
      <c r="C109" s="70"/>
      <c r="D109" s="70"/>
      <c r="E109" s="70"/>
      <c r="F109" s="70"/>
      <c r="G109" s="70"/>
      <c r="H109" s="70"/>
      <c r="I109" s="70"/>
      <c r="J109" s="70"/>
      <c r="K109" s="70"/>
      <c r="L109" s="70"/>
      <c r="M109" s="70"/>
      <c r="P109" s="1" t="s">
        <v>79</v>
      </c>
      <c r="Q109" s="1">
        <v>118</v>
      </c>
    </row>
    <row r="110" spans="2:18" x14ac:dyDescent="0.25">
      <c r="B110" s="70" t="str">
        <f>CONCATENATE("En el Plan Indicativo del Presupuesto Ordinario de SisPT, la entidad cuenta con ",R110," combinaciones únicas de BPIN y producto. El siguiente diagrama de Venn ilustra, en el lenguaje de teoría de conjuntos, el nivel de coincidencia en la información entre SisPT y CUIPO:")</f>
        <v>En el Plan Indicativo del Presupuesto Ordinario de SisPT, la entidad cuenta con 0 coincidencias combinaciones únicas de BPIN y producto. El siguiente diagrama de Venn ilustra, en el lenguaje de teoría de conjuntos, el nivel de coincidencia en la información entre SisPT y CUIPO:</v>
      </c>
      <c r="C110" s="70"/>
      <c r="D110" s="70"/>
      <c r="E110" s="70"/>
      <c r="F110" s="70"/>
      <c r="G110" s="70"/>
      <c r="H110" s="70"/>
      <c r="I110" s="70"/>
      <c r="J110" s="70"/>
      <c r="K110" s="70"/>
      <c r="L110" s="70"/>
      <c r="M110" s="70"/>
      <c r="P110" s="1" t="s">
        <v>80</v>
      </c>
      <c r="Q110" s="1">
        <v>126</v>
      </c>
      <c r="R110" s="1" t="str">
        <f>IF(Q110=1,CONCATENATE(Q110," coincidencia"),CONCATENATE(Q110," coincidencias"))</f>
        <v>0 coincidencias</v>
      </c>
    </row>
    <row r="111" spans="2:18" x14ac:dyDescent="0.25">
      <c r="B111" s="70"/>
      <c r="C111" s="70"/>
      <c r="D111" s="70"/>
      <c r="E111" s="70"/>
      <c r="F111" s="70"/>
      <c r="G111" s="70"/>
      <c r="H111" s="70"/>
      <c r="I111" s="70"/>
      <c r="J111" s="70"/>
      <c r="K111" s="70"/>
      <c r="L111" s="70"/>
      <c r="M111" s="70"/>
      <c r="P111" s="1" t="s">
        <v>81</v>
      </c>
      <c r="Q111" s="1">
        <v>201</v>
      </c>
    </row>
    <row r="112" spans="2:18" x14ac:dyDescent="0.25"/>
    <row r="113" spans="2:13" x14ac:dyDescent="0.25"/>
    <row r="114" spans="2:13" x14ac:dyDescent="0.25">
      <c r="D114" s="71" t="s">
        <v>82</v>
      </c>
      <c r="E114" s="71"/>
      <c r="F114" s="32"/>
      <c r="G114" s="32"/>
      <c r="H114" s="32"/>
      <c r="I114" s="32"/>
      <c r="J114" s="73" t="s">
        <v>83</v>
      </c>
      <c r="K114" s="73"/>
    </row>
    <row r="115" spans="2:13" x14ac:dyDescent="0.25">
      <c r="D115" s="72" t="str">
        <f>CONCATENATE(SUM(Q109:Q110)," combinaciones BPIN-Producto")</f>
        <v>0 combinaciones BPIN-Producto</v>
      </c>
      <c r="E115" s="72"/>
      <c r="F115" s="32"/>
      <c r="G115" s="32"/>
      <c r="H115" s="32"/>
      <c r="I115" s="32"/>
      <c r="J115" s="72" t="str">
        <f>CONCATENATE(SUM(Q110:Q111)," combinaciones BPIN-Producto")</f>
        <v>0 combinaciones BPIN-Producto</v>
      </c>
      <c r="K115" s="72"/>
    </row>
    <row r="116" spans="2:13" x14ac:dyDescent="0.25">
      <c r="D116" s="72"/>
      <c r="E116" s="72"/>
      <c r="F116" s="32"/>
      <c r="G116" s="32"/>
      <c r="H116" s="32"/>
      <c r="I116" s="32"/>
      <c r="J116" s="72"/>
      <c r="K116" s="72"/>
    </row>
    <row r="117" spans="2:13" x14ac:dyDescent="0.25"/>
    <row r="118" spans="2:13" x14ac:dyDescent="0.25"/>
    <row r="119" spans="2:13" x14ac:dyDescent="0.25"/>
    <row r="120" spans="2:13" x14ac:dyDescent="0.25"/>
    <row r="121" spans="2:13" x14ac:dyDescent="0.25"/>
    <row r="122" spans="2:13" x14ac:dyDescent="0.25"/>
    <row r="123" spans="2:13" x14ac:dyDescent="0.25">
      <c r="B123" s="69" t="s">
        <v>90</v>
      </c>
      <c r="C123" s="69"/>
      <c r="D123" s="69"/>
      <c r="E123" s="69"/>
      <c r="F123" s="69"/>
      <c r="G123" s="69"/>
      <c r="H123" s="69"/>
      <c r="I123" s="69"/>
      <c r="J123" s="69"/>
      <c r="K123" s="69"/>
      <c r="L123" s="69"/>
      <c r="M123" s="69"/>
    </row>
    <row r="124" spans="2:13" x14ac:dyDescent="0.25">
      <c r="B124" s="69"/>
      <c r="C124" s="69"/>
      <c r="D124" s="69"/>
      <c r="E124" s="69"/>
      <c r="F124" s="69"/>
      <c r="G124" s="69"/>
      <c r="H124" s="69"/>
      <c r="I124" s="69"/>
      <c r="J124" s="69"/>
      <c r="K124" s="69"/>
      <c r="L124" s="69"/>
      <c r="M124" s="69"/>
    </row>
    <row r="125" spans="2:13" ht="14.45" customHeight="1" x14ac:dyDescent="0.25">
      <c r="B125" s="56"/>
      <c r="C125" s="56"/>
      <c r="D125" s="56"/>
      <c r="E125" s="56"/>
      <c r="F125" s="56"/>
      <c r="G125" s="56"/>
      <c r="H125" s="56"/>
      <c r="I125" s="56"/>
      <c r="J125" s="56"/>
      <c r="K125" s="56"/>
      <c r="L125" s="56"/>
      <c r="M125" s="56"/>
    </row>
    <row r="126" spans="2:13" x14ac:dyDescent="0.25">
      <c r="B126" s="75" t="s">
        <v>129</v>
      </c>
      <c r="C126" s="75"/>
      <c r="D126" s="75"/>
      <c r="E126" s="75"/>
      <c r="F126" s="75"/>
      <c r="G126" s="75"/>
      <c r="H126" s="75"/>
      <c r="I126" s="75"/>
      <c r="J126" s="75"/>
      <c r="K126" s="75"/>
      <c r="L126" s="75"/>
      <c r="M126" s="75"/>
    </row>
    <row r="127" spans="2:13" x14ac:dyDescent="0.25">
      <c r="B127" s="75"/>
      <c r="C127" s="75"/>
      <c r="D127" s="75"/>
      <c r="E127" s="75"/>
      <c r="F127" s="75"/>
      <c r="G127" s="75"/>
      <c r="H127" s="75"/>
      <c r="I127" s="75"/>
      <c r="J127" s="75"/>
      <c r="K127" s="75"/>
      <c r="L127" s="75"/>
      <c r="M127" s="75"/>
    </row>
    <row r="128" spans="2:13" x14ac:dyDescent="0.25"/>
    <row r="129" spans="1:17" x14ac:dyDescent="0.25"/>
    <row r="130" spans="1:17" ht="17.25" x14ac:dyDescent="0.3">
      <c r="B130" s="11" t="str">
        <f>CONCATENATE("Intersección entre plataformas - Vigencia ",$X$1)</f>
        <v>Intersección entre plataformas - Vigencia (Dar clic en Habilitar Edición)</v>
      </c>
      <c r="C130" s="12"/>
      <c r="D130" s="12"/>
      <c r="E130" s="12"/>
      <c r="F130" s="12"/>
      <c r="G130" s="12"/>
      <c r="H130" s="12"/>
      <c r="I130" s="12"/>
      <c r="J130" s="12"/>
      <c r="K130" s="12"/>
      <c r="L130" s="12"/>
      <c r="M130" s="12"/>
    </row>
    <row r="131" spans="1:17" x14ac:dyDescent="0.25"/>
    <row r="132" spans="1:17" x14ac:dyDescent="0.25">
      <c r="B132" s="70" t="s">
        <v>93</v>
      </c>
      <c r="C132" s="70"/>
      <c r="D132" s="70"/>
      <c r="E132" s="70"/>
      <c r="F132" s="70"/>
      <c r="G132" s="70"/>
      <c r="H132" s="70"/>
      <c r="I132" s="70"/>
      <c r="J132" s="70"/>
      <c r="K132" s="70"/>
      <c r="L132" s="70"/>
      <c r="M132" s="70"/>
    </row>
    <row r="133" spans="1:17" x14ac:dyDescent="0.25">
      <c r="B133" s="70"/>
      <c r="C133" s="70"/>
      <c r="D133" s="70"/>
      <c r="E133" s="70"/>
      <c r="F133" s="70"/>
      <c r="G133" s="70"/>
      <c r="H133" s="70"/>
      <c r="I133" s="70"/>
      <c r="J133" s="70"/>
      <c r="K133" s="70"/>
      <c r="L133" s="70"/>
      <c r="M133" s="70"/>
    </row>
    <row r="134" spans="1:17" x14ac:dyDescent="0.25"/>
    <row r="135" spans="1:17" x14ac:dyDescent="0.25">
      <c r="B135" s="39" t="s">
        <v>82</v>
      </c>
      <c r="C135" s="44"/>
      <c r="G135" s="40" t="s">
        <v>83</v>
      </c>
      <c r="I135" s="70" t="s">
        <v>94</v>
      </c>
      <c r="J135" s="70"/>
      <c r="K135" s="70"/>
      <c r="L135" s="70"/>
      <c r="M135" s="84">
        <f>SUM(Q135:Q141)</f>
        <v>0</v>
      </c>
      <c r="P135" s="1" t="s">
        <v>97</v>
      </c>
      <c r="Q135">
        <v>196</v>
      </c>
    </row>
    <row r="136" spans="1:17" x14ac:dyDescent="0.25">
      <c r="B136" s="45">
        <f>Q137+Q139+Q140+Q141</f>
        <v>0</v>
      </c>
      <c r="G136" s="45">
        <f>Q135+Q138+Q139+Q141</f>
        <v>0</v>
      </c>
      <c r="I136" s="70"/>
      <c r="J136" s="70"/>
      <c r="K136" s="70"/>
      <c r="L136" s="70"/>
      <c r="M136" s="85"/>
      <c r="P136" s="1" t="s">
        <v>98</v>
      </c>
      <c r="Q136">
        <v>144</v>
      </c>
    </row>
    <row r="137" spans="1:17" x14ac:dyDescent="0.25">
      <c r="I137" s="28"/>
      <c r="J137" s="28"/>
      <c r="K137" s="28"/>
      <c r="L137" s="28"/>
      <c r="M137" s="28"/>
      <c r="P137" s="1" t="s">
        <v>99</v>
      </c>
      <c r="Q137">
        <v>66</v>
      </c>
    </row>
    <row r="138" spans="1:17" x14ac:dyDescent="0.25">
      <c r="I138" s="70" t="s">
        <v>95</v>
      </c>
      <c r="J138" s="70"/>
      <c r="K138" s="70"/>
      <c r="L138" s="70"/>
      <c r="M138" s="84">
        <f>Q141</f>
        <v>0</v>
      </c>
      <c r="P138" s="1" t="s">
        <v>100</v>
      </c>
      <c r="Q138">
        <v>5</v>
      </c>
    </row>
    <row r="139" spans="1:17" x14ac:dyDescent="0.25">
      <c r="I139" s="70"/>
      <c r="J139" s="70"/>
      <c r="K139" s="70"/>
      <c r="L139" s="70"/>
      <c r="M139" s="85"/>
      <c r="P139" s="1" t="s">
        <v>101</v>
      </c>
      <c r="Q139">
        <v>22</v>
      </c>
    </row>
    <row r="140" spans="1:17" x14ac:dyDescent="0.25">
      <c r="I140" s="28"/>
      <c r="J140" s="28"/>
      <c r="K140" s="28"/>
      <c r="L140" s="28"/>
      <c r="M140" s="28"/>
      <c r="P140" s="1" t="s">
        <v>102</v>
      </c>
      <c r="Q140">
        <v>52</v>
      </c>
    </row>
    <row r="141" spans="1:17" x14ac:dyDescent="0.25">
      <c r="I141" s="70" t="s">
        <v>96</v>
      </c>
      <c r="J141" s="70"/>
      <c r="K141" s="70"/>
      <c r="L141" s="70"/>
      <c r="M141" s="86" t="str">
        <f>IFERROR(M138/M135,"-")</f>
        <v>-</v>
      </c>
      <c r="P141" s="1" t="s">
        <v>103</v>
      </c>
      <c r="Q141">
        <v>104</v>
      </c>
    </row>
    <row r="142" spans="1:17" x14ac:dyDescent="0.25">
      <c r="I142" s="70"/>
      <c r="J142" s="70"/>
      <c r="K142" s="70"/>
      <c r="L142" s="70"/>
      <c r="M142" s="87"/>
    </row>
    <row r="143" spans="1:17" x14ac:dyDescent="0.25"/>
    <row r="144" spans="1:17" x14ac:dyDescent="0.25">
      <c r="A144" s="43"/>
      <c r="H144" s="69" t="str">
        <f>CONCATENATE(_xlfn._LONGTEXT("Notas: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"),$Z$1," y ",$X$1,".")</f>
        <v>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2024, 2025, 2026 y (Dar clic en Habilitar Edición).</v>
      </c>
      <c r="I144" s="69"/>
      <c r="J144" s="69"/>
      <c r="K144" s="69"/>
      <c r="L144" s="69"/>
      <c r="M144" s="69"/>
    </row>
    <row r="145" spans="1:13" x14ac:dyDescent="0.25">
      <c r="H145" s="69"/>
      <c r="I145" s="69"/>
      <c r="J145" s="69"/>
      <c r="K145" s="69"/>
      <c r="L145" s="69"/>
      <c r="M145" s="69"/>
    </row>
    <row r="146" spans="1:13" x14ac:dyDescent="0.25">
      <c r="H146" s="69"/>
      <c r="I146" s="69"/>
      <c r="J146" s="69"/>
      <c r="K146" s="69"/>
      <c r="L146" s="69"/>
      <c r="M146" s="69"/>
    </row>
    <row r="147" spans="1:13" x14ac:dyDescent="0.25">
      <c r="H147" s="69"/>
      <c r="I147" s="69"/>
      <c r="J147" s="69"/>
      <c r="K147" s="69"/>
      <c r="L147" s="69"/>
      <c r="M147" s="69"/>
    </row>
    <row r="148" spans="1:13" x14ac:dyDescent="0.25">
      <c r="H148" s="69"/>
      <c r="I148" s="69"/>
      <c r="J148" s="69"/>
      <c r="K148" s="69"/>
      <c r="L148" s="69"/>
      <c r="M148" s="69"/>
    </row>
    <row r="149" spans="1:13" x14ac:dyDescent="0.25">
      <c r="B149" s="41" t="s">
        <v>88</v>
      </c>
    </row>
    <row r="150" spans="1:13" x14ac:dyDescent="0.25">
      <c r="B150" s="45">
        <f>Q136+Q138+Q140+Q141</f>
        <v>0</v>
      </c>
    </row>
    <row r="151" spans="1:13" x14ac:dyDescent="0.25"/>
    <row r="152" spans="1:13" x14ac:dyDescent="0.25"/>
    <row r="153" spans="1:13" x14ac:dyDescent="0.25"/>
    <row r="154" spans="1:13" x14ac:dyDescent="0.25">
      <c r="A154" s="9" t="s">
        <v>104</v>
      </c>
    </row>
  </sheetData>
  <sheetProtection sheet="1" objects="1" scenarios="1" selectLockedCells="1"/>
  <mergeCells count="31">
    <mergeCell ref="B126:M127"/>
    <mergeCell ref="H144:M148"/>
    <mergeCell ref="B132:M133"/>
    <mergeCell ref="I135:L136"/>
    <mergeCell ref="I138:L139"/>
    <mergeCell ref="I141:L142"/>
    <mergeCell ref="M135:M136"/>
    <mergeCell ref="M138:M139"/>
    <mergeCell ref="M141:M142"/>
    <mergeCell ref="B18:G18"/>
    <mergeCell ref="B9:M10"/>
    <mergeCell ref="C3:L4"/>
    <mergeCell ref="B5:M5"/>
    <mergeCell ref="D1:K1"/>
    <mergeCell ref="B16:C16"/>
    <mergeCell ref="D16:E16"/>
    <mergeCell ref="J85:K87"/>
    <mergeCell ref="B123:M124"/>
    <mergeCell ref="B78:M79"/>
    <mergeCell ref="B80:M81"/>
    <mergeCell ref="B108:M109"/>
    <mergeCell ref="B110:M111"/>
    <mergeCell ref="D114:E114"/>
    <mergeCell ref="D115:E116"/>
    <mergeCell ref="J114:K114"/>
    <mergeCell ref="J115:K116"/>
    <mergeCell ref="J84:K84"/>
    <mergeCell ref="D84:E84"/>
    <mergeCell ref="D85:E87"/>
    <mergeCell ref="B102:M103"/>
    <mergeCell ref="B92:M93"/>
  </mergeCells>
  <dataValidations count="1">
    <dataValidation type="list" allowBlank="1" showInputMessage="1" showErrorMessage="1" sqref="D16:E16" xr:uid="{BBAEDDF8-4856-4087-9493-2C8D4B7CE128}">
      <formula1>$Q$1:$Q$5</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X252"/>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9.28515625" customWidth="1"/>
    <col min="8" max="8" width="23.140625" customWidth="1"/>
    <col min="9" max="9" width="17.7109375" customWidth="1"/>
    <col min="10" max="10" width="13.7109375" customWidth="1"/>
    <col min="11" max="14" width="16" style="37" customWidth="1"/>
    <col min="15" max="17" width="14.5703125" style="37" customWidth="1"/>
    <col min="18" max="18" width="16" style="38" customWidth="1"/>
    <col min="19" max="19" width="27.5703125" customWidth="1"/>
    <col min="20" max="22" width="14.5703125" customWidth="1"/>
    <col min="23" max="23" width="16" customWidth="1"/>
    <col min="24" max="24" width="27.5703125" customWidth="1"/>
  </cols>
  <sheetData>
    <row r="1" spans="1:24" s="20" ht="26.25" customFormat="1" x14ac:dyDescent="0.3">
      <c r="A1" s="31" t="s">
        <v>107</v>
      </c>
      <c r="B1" s="4"/>
      <c r="C1" s="4"/>
      <c r="D1" s="4"/>
      <c r="E1" s="4"/>
      <c r="F1" s="4"/>
      <c r="G1" s="4"/>
      <c r="H1" s="4"/>
      <c r="I1" s="4"/>
      <c r="J1" s="4"/>
      <c r="K1" s="18"/>
      <c r="L1" s="18"/>
      <c r="M1" s="18"/>
      <c r="N1" s="18"/>
      <c r="O1" s="18"/>
      <c r="P1" s="18"/>
      <c r="Q1" s="18"/>
      <c r="R1" s="19"/>
      <c r="S1" s="4"/>
      <c r="T1" s="53"/>
      <c r="U1" s="4"/>
      <c r="V1" s="4"/>
      <c r="W1" s="4"/>
      <c r="X1" s="4"/>
    </row>
    <row r="2" spans="1:24" s="20" ht="65.25" customFormat="1" customHeight="1" x14ac:dyDescent="0.3">
      <c r="A2" s="94" t="s">
        <v>118</v>
      </c>
      <c r="B2" s="94"/>
      <c r="C2" s="94"/>
      <c r="D2" s="94"/>
      <c r="E2" s="94"/>
      <c r="F2" s="94"/>
      <c r="G2" s="94"/>
      <c r="H2" s="94"/>
      <c r="I2" s="94"/>
      <c r="J2" s="94"/>
      <c r="K2" s="94"/>
      <c r="L2" s="94"/>
      <c r="M2" s="46"/>
      <c r="N2" s="46"/>
      <c r="O2" s="18"/>
      <c r="P2" s="18"/>
      <c r="Q2" s="18"/>
      <c r="R2" s="19"/>
      <c r="S2" s="4"/>
      <c r="T2" s="4"/>
      <c r="U2" s="4"/>
      <c r="V2" s="4"/>
      <c r="W2" s="4"/>
      <c r="X2" s="4"/>
    </row>
    <row r="3" spans="1:24" s="20" ht="35.25" customFormat="1" customHeight="1" x14ac:dyDescent="0.3">
      <c r="A3" s="94" t="s">
        <v>108</v>
      </c>
      <c r="B3" s="94"/>
      <c r="C3" s="94"/>
      <c r="D3" s="94"/>
      <c r="E3" s="94"/>
      <c r="F3" s="94"/>
      <c r="G3" s="94"/>
      <c r="H3" s="94"/>
      <c r="I3" s="94"/>
      <c r="J3" s="94"/>
      <c r="K3" s="94"/>
      <c r="L3" s="94"/>
      <c r="M3" s="46"/>
      <c r="N3" s="46"/>
      <c r="O3" s="18"/>
      <c r="P3" s="18"/>
      <c r="Q3" s="18"/>
      <c r="R3" s="19"/>
      <c r="S3" s="4"/>
      <c r="T3" s="4"/>
      <c r="U3" s="4"/>
      <c r="V3" s="4"/>
      <c r="W3" s="4"/>
      <c r="X3" s="4"/>
    </row>
    <row r="4" spans="1:24" s="20" ht="16.5" customFormat="1" x14ac:dyDescent="0.3">
      <c r="A4" s="95" t="s">
        <v>131</v>
      </c>
      <c r="B4" s="95"/>
      <c r="C4" s="95"/>
      <c r="D4" s="95"/>
      <c r="E4" s="95"/>
      <c r="F4" s="95"/>
      <c r="G4" s="95"/>
      <c r="H4" s="95"/>
      <c r="I4" s="95"/>
      <c r="J4" s="95"/>
      <c r="K4" s="95"/>
      <c r="L4" s="95"/>
      <c r="M4" s="46"/>
      <c r="N4" s="46"/>
      <c r="O4" s="18"/>
      <c r="P4" s="18"/>
      <c r="Q4" s="18"/>
      <c r="R4" s="19"/>
      <c r="S4" s="4"/>
      <c r="T4" s="4"/>
      <c r="U4" s="4"/>
      <c r="V4" s="4"/>
      <c r="W4" s="4"/>
      <c r="X4" s="4"/>
    </row>
    <row r="5" spans="1:24" s="20" ht="9.75" customFormat="1" customHeight="1" x14ac:dyDescent="0.3">
      <c r="A5" s="46"/>
      <c r="B5" s="46"/>
      <c r="C5" s="46"/>
      <c r="D5" s="46"/>
      <c r="E5" s="46"/>
      <c r="F5" s="46"/>
      <c r="G5" s="46"/>
      <c r="H5" s="46"/>
      <c r="I5" s="46"/>
      <c r="J5" s="46"/>
      <c r="K5" s="46"/>
      <c r="L5" s="46"/>
      <c r="M5" s="46"/>
      <c r="N5" s="46"/>
      <c r="O5" s="18"/>
      <c r="P5" s="18"/>
      <c r="Q5" s="18"/>
      <c r="R5" s="19"/>
      <c r="S5" s="4"/>
      <c r="T5" s="4"/>
      <c r="U5" s="4"/>
      <c r="V5" s="4"/>
      <c r="W5" s="4"/>
      <c r="X5" s="4"/>
    </row>
    <row r="6" spans="1:24" s="20" ht="20.45" customFormat="1" customHeight="1" x14ac:dyDescent="0.3">
      <c r="A6" s="4"/>
      <c r="B6" s="4"/>
      <c r="C6" s="4"/>
      <c r="D6" s="4"/>
      <c r="E6" s="4"/>
      <c r="F6" s="4"/>
      <c r="G6" s="4"/>
      <c r="H6" s="4"/>
      <c r="I6" s="4"/>
      <c r="J6" s="4"/>
      <c r="K6" s="91" t="s">
        <v>124</v>
      </c>
      <c r="L6" s="92"/>
      <c r="M6" s="92"/>
      <c r="N6" s="93"/>
      <c r="O6" s="89" t="s">
        <v>68</v>
      </c>
      <c r="P6" s="89"/>
      <c r="Q6" s="89"/>
      <c r="R6" s="89"/>
      <c r="S6" s="90"/>
      <c r="T6" s="88" t="str">
        <f>CONCATENATE("Ejecución CUIPO ",Resumen!$X$1)</f>
        <v>Ejecución CUIPO (Dar clic en Habilitar Edición)</v>
      </c>
      <c r="U6" s="89"/>
      <c r="V6" s="89"/>
      <c r="W6" s="89"/>
      <c r="X6" s="90"/>
    </row>
    <row r="7" spans="1:24"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Descripción del Producto (MGA)</t>
        </is>
      </c>
      <c r="I7" s="16" t="inlineStr">
        <is>
          <t>Códigos BPIN Asociados</t>
        </is>
      </c>
      <c r="J7" s="16" t="inlineStr">
        <is>
          <t>Programación Cuatrienio SisPT</t>
        </is>
      </c>
      <c r="K7" s="60" t="inlineStr">
        <is>
          <t>Programado 2024 (SisPT)</t>
        </is>
      </c>
      <c r="L7" s="51" t="inlineStr">
        <is>
          <t>Programado 2025 (SisPT)</t>
        </is>
      </c>
      <c r="M7" s="51" t="inlineStr">
        <is>
          <t>Programado 2026 (SisPT)</t>
        </is>
      </c>
      <c r="N7" s="52" t="inlineStr">
        <is>
          <t>Programado 2027 (SisPT)</t>
        </is>
      </c>
      <c r="O7" s="58" t="inlineStr">
        <is>
          <t>Compromisos 2024 (CUIPO)</t>
        </is>
      </c>
      <c r="P7" s="58" t="inlineStr">
        <is>
          <t>Obligaciones 2024 (CUIPO)</t>
        </is>
      </c>
      <c r="Q7" s="58" t="inlineStr">
        <is>
          <t>Pagos 2024 (CUIPO)</t>
        </is>
      </c>
      <c r="R7" s="64" t="inlineStr">
        <is>
          <t>Obligaciones como % de lo programado (2024)</t>
        </is>
      </c>
      <c r="S7" s="67" t="inlineStr">
        <is>
          <t>Explicación del valor 2024</t>
        </is>
      </c>
      <c r="T7" s="59" t="inlineStr">
        <is>
          <t>Compromisos 2025 (CUIPO)</t>
        </is>
      </c>
      <c r="U7" s="58" t="inlineStr">
        <is>
          <t>Obligaciones 2025 (CUIPO)</t>
        </is>
      </c>
      <c r="V7" s="58" t="inlineStr">
        <is>
          <t>Pagos 2025 (CUIPO)</t>
        </is>
      </c>
      <c r="W7" s="64" t="inlineStr">
        <is>
          <t>Obligaciones como % de lo programado (2025)</t>
        </is>
      </c>
      <c r="X7" s="67" t="inlineStr">
        <is>
          <t>Explicación del valor 2025</t>
        </is>
      </c>
    </row>
    <row r="8">
      <c r="A8" t="inlineStr">
        <is>
          <t>IP-1</t>
        </is>
      </c>
      <c r="B8" t="inlineStr">
        <is>
          <t>33</t>
        </is>
      </c>
      <c r="C8" t="inlineStr">
        <is>
          <t>Cultura</t>
        </is>
      </c>
      <c r="D8" t="inlineStr">
        <is>
          <t>3301</t>
        </is>
      </c>
      <c r="E8" t="inlineStr">
        <is>
          <t>Promoción y acceso efectivo a procesos culturales y artísticos</t>
        </is>
      </c>
      <c r="F8" t="inlineStr">
        <is>
          <t>3301017</t>
        </is>
      </c>
      <c r="G8" t="inlineStr">
        <is>
          <t>Casas de la cultura ampliadas</t>
        </is>
      </c>
      <c r="H8" t="inlineStr">
        <is>
          <t xml:space="preserve">Incrementar el área construida de la infraestructura cultural ya existente.
</t>
        </is>
      </c>
      <c r="I8" t="inlineStr">
        <is>
          <t>2024258170044</t>
        </is>
      </c>
      <c r="J8" s="99">
        <v>5000000000</v>
      </c>
      <c r="K8" s="99">
        <v>0</v>
      </c>
      <c r="L8" s="99">
        <v>0</v>
      </c>
      <c r="M8" s="99">
        <v>0</v>
      </c>
      <c r="N8" s="99">
        <v>5000000000</v>
      </c>
      <c r="O8" s="99" t="inlineStr">
        <is>
          <t xml:space="preserve"> </t>
        </is>
      </c>
      <c r="P8" s="99" t="inlineStr">
        <is>
          <t xml:space="preserve"> </t>
        </is>
      </c>
      <c r="Q8" s="99" t="inlineStr">
        <is>
          <t xml:space="preserve"> </t>
        </is>
      </c>
      <c r="R8" s="100" t="inlineStr">
        <is>
          <t xml:space="preserve"> </t>
        </is>
      </c>
      <c r="S8" t="inlineStr">
        <is>
          <t>No se encontró ejecución en CUIPO</t>
        </is>
      </c>
      <c r="T8" s="101" t="inlineStr">
        <is>
          <t xml:space="preserve"> </t>
        </is>
      </c>
      <c r="U8" s="101" t="inlineStr">
        <is>
          <t xml:space="preserve"> </t>
        </is>
      </c>
      <c r="V8" s="101" t="inlineStr">
        <is>
          <t xml:space="preserve"> </t>
        </is>
      </c>
      <c r="W8" s="102" t="inlineStr">
        <is>
          <t xml:space="preserve"> </t>
        </is>
      </c>
      <c r="X8" t="inlineStr">
        <is>
          <t>No se encontró ejecución en CUIPO</t>
        </is>
      </c>
    </row>
    <row r="9">
      <c r="A9" t="inlineStr">
        <is>
          <t>IP-2</t>
        </is>
      </c>
      <c r="B9" t="inlineStr">
        <is>
          <t>04</t>
        </is>
      </c>
      <c r="C9" t="inlineStr">
        <is>
          <t>Información Estadística</t>
        </is>
      </c>
      <c r="D9" t="inlineStr">
        <is>
          <t>0406</t>
        </is>
      </c>
      <c r="E9" t="inlineStr">
        <is>
          <t>Generación de la información geográfica del territorio nacional</t>
        </is>
      </c>
      <c r="F9" t="inlineStr">
        <is>
          <t>0406003</t>
        </is>
      </c>
      <c r="G9" t="inlineStr">
        <is>
          <t>Servicio de conservación catastral</t>
        </is>
      </c>
      <c r="H9" t="inlineStr">
        <is>
          <t>Acciones orientadas a mantener actualizada, en los documentos catastrales, la información relacionada con los bienes inmuebles que hayan sufrido cambios en sus aspectos físico, jurídico y económico.</t>
        </is>
      </c>
      <c r="I9" t="inlineStr">
        <is>
          <t>2024258170010</t>
        </is>
      </c>
      <c r="J9" s="99">
        <v>290000000</v>
      </c>
      <c r="K9" s="99">
        <v>50000000</v>
      </c>
      <c r="L9" s="99">
        <v>0</v>
      </c>
      <c r="M9" s="99">
        <v>120000000</v>
      </c>
      <c r="N9" s="99">
        <v>120000000</v>
      </c>
      <c r="O9" s="99" t="inlineStr">
        <is>
          <t xml:space="preserve"> </t>
        </is>
      </c>
      <c r="P9" s="99" t="inlineStr">
        <is>
          <t xml:space="preserve"> </t>
        </is>
      </c>
      <c r="Q9" s="99" t="inlineStr">
        <is>
          <t xml:space="preserve"> </t>
        </is>
      </c>
      <c r="R9" s="100" t="inlineStr">
        <is>
          <t xml:space="preserve"> </t>
        </is>
      </c>
      <c r="S9" t="inlineStr">
        <is>
          <t>No se encontró ejecución en CUIPO</t>
        </is>
      </c>
      <c r="T9" s="101" t="inlineStr">
        <is>
          <t xml:space="preserve"> </t>
        </is>
      </c>
      <c r="U9" s="101" t="inlineStr">
        <is>
          <t xml:space="preserve"> </t>
        </is>
      </c>
      <c r="V9" s="101" t="inlineStr">
        <is>
          <t xml:space="preserve"> </t>
        </is>
      </c>
      <c r="W9" s="102" t="inlineStr">
        <is>
          <t xml:space="preserve"> </t>
        </is>
      </c>
      <c r="X9" t="inlineStr">
        <is>
          <t>No se encontró ejecución en CUIPO</t>
        </is>
      </c>
    </row>
    <row r="10">
      <c r="A10" t="inlineStr">
        <is>
          <t>IP-3</t>
        </is>
      </c>
      <c r="B10" t="inlineStr">
        <is>
          <t>45</t>
        </is>
      </c>
      <c r="C10" t="inlineStr">
        <is>
          <t>Gobierno Territorial</t>
        </is>
      </c>
      <c r="D10" t="inlineStr">
        <is>
          <t>4502</t>
        </is>
      </c>
      <c r="E10" t="inlineStr">
        <is>
          <t>Fortalecimiento del buen gobierno para el respeto y garantía de los derechos humanos.</t>
        </is>
      </c>
      <c r="F10" t="inlineStr">
        <is>
          <t>4502032</t>
        </is>
      </c>
      <c r="G10" t="inlineStr">
        <is>
          <t>Documentos de lineamientos técnicos</t>
        </is>
      </c>
      <c r="H10" t="inlineStr">
        <is>
          <t>Documentos cuyo objetivo es describir y explicar instrumentos, estándares, requisitos y condiciones necesarias para llevar a cabo un proceso o actividad.</t>
        </is>
      </c>
      <c r="I10" t="inlineStr">
        <is>
          <t>202400000006667</t>
        </is>
      </c>
      <c r="J10" s="99">
        <v>374946148</v>
      </c>
      <c r="K10" s="99">
        <v>57746148</v>
      </c>
      <c r="L10" s="99">
        <v>101500000</v>
      </c>
      <c r="M10" s="99">
        <v>200000</v>
      </c>
      <c r="N10" s="99">
        <v>215500000</v>
      </c>
      <c r="O10" s="99" t="inlineStr">
        <is>
          <t xml:space="preserve"> </t>
        </is>
      </c>
      <c r="P10" s="99" t="inlineStr">
        <is>
          <t xml:space="preserve"> </t>
        </is>
      </c>
      <c r="Q10" s="99" t="inlineStr">
        <is>
          <t xml:space="preserve"> </t>
        </is>
      </c>
      <c r="R10" s="100" t="inlineStr">
        <is>
          <t xml:space="preserve"> </t>
        </is>
      </c>
      <c r="S10" t="inlineStr">
        <is>
          <t>No se encontró ejecución en CUIPO</t>
        </is>
      </c>
      <c r="T10" s="101">
        <v>74640000</v>
      </c>
      <c r="U10" s="101">
        <v>30240000</v>
      </c>
      <c r="V10" s="101">
        <v>30240000</v>
      </c>
      <c r="W10" s="102">
        <v>0.297931034482759</v>
      </c>
      <c r="X10" t="inlineStr">
        <is>
          <t>Lo obligado está por debajo de lo programado en la vigencia</t>
        </is>
      </c>
    </row>
    <row r="11">
      <c r="A11" t="inlineStr">
        <is>
          <t>IP-4</t>
        </is>
      </c>
      <c r="B11" t="inlineStr">
        <is>
          <t>17</t>
        </is>
      </c>
      <c r="C11" t="inlineStr">
        <is>
          <t xml:space="preserve">Agricultura y desarrollo rural
</t>
        </is>
      </c>
      <c r="D11" t="inlineStr">
        <is>
          <t>1702</t>
        </is>
      </c>
      <c r="E11" t="inlineStr">
        <is>
          <t>Inclusión productiva de pequeños productores rurales</t>
        </is>
      </c>
      <c r="F11" t="inlineStr">
        <is>
          <t>1702038</t>
        </is>
      </c>
      <c r="G11" t="inlineStr">
        <is>
          <t>Servicio de apoyo a la comercialización</t>
        </is>
      </c>
      <c r="H11" t="inlineStr">
        <is>
          <t>Consiste en el acompañamiento para la  identificación de apoyos específicos, la adquisición de competencias comerciales y  en casos requeridos, la inserción o consolidación en  encadenamientos comerciales.</t>
        </is>
      </c>
      <c r="I11" t="inlineStr">
        <is>
          <t>2024258170024</t>
        </is>
      </c>
      <c r="J11" s="99">
        <v>100000000</v>
      </c>
      <c r="K11" s="99">
        <v>0</v>
      </c>
      <c r="L11" s="99">
        <v>0</v>
      </c>
      <c r="M11" s="99">
        <v>50000000</v>
      </c>
      <c r="N11" s="99">
        <v>50000000</v>
      </c>
      <c r="O11" s="99" t="inlineStr">
        <is>
          <t xml:space="preserve"> </t>
        </is>
      </c>
      <c r="P11" s="99" t="inlineStr">
        <is>
          <t xml:space="preserve"> </t>
        </is>
      </c>
      <c r="Q11" s="99" t="inlineStr">
        <is>
          <t xml:space="preserve"> </t>
        </is>
      </c>
      <c r="R11" s="100" t="inlineStr">
        <is>
          <t xml:space="preserve"> </t>
        </is>
      </c>
      <c r="S11" t="inlineStr">
        <is>
          <t>No se encontró ejecución en CUIPO</t>
        </is>
      </c>
      <c r="T11" s="101" t="inlineStr">
        <is>
          <t xml:space="preserve"> </t>
        </is>
      </c>
      <c r="U11" s="101" t="inlineStr">
        <is>
          <t xml:space="preserve"> </t>
        </is>
      </c>
      <c r="V11" s="101" t="inlineStr">
        <is>
          <t xml:space="preserve"> </t>
        </is>
      </c>
      <c r="W11" s="102" t="inlineStr">
        <is>
          <t xml:space="preserve"> </t>
        </is>
      </c>
      <c r="X11" t="inlineStr">
        <is>
          <t>No se encontró ejecución en CUIPO</t>
        </is>
      </c>
    </row>
    <row r="12">
      <c r="A12" t="inlineStr">
        <is>
          <t>IP-5</t>
        </is>
      </c>
      <c r="B12" t="inlineStr">
        <is>
          <t>35</t>
        </is>
      </c>
      <c r="C12" t="inlineStr">
        <is>
          <t>Comercio, industria y turismo</t>
        </is>
      </c>
      <c r="D12" t="inlineStr">
        <is>
          <t>3502</t>
        </is>
      </c>
      <c r="E12" t="inlineStr">
        <is>
          <t>Productividad y competitividad de las empresas colombianas</t>
        </is>
      </c>
      <c r="F12" t="inlineStr">
        <is>
          <t>3502093</t>
        </is>
      </c>
      <c r="G12" t="inlineStr">
        <is>
          <t>Servicios de información turística a nivel nacional</t>
        </is>
      </c>
      <c r="H12" t="inlineStr">
        <is>
          <t>Comprende las actividades necesarias para la generación de información y herramientas tecnológicas en el uso de datos referentes al sector turismo.</t>
        </is>
      </c>
      <c r="I12" t="inlineStr">
        <is>
          <t>2024258170013</t>
        </is>
      </c>
      <c r="J12" s="99">
        <v>560000000</v>
      </c>
      <c r="K12" s="99">
        <v>120000000</v>
      </c>
      <c r="L12" s="99">
        <v>200000000</v>
      </c>
      <c r="M12" s="99">
        <v>120000000</v>
      </c>
      <c r="N12" s="99">
        <v>120000000</v>
      </c>
      <c r="O12" s="99" t="inlineStr">
        <is>
          <t xml:space="preserve"> </t>
        </is>
      </c>
      <c r="P12" s="99" t="inlineStr">
        <is>
          <t xml:space="preserve"> </t>
        </is>
      </c>
      <c r="Q12" s="99" t="inlineStr">
        <is>
          <t xml:space="preserve"> </t>
        </is>
      </c>
      <c r="R12" s="100" t="inlineStr">
        <is>
          <t xml:space="preserve"> </t>
        </is>
      </c>
      <c r="S12" t="inlineStr">
        <is>
          <t>No se encontró ejecución en CUIPO</t>
        </is>
      </c>
      <c r="T12" s="101" t="inlineStr">
        <is>
          <t xml:space="preserve"> </t>
        </is>
      </c>
      <c r="U12" s="101" t="inlineStr">
        <is>
          <t xml:space="preserve"> </t>
        </is>
      </c>
      <c r="V12" s="101" t="inlineStr">
        <is>
          <t xml:space="preserve"> </t>
        </is>
      </c>
      <c r="W12" s="102" t="inlineStr">
        <is>
          <t xml:space="preserve"> </t>
        </is>
      </c>
      <c r="X12" t="inlineStr">
        <is>
          <t>No se encontró ejecución en CUIPO</t>
        </is>
      </c>
    </row>
    <row r="13">
      <c r="A13" t="inlineStr">
        <is>
          <t>IP-6</t>
        </is>
      </c>
      <c r="B13" t="inlineStr">
        <is>
          <t>41</t>
        </is>
      </c>
      <c r="C13" t="inlineStr">
        <is>
          <t xml:space="preserve">Inclusión social y reconciliación </t>
        </is>
      </c>
      <c r="D13" t="inlineStr">
        <is>
          <t>4101</t>
        </is>
      </c>
      <c r="E13" t="inlineStr">
        <is>
          <t>Atención, asistencia y reparación integral a las víctimas</t>
        </is>
      </c>
      <c r="F13" t="inlineStr">
        <is>
          <t>4101103</t>
        </is>
      </c>
      <c r="G13" t="inlineStr">
        <is>
          <t>Documentos de planeación</t>
        </is>
      </c>
      <c r="H13"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3" t="inlineStr">
        <is>
          <t>202400000006511</t>
        </is>
      </c>
      <c r="J13" s="99">
        <v>0</v>
      </c>
      <c r="K13" s="99">
        <v>0</v>
      </c>
      <c r="L13" s="99">
        <v>0</v>
      </c>
      <c r="M13" s="99">
        <v>0</v>
      </c>
      <c r="N13" s="99">
        <v>0</v>
      </c>
      <c r="O13" s="99" t="inlineStr">
        <is>
          <t xml:space="preserve"> </t>
        </is>
      </c>
      <c r="P13" s="99" t="inlineStr">
        <is>
          <t xml:space="preserve"> </t>
        </is>
      </c>
      <c r="Q13" s="99" t="inlineStr">
        <is>
          <t xml:space="preserve"> </t>
        </is>
      </c>
      <c r="R13" s="100" t="inlineStr">
        <is>
          <t xml:space="preserve"> </t>
        </is>
      </c>
      <c r="S13" t="inlineStr">
        <is>
          <t>No se encontró ejecución en CUIPO</t>
        </is>
      </c>
      <c r="T13" s="101" t="inlineStr">
        <is>
          <t xml:space="preserve"> </t>
        </is>
      </c>
      <c r="U13" s="101" t="inlineStr">
        <is>
          <t xml:space="preserve"> </t>
        </is>
      </c>
      <c r="V13" s="101" t="inlineStr">
        <is>
          <t xml:space="preserve"> </t>
        </is>
      </c>
      <c r="W13" s="102" t="inlineStr">
        <is>
          <t xml:space="preserve"> </t>
        </is>
      </c>
      <c r="X13" t="inlineStr">
        <is>
          <t>No se encontró ejecución en CUIPO</t>
        </is>
      </c>
    </row>
    <row r="14">
      <c r="A14" t="inlineStr">
        <is>
          <t>IP-7</t>
        </is>
      </c>
      <c r="B14" t="inlineStr">
        <is>
          <t>24</t>
        </is>
      </c>
      <c r="C14" t="inlineStr">
        <is>
          <t>Transporte</t>
        </is>
      </c>
      <c r="D14" t="inlineStr">
        <is>
          <t>2402</t>
        </is>
      </c>
      <c r="E14" t="inlineStr">
        <is>
          <t>Infraestructura red vial regional</t>
        </is>
      </c>
      <c r="F14" t="inlineStr">
        <is>
          <t>2402043</t>
        </is>
      </c>
      <c r="G14" t="inlineStr">
        <is>
          <t>Vía terciaria ampliada y/o rectificada</t>
        </is>
      </c>
      <c r="H14" t="inlineStr">
        <is>
          <t xml:space="preserve">Vía terciaria con acciones de ampliación de carril o con rectificación de curvas </t>
        </is>
      </c>
      <c r="I14" t="inlineStr">
        <is>
          <t>202400000006693</t>
        </is>
      </c>
      <c r="J14" s="99">
        <v>6675620199.21</v>
      </c>
      <c r="K14" s="99">
        <v>616533532.21</v>
      </c>
      <c r="L14" s="99">
        <v>4559086667</v>
      </c>
      <c r="M14" s="99">
        <v>1500000000</v>
      </c>
      <c r="N14" s="99">
        <v>0</v>
      </c>
      <c r="O14" s="99" t="inlineStr">
        <is>
          <t xml:space="preserve"> </t>
        </is>
      </c>
      <c r="P14" s="99" t="inlineStr">
        <is>
          <t xml:space="preserve"> </t>
        </is>
      </c>
      <c r="Q14" s="99" t="inlineStr">
        <is>
          <t xml:space="preserve"> </t>
        </is>
      </c>
      <c r="R14" s="100" t="inlineStr">
        <is>
          <t xml:space="preserve"> </t>
        </is>
      </c>
      <c r="S14" t="inlineStr">
        <is>
          <t>No se encontró ejecución en CUIPO</t>
        </is>
      </c>
      <c r="T14" s="101">
        <v>319840874</v>
      </c>
      <c r="U14" s="101">
        <v>31840874</v>
      </c>
      <c r="V14" s="101">
        <v>31840874</v>
      </c>
      <c r="W14" s="102">
        <v>0.00698404665795751</v>
      </c>
      <c r="X14" t="inlineStr">
        <is>
          <t>Lo obligado está por debajo de lo programado en la vigencia</t>
        </is>
      </c>
    </row>
    <row r="15">
      <c r="A15" t="inlineStr">
        <is>
          <t>IP-8</t>
        </is>
      </c>
      <c r="B15" t="inlineStr">
        <is>
          <t>41</t>
        </is>
      </c>
      <c r="C15" t="inlineStr">
        <is>
          <t xml:space="preserve">Inclusión social y reconciliación </t>
        </is>
      </c>
      <c r="D15" t="inlineStr">
        <is>
          <t>4101</t>
        </is>
      </c>
      <c r="E15" t="inlineStr">
        <is>
          <t>Atención, asistencia y reparación integral a las víctimas</t>
        </is>
      </c>
      <c r="F15" t="inlineStr">
        <is>
          <t>4101091</t>
        </is>
      </c>
      <c r="G15" t="inlineStr">
        <is>
          <t>Servicio de rehabilitación psicosocial a víctimas del conflicto armado</t>
        </is>
      </c>
      <c r="H15" t="inlineStr">
        <is>
          <t xml:space="preserve">Corresponde a la implementación de la medida de rehabilitación psicosocial dentro del proceso de Reparación Integral a las victimas del conflicto armado, que contribuye a la mitigación del daño psicosocial y el sufrimiento emocional, mediante la aplicación de los protocolos del Ministerio de Salud. </t>
        </is>
      </c>
      <c r="I15" t="inlineStr">
        <is>
          <t>202400000006511</t>
        </is>
      </c>
      <c r="J15" s="99">
        <v>135535000</v>
      </c>
      <c r="K15" s="99">
        <v>6600000</v>
      </c>
      <c r="L15" s="99">
        <v>40000000</v>
      </c>
      <c r="M15" s="99">
        <v>42350000</v>
      </c>
      <c r="N15" s="99">
        <v>46585000</v>
      </c>
      <c r="O15" s="99" t="inlineStr">
        <is>
          <t xml:space="preserve"> </t>
        </is>
      </c>
      <c r="P15" s="99" t="inlineStr">
        <is>
          <t xml:space="preserve"> </t>
        </is>
      </c>
      <c r="Q15" s="99" t="inlineStr">
        <is>
          <t xml:space="preserve"> </t>
        </is>
      </c>
      <c r="R15" s="100" t="inlineStr">
        <is>
          <t xml:space="preserve"> </t>
        </is>
      </c>
      <c r="S15" t="inlineStr">
        <is>
          <t>No se encontró ejecución en CUIPO</t>
        </is>
      </c>
      <c r="T15" s="101">
        <v>40000000</v>
      </c>
      <c r="U15" s="101">
        <v>28000000</v>
      </c>
      <c r="V15" s="101">
        <v>28000000</v>
      </c>
      <c r="W15" s="102">
        <v>0.7</v>
      </c>
      <c r="X15" t="inlineStr">
        <is>
          <t>Lo obligado está por debajo de lo programado en la vigencia</t>
        </is>
      </c>
    </row>
    <row r="16">
      <c r="A16" t="inlineStr">
        <is>
          <t>IP-9</t>
        </is>
      </c>
      <c r="B16" t="inlineStr">
        <is>
          <t>17</t>
        </is>
      </c>
      <c r="C16" t="inlineStr">
        <is>
          <t xml:space="preserve">Agricultura y desarrollo rural
</t>
        </is>
      </c>
      <c r="D16" t="inlineStr">
        <is>
          <t>1702</t>
        </is>
      </c>
      <c r="E16" t="inlineStr">
        <is>
          <t>Inclusión productiva de pequeños productores rurales</t>
        </is>
      </c>
      <c r="F16" t="inlineStr">
        <is>
          <t>1702007</t>
        </is>
      </c>
      <c r="G16" t="inlineStr">
        <is>
          <t>Servicio de apoyo financiero para proyectos productivos</t>
        </is>
      </c>
      <c r="H16" t="inlineStr">
        <is>
          <t>Subsidio o cofinanciación para el establecimiento o fortalecimiento de proyectos productivos agropecuarios.</t>
        </is>
      </c>
      <c r="I16" t="inlineStr">
        <is>
          <t>2024258170024</t>
        </is>
      </c>
      <c r="J16" s="99">
        <v>150000000</v>
      </c>
      <c r="K16" s="99">
        <v>0</v>
      </c>
      <c r="L16" s="99">
        <v>0</v>
      </c>
      <c r="M16" s="99">
        <v>120000000</v>
      </c>
      <c r="N16" s="99">
        <v>30000000</v>
      </c>
      <c r="O16" s="99" t="inlineStr">
        <is>
          <t xml:space="preserve"> </t>
        </is>
      </c>
      <c r="P16" s="99" t="inlineStr">
        <is>
          <t xml:space="preserve"> </t>
        </is>
      </c>
      <c r="Q16" s="99" t="inlineStr">
        <is>
          <t xml:space="preserve"> </t>
        </is>
      </c>
      <c r="R16" s="100" t="inlineStr">
        <is>
          <t xml:space="preserve"> </t>
        </is>
      </c>
      <c r="S16" t="inlineStr">
        <is>
          <t>No se encontró ejecución en CUIPO</t>
        </is>
      </c>
      <c r="T16" s="101" t="inlineStr">
        <is>
          <t xml:space="preserve"> </t>
        </is>
      </c>
      <c r="U16" s="101" t="inlineStr">
        <is>
          <t xml:space="preserve"> </t>
        </is>
      </c>
      <c r="V16" s="101" t="inlineStr">
        <is>
          <t xml:space="preserve"> </t>
        </is>
      </c>
      <c r="W16" s="102" t="inlineStr">
        <is>
          <t xml:space="preserve"> </t>
        </is>
      </c>
      <c r="X16" t="inlineStr">
        <is>
          <t>No se encontró ejecución en CUIPO</t>
        </is>
      </c>
    </row>
    <row r="17">
      <c r="A17" t="inlineStr">
        <is>
          <t>IP-10</t>
        </is>
      </c>
      <c r="B17" t="inlineStr">
        <is>
          <t>12</t>
        </is>
      </c>
      <c r="C17" t="inlineStr">
        <is>
          <t>Justicia y del derecho</t>
        </is>
      </c>
      <c r="D17" t="inlineStr">
        <is>
          <t>1202</t>
        </is>
      </c>
      <c r="E17" t="inlineStr">
        <is>
          <t>Promoción al acceso a la justicia</t>
        </is>
      </c>
      <c r="F17" t="inlineStr">
        <is>
          <t>1202012</t>
        </is>
      </c>
      <c r="G17" t="inlineStr">
        <is>
          <t>Servicio de educación informal en temas de acceso a la justicia</t>
        </is>
      </c>
      <c r="H17" t="inlineStr">
        <is>
          <t>Capacitaciones y eventos en temas de acceso a la justicia</t>
        </is>
      </c>
      <c r="I17" t="inlineStr">
        <is>
          <t>2024258170009</t>
        </is>
      </c>
      <c r="J17" s="99">
        <v>40000000</v>
      </c>
      <c r="K17" s="99">
        <v>10000000</v>
      </c>
      <c r="L17" s="99">
        <v>0</v>
      </c>
      <c r="M17" s="99">
        <v>15000000</v>
      </c>
      <c r="N17" s="99">
        <v>15000000</v>
      </c>
      <c r="O17" s="99" t="inlineStr">
        <is>
          <t xml:space="preserve"> </t>
        </is>
      </c>
      <c r="P17" s="99" t="inlineStr">
        <is>
          <t xml:space="preserve"> </t>
        </is>
      </c>
      <c r="Q17" s="99" t="inlineStr">
        <is>
          <t xml:space="preserve"> </t>
        </is>
      </c>
      <c r="R17" s="100" t="inlineStr">
        <is>
          <t xml:space="preserve"> </t>
        </is>
      </c>
      <c r="S17" t="inlineStr">
        <is>
          <t>No se encontró ejecución en CUIPO</t>
        </is>
      </c>
      <c r="T17" s="101" t="inlineStr">
        <is>
          <t xml:space="preserve"> </t>
        </is>
      </c>
      <c r="U17" s="101" t="inlineStr">
        <is>
          <t xml:space="preserve"> </t>
        </is>
      </c>
      <c r="V17" s="101" t="inlineStr">
        <is>
          <t xml:space="preserve"> </t>
        </is>
      </c>
      <c r="W17" s="102" t="inlineStr">
        <is>
          <t xml:space="preserve"> </t>
        </is>
      </c>
      <c r="X17" t="inlineStr">
        <is>
          <t>No se encontró ejecución en CUIPO</t>
        </is>
      </c>
    </row>
    <row r="18">
      <c r="A18" t="inlineStr">
        <is>
          <t>IP-11</t>
        </is>
      </c>
      <c r="B18" t="inlineStr">
        <is>
          <t>36</t>
        </is>
      </c>
      <c r="C18" t="inlineStr">
        <is>
          <t>Trabajo</t>
        </is>
      </c>
      <c r="D18" t="inlineStr">
        <is>
          <t>3603</t>
        </is>
      </c>
      <c r="E18" t="inlineStr">
        <is>
          <t>Formación para el trabajo</t>
        </is>
      </c>
      <c r="F18" t="inlineStr">
        <is>
          <t>3603002</t>
        </is>
      </c>
      <c r="G18" t="inlineStr">
        <is>
          <t>Servicio de formación para el trabajo en competencias para la inserción laboral</t>
        </is>
      </c>
      <c r="H18" t="inlineStr">
        <is>
          <t>Acciones destinadas al desarrollo de competencias para la inserción al mercado laboral, como complemento de la educación básica; para la actualización constante de los conocimientos y habilidades, lo que impacta la productividad y competitividad de los lugares donde trabajan y para la promoción del acceso al trabajo de poblaciones vulnerables por medio de programas especiales de formación.</t>
        </is>
      </c>
      <c r="I18" t="inlineStr">
        <is>
          <t>202400000006204</t>
        </is>
      </c>
      <c r="J18" s="99">
        <v>150000000</v>
      </c>
      <c r="K18" s="99">
        <v>10000000</v>
      </c>
      <c r="L18" s="99">
        <v>40000000</v>
      </c>
      <c r="M18" s="99">
        <v>50000000</v>
      </c>
      <c r="N18" s="99">
        <v>50000000</v>
      </c>
      <c r="O18" s="99" t="inlineStr">
        <is>
          <t xml:space="preserve"> </t>
        </is>
      </c>
      <c r="P18" s="99" t="inlineStr">
        <is>
          <t xml:space="preserve"> </t>
        </is>
      </c>
      <c r="Q18" s="99" t="inlineStr">
        <is>
          <t xml:space="preserve"> </t>
        </is>
      </c>
      <c r="R18" s="100" t="inlineStr">
        <is>
          <t xml:space="preserve"> </t>
        </is>
      </c>
      <c r="S18" t="inlineStr">
        <is>
          <t>No se encontró ejecución en CUIPO</t>
        </is>
      </c>
      <c r="T18" s="101" t="inlineStr">
        <is>
          <t xml:space="preserve"> </t>
        </is>
      </c>
      <c r="U18" s="101" t="inlineStr">
        <is>
          <t xml:space="preserve"> </t>
        </is>
      </c>
      <c r="V18" s="101" t="inlineStr">
        <is>
          <t xml:space="preserve"> </t>
        </is>
      </c>
      <c r="W18" s="102" t="inlineStr">
        <is>
          <t xml:space="preserve"> </t>
        </is>
      </c>
      <c r="X18" t="inlineStr">
        <is>
          <t>No se encontró ejecución en CUIPO</t>
        </is>
      </c>
    </row>
    <row r="19">
      <c r="A19" t="inlineStr">
        <is>
          <t>IP-12</t>
        </is>
      </c>
      <c r="B19" t="inlineStr">
        <is>
          <t>35</t>
        </is>
      </c>
      <c r="C19" t="inlineStr">
        <is>
          <t>Comercio, industria y turismo</t>
        </is>
      </c>
      <c r="D19" t="inlineStr">
        <is>
          <t>3502</t>
        </is>
      </c>
      <c r="E19" t="inlineStr">
        <is>
          <t>Productividad y competitividad de las empresas colombianas</t>
        </is>
      </c>
      <c r="F19" t="inlineStr">
        <is>
          <t>3502095</t>
        </is>
      </c>
      <c r="G19" t="inlineStr">
        <is>
          <t>Servicios de apoyo para el fomento de capacidades en economía circulary sostenibilidad</t>
        </is>
      </c>
      <c r="H19" t="inlineStr">
        <is>
          <t>Incluye formación de capacidades, generación de  cultura y cambio de mentalidad organizacional para renovar su  enfoque de producción y así generar utilidades al tiempo que garanticen mayor sostenibilidad e impactos positivos en las comunidades.</t>
        </is>
      </c>
      <c r="I19" t="inlineStr">
        <is>
          <t>202400000006193</t>
        </is>
      </c>
      <c r="J19" s="99">
        <v>290000000</v>
      </c>
      <c r="K19" s="99">
        <v>40000000</v>
      </c>
      <c r="L19" s="99">
        <v>50000000</v>
      </c>
      <c r="M19" s="99">
        <v>100000000</v>
      </c>
      <c r="N19" s="99">
        <v>100000000</v>
      </c>
      <c r="O19" s="99" t="inlineStr">
        <is>
          <t xml:space="preserve"> </t>
        </is>
      </c>
      <c r="P19" s="99" t="inlineStr">
        <is>
          <t xml:space="preserve"> </t>
        </is>
      </c>
      <c r="Q19" s="99" t="inlineStr">
        <is>
          <t xml:space="preserve"> </t>
        </is>
      </c>
      <c r="R19" s="100" t="inlineStr">
        <is>
          <t xml:space="preserve"> </t>
        </is>
      </c>
      <c r="S19" t="inlineStr">
        <is>
          <t>No se encontró ejecución en CUIPO</t>
        </is>
      </c>
      <c r="T19" s="101">
        <v>49956421</v>
      </c>
      <c r="U19" s="101">
        <v>0</v>
      </c>
      <c r="V19" s="101">
        <v>0</v>
      </c>
      <c r="W19" s="102">
        <v>0</v>
      </c>
      <c r="X19" t="inlineStr">
        <is>
          <t>No se ejecutó en la vigencia</t>
        </is>
      </c>
    </row>
    <row r="20">
      <c r="A20" t="inlineStr">
        <is>
          <t>IP-13</t>
        </is>
      </c>
      <c r="B20" t="inlineStr">
        <is>
          <t>45</t>
        </is>
      </c>
      <c r="C20" t="inlineStr">
        <is>
          <t>Gobierno Territorial</t>
        </is>
      </c>
      <c r="D20" t="inlineStr">
        <is>
          <t>4501</t>
        </is>
      </c>
      <c r="E20" t="inlineStr">
        <is>
          <t>Fortalecimiento de la convivencia y la seguridad ciudadana</t>
        </is>
      </c>
      <c r="F20" t="inlineStr">
        <is>
          <t>4501058</t>
        </is>
      </c>
      <c r="G20" t="inlineStr">
        <is>
          <t>Infraestructura para el bienestar animal construida y dotada</t>
        </is>
      </c>
      <c r="H20" t="inlineStr">
        <is>
          <t>Corresponde a un inmueble resultado de obras de edificación en terrenos no construidos o cuya área esté libre por autorización de demolición total, con destino a la atención integral de los animales que se encuentren en condición de abandono, pérdida, desatención estatal o de  tenencia irresponsable o en situación de vulnerabilidad y aprehendidos por la policía o en riesgo que ello suceda. Incluye la dotación para la operación del inmueble tanto para el desarrollo de sus actividades misionales como de las administrativas requeridas para la prestación del servicio.</t>
        </is>
      </c>
      <c r="I20" t="inlineStr">
        <is>
          <t>202400000004368</t>
        </is>
      </c>
      <c r="J20" s="99">
        <v>1026304866</v>
      </c>
      <c r="K20" s="99">
        <v>182867636</v>
      </c>
      <c r="L20" s="99">
        <v>343437230</v>
      </c>
      <c r="M20" s="99">
        <v>300000000</v>
      </c>
      <c r="N20" s="99">
        <v>200000000</v>
      </c>
      <c r="O20" s="99" t="inlineStr">
        <is>
          <t xml:space="preserve"> </t>
        </is>
      </c>
      <c r="P20" s="99" t="inlineStr">
        <is>
          <t xml:space="preserve"> </t>
        </is>
      </c>
      <c r="Q20" s="99" t="inlineStr">
        <is>
          <t xml:space="preserve"> </t>
        </is>
      </c>
      <c r="R20" s="100" t="inlineStr">
        <is>
          <t xml:space="preserve"> </t>
        </is>
      </c>
      <c r="S20" t="inlineStr">
        <is>
          <t>No se encontró ejecución en CUIPO</t>
        </is>
      </c>
      <c r="T20" s="101" t="inlineStr">
        <is>
          <t xml:space="preserve"> </t>
        </is>
      </c>
      <c r="U20" s="101" t="inlineStr">
        <is>
          <t xml:space="preserve"> </t>
        </is>
      </c>
      <c r="V20" s="101" t="inlineStr">
        <is>
          <t xml:space="preserve"> </t>
        </is>
      </c>
      <c r="W20" s="102" t="inlineStr">
        <is>
          <t xml:space="preserve"> </t>
        </is>
      </c>
      <c r="X20" t="inlineStr">
        <is>
          <t>No se encontró ejecución en CUIPO</t>
        </is>
      </c>
    </row>
    <row r="21">
      <c r="A21" t="inlineStr">
        <is>
          <t>IP-14</t>
        </is>
      </c>
      <c r="B21" t="inlineStr">
        <is>
          <t>22</t>
        </is>
      </c>
      <c r="C21" t="inlineStr">
        <is>
          <t>Educación</t>
        </is>
      </c>
      <c r="D21" t="inlineStr">
        <is>
          <t>2201</t>
        </is>
      </c>
      <c r="E21" t="inlineStr">
        <is>
          <t>Calidad, cobertura y fortalecimiento de la educación inicial, prescolar, básica y media</t>
        </is>
      </c>
      <c r="F21" t="inlineStr">
        <is>
          <t>2201071</t>
        </is>
      </c>
      <c r="G21" t="inlineStr">
        <is>
          <t>Servicio educativo</t>
        </is>
      </c>
      <c r="H21" t="inlineStr">
        <is>
          <t>Contempla las actividades asociadas al pago de nómina del personal administrativo de los establecimientos educativos, incluidos los gastos inherentes a la nómina como los aportes patronales, parafiscales y pago de  prestaciones sociales del Magisterio (CPSM) conforme a las leyes 43 DE 1975, 91 DE 1989 Y 715 DE 2001. Así mismo, incluye la  prestación del servicio educativo a través de la contratación con privados y los servicios administrativos de apoyo a la prestación del servicio educativo tales como arrendamiento de bienes inmuebles, servicios de aseo y vigilancia, impresiones y publicaciones, primas por seguros para amparar personas y bienes de los establecimientos educativos, el desarrollo de las acciones requeridas para la adecuada disposición de los bienes y la mitigación del deterioro y el pago de servicios públicos domiciliarios y telefonía móvil e internet.</t>
        </is>
      </c>
      <c r="I21" t="inlineStr">
        <is>
          <t>202400000005692</t>
        </is>
      </c>
      <c r="J21" s="99">
        <v>10720978033</v>
      </c>
      <c r="K21" s="99">
        <v>1301306950</v>
      </c>
      <c r="L21" s="99">
        <v>2882244616</v>
      </c>
      <c r="M21" s="99">
        <v>3131951954</v>
      </c>
      <c r="N21" s="99">
        <v>3405474513</v>
      </c>
      <c r="O21" s="99" t="inlineStr">
        <is>
          <t xml:space="preserve"> </t>
        </is>
      </c>
      <c r="P21" s="99" t="inlineStr">
        <is>
          <t xml:space="preserve"> </t>
        </is>
      </c>
      <c r="Q21" s="99" t="inlineStr">
        <is>
          <t xml:space="preserve"> </t>
        </is>
      </c>
      <c r="R21" s="100" t="inlineStr">
        <is>
          <t xml:space="preserve"> </t>
        </is>
      </c>
      <c r="S21" t="inlineStr">
        <is>
          <t>No se encontró ejecución en CUIPO</t>
        </is>
      </c>
      <c r="T21" s="101">
        <v>2205923829</v>
      </c>
      <c r="U21" s="101">
        <v>1196168796</v>
      </c>
      <c r="V21" s="101">
        <v>1196168796</v>
      </c>
      <c r="W21" s="102">
        <v>0.415012934488556</v>
      </c>
      <c r="X21" t="inlineStr">
        <is>
          <t>Lo obligado está por debajo de lo programado en la vigencia</t>
        </is>
      </c>
    </row>
    <row r="22">
      <c r="A22" t="inlineStr">
        <is>
          <t>IP-15</t>
        </is>
      </c>
      <c r="B22" t="inlineStr">
        <is>
          <t>22</t>
        </is>
      </c>
      <c r="C22" t="inlineStr">
        <is>
          <t>Educación</t>
        </is>
      </c>
      <c r="D22" t="inlineStr">
        <is>
          <t>2202</t>
        </is>
      </c>
      <c r="E22" t="inlineStr">
        <is>
          <t>Calidad y fomento de la educación superior</t>
        </is>
      </c>
      <c r="F22" t="inlineStr">
        <is>
          <t>2202073</t>
        </is>
      </c>
      <c r="G22" t="inlineStr">
        <is>
          <t xml:space="preserve">Servicio de fomento para la regionalización en la educación superior </t>
        </is>
      </c>
      <c r="H22" t="inlineStr">
        <is>
          <t>Incluye el desarrollo de estrategias de regionalización para el fomento de la educación superior .</t>
        </is>
      </c>
      <c r="I22" t="inlineStr">
        <is>
          <t>202400000005715</t>
        </is>
      </c>
      <c r="J22" s="99">
        <v>937990897</v>
      </c>
      <c r="K22" s="99">
        <v>74891847</v>
      </c>
      <c r="L22" s="99">
        <v>260755000</v>
      </c>
      <c r="M22" s="99">
        <v>286830500</v>
      </c>
      <c r="N22" s="99">
        <v>315513550</v>
      </c>
      <c r="O22" s="99" t="inlineStr">
        <is>
          <t xml:space="preserve"> </t>
        </is>
      </c>
      <c r="P22" s="99" t="inlineStr">
        <is>
          <t xml:space="preserve"> </t>
        </is>
      </c>
      <c r="Q22" s="99" t="inlineStr">
        <is>
          <t xml:space="preserve"> </t>
        </is>
      </c>
      <c r="R22" s="100" t="inlineStr">
        <is>
          <t xml:space="preserve"> </t>
        </is>
      </c>
      <c r="S22" t="inlineStr">
        <is>
          <t>No se encontró ejecución en CUIPO</t>
        </is>
      </c>
      <c r="T22" s="101">
        <v>145091545</v>
      </c>
      <c r="U22" s="101">
        <v>83727516</v>
      </c>
      <c r="V22" s="101">
        <v>83727516</v>
      </c>
      <c r="W22" s="102">
        <v>0.321096492876455</v>
      </c>
      <c r="X22" t="inlineStr">
        <is>
          <t>Lo obligado está por debajo de lo programado en la vigencia</t>
        </is>
      </c>
    </row>
    <row r="23">
      <c r="A23" t="inlineStr">
        <is>
          <t>IP-16</t>
        </is>
      </c>
      <c r="B23" t="inlineStr">
        <is>
          <t>41</t>
        </is>
      </c>
      <c r="C23" t="inlineStr">
        <is>
          <t xml:space="preserve">Inclusión social y reconciliación </t>
        </is>
      </c>
      <c r="D23" t="inlineStr">
        <is>
          <t>4102</t>
        </is>
      </c>
      <c r="E23" t="inlineStr">
        <is>
          <t>Desarrollo integral de la primera infancia a la juventud, y fortalecimiento de las capacidades de las familias de niñas, niños y adolescentes</t>
        </is>
      </c>
      <c r="F23" t="inlineStr">
        <is>
          <t>4102035</t>
        </is>
      </c>
      <c r="G23" t="inlineStr">
        <is>
          <t>Documentos de lineamientos técnicos</t>
        </is>
      </c>
      <c r="H23" t="inlineStr">
        <is>
          <t>Documentos cuyo objetivo es describir y explicar instrumentos, estándares, requisitos y condiciones necesarias para llevar a cabo un proceso o actividad</t>
        </is>
      </c>
      <c r="I23" t="inlineStr">
        <is>
          <t>202400000006899</t>
        </is>
      </c>
      <c r="J23" s="99">
        <v>1765323984</v>
      </c>
      <c r="K23" s="99">
        <v>468000000</v>
      </c>
      <c r="L23" s="99">
        <v>406000000</v>
      </c>
      <c r="M23" s="99">
        <v>437805600</v>
      </c>
      <c r="N23" s="99">
        <v>453518384</v>
      </c>
      <c r="O23" s="99" t="inlineStr">
        <is>
          <t xml:space="preserve"> </t>
        </is>
      </c>
      <c r="P23" s="99" t="inlineStr">
        <is>
          <t xml:space="preserve"> </t>
        </is>
      </c>
      <c r="Q23" s="99" t="inlineStr">
        <is>
          <t xml:space="preserve"> </t>
        </is>
      </c>
      <c r="R23" s="100" t="inlineStr">
        <is>
          <t xml:space="preserve"> </t>
        </is>
      </c>
      <c r="S23" t="inlineStr">
        <is>
          <t>No se encontró ejecución en CUIPO</t>
        </is>
      </c>
      <c r="T23" s="101">
        <v>134540110</v>
      </c>
      <c r="U23" s="101">
        <v>45500000</v>
      </c>
      <c r="V23" s="101">
        <v>45500000</v>
      </c>
      <c r="W23" s="102">
        <v>0.112068965517241</v>
      </c>
      <c r="X23" t="inlineStr">
        <is>
          <t>Lo obligado está por debajo de lo programado en la vigencia</t>
        </is>
      </c>
    </row>
    <row r="24">
      <c r="A24" t="inlineStr">
        <is>
          <t>IP-17</t>
        </is>
      </c>
      <c r="B24" t="inlineStr">
        <is>
          <t>40</t>
        </is>
      </c>
      <c r="C24" t="inlineStr">
        <is>
          <t>Vivienda, ciudad y territorio</t>
        </is>
      </c>
      <c r="D24" t="inlineStr">
        <is>
          <t>4002</t>
        </is>
      </c>
      <c r="E24" t="inlineStr">
        <is>
          <t>Ordenamiento territorial y desarrollo urbano</t>
        </is>
      </c>
      <c r="F24" t="inlineStr">
        <is>
          <t>4002016</t>
        </is>
      </c>
      <c r="G24" t="inlineStr">
        <is>
          <t>Documentos de planeación</t>
        </is>
      </c>
      <c r="H24" t="inlineStr">
        <is>
          <t>Documentos cuyo objetivo es plasmar una visión de futuro a nivel país, entidad territorial, comunidad, sector, región, entidad o cualquier nivel de desagregación que se requiera. Incluye objetivos, estrategias, metas e indicadores</t>
        </is>
      </c>
      <c r="I24" t="inlineStr">
        <is>
          <t/>
        </is>
      </c>
      <c r="J24" s="99">
        <v>420000000</v>
      </c>
      <c r="K24" s="99">
        <v>0</v>
      </c>
      <c r="L24" s="99">
        <v>0</v>
      </c>
      <c r="M24" s="99">
        <v>220000000</v>
      </c>
      <c r="N24" s="99">
        <v>200000000</v>
      </c>
      <c r="O24" s="99" t="inlineStr">
        <is>
          <t xml:space="preserve"> </t>
        </is>
      </c>
      <c r="P24" s="99" t="inlineStr">
        <is>
          <t xml:space="preserve"> </t>
        </is>
      </c>
      <c r="Q24" s="99" t="inlineStr">
        <is>
          <t xml:space="preserve"> </t>
        </is>
      </c>
      <c r="R24" s="100" t="inlineStr">
        <is>
          <t xml:space="preserve"> </t>
        </is>
      </c>
      <c r="S24" t="inlineStr">
        <is>
          <t>Por falta de código BPIN, no se encontró ejecución en CUIPO</t>
        </is>
      </c>
      <c r="T24" s="101" t="inlineStr">
        <is>
          <t xml:space="preserve"> </t>
        </is>
      </c>
      <c r="U24" s="101" t="inlineStr">
        <is>
          <t xml:space="preserve"> </t>
        </is>
      </c>
      <c r="V24" s="101" t="inlineStr">
        <is>
          <t xml:space="preserve"> </t>
        </is>
      </c>
      <c r="W24" s="102" t="inlineStr">
        <is>
          <t xml:space="preserve"> </t>
        </is>
      </c>
      <c r="X24" t="inlineStr">
        <is>
          <t>Por falta de código BPIN, no se encontró ejecución en CUIPO</t>
        </is>
      </c>
    </row>
    <row r="25">
      <c r="A25" t="inlineStr">
        <is>
          <t>IP-18</t>
        </is>
      </c>
      <c r="B25" t="inlineStr">
        <is>
          <t>40</t>
        </is>
      </c>
      <c r="C25" t="inlineStr">
        <is>
          <t>Vivienda, ciudad y territorio</t>
        </is>
      </c>
      <c r="D25" t="inlineStr">
        <is>
          <t>4003</t>
        </is>
      </c>
      <c r="E25" t="inlineStr">
        <is>
          <t>Acceso de la población a los servicios de agua potable y saneamiento básico</t>
        </is>
      </c>
      <c r="F25" t="inlineStr">
        <is>
          <t>4003047</t>
        </is>
      </c>
      <c r="G25" t="inlineStr">
        <is>
          <t>Servicio de apoyo financiero para subsidios al consumo en los servicios públicos domiciliarios</t>
        </is>
      </c>
      <c r="H25" t="inlineStr">
        <is>
          <t>Los subsidios al consumo están destinados a satisfacer necesidades básicas de los usuarios de los estratos 1, 2 y 3 en el servicio público domiciliario de acueducto, alcantarillado y aseo.</t>
        </is>
      </c>
      <c r="I25" t="inlineStr">
        <is>
          <t>2024258170031</t>
        </is>
      </c>
      <c r="J25" s="99">
        <v>1498850590.89</v>
      </c>
      <c r="K25" s="99">
        <v>516625188.89</v>
      </c>
      <c r="L25" s="99">
        <v>982225402</v>
      </c>
      <c r="M25" s="99">
        <v>0</v>
      </c>
      <c r="N25" s="99">
        <v>0</v>
      </c>
      <c r="O25" s="99" t="inlineStr">
        <is>
          <t xml:space="preserve"> </t>
        </is>
      </c>
      <c r="P25" s="99" t="inlineStr">
        <is>
          <t xml:space="preserve"> </t>
        </is>
      </c>
      <c r="Q25" s="99" t="inlineStr">
        <is>
          <t xml:space="preserve"> </t>
        </is>
      </c>
      <c r="R25" s="100" t="inlineStr">
        <is>
          <t xml:space="preserve"> </t>
        </is>
      </c>
      <c r="S25" t="inlineStr">
        <is>
          <t>No se encontró ejecución en CUIPO</t>
        </is>
      </c>
      <c r="T25" s="101" t="inlineStr">
        <is>
          <t xml:space="preserve"> </t>
        </is>
      </c>
      <c r="U25" s="101" t="inlineStr">
        <is>
          <t xml:space="preserve"> </t>
        </is>
      </c>
      <c r="V25" s="101" t="inlineStr">
        <is>
          <t xml:space="preserve"> </t>
        </is>
      </c>
      <c r="W25" s="102" t="inlineStr">
        <is>
          <t xml:space="preserve"> </t>
        </is>
      </c>
      <c r="X25" t="inlineStr">
        <is>
          <t>No se encontró ejecución en CUIPO</t>
        </is>
      </c>
    </row>
    <row r="26">
      <c r="A26" t="inlineStr">
        <is>
          <t>IP-19</t>
        </is>
      </c>
      <c r="B26" t="inlineStr">
        <is>
          <t>36</t>
        </is>
      </c>
      <c r="C26" t="inlineStr">
        <is>
          <t>Trabajo</t>
        </is>
      </c>
      <c r="D26" t="inlineStr">
        <is>
          <t>3602</t>
        </is>
      </c>
      <c r="E26" t="inlineStr">
        <is>
          <t>Generación y formalización del empleo</t>
        </is>
      </c>
      <c r="F26" t="inlineStr">
        <is>
          <t>3602020</t>
        </is>
      </c>
      <c r="G26" t="inlineStr">
        <is>
          <t>Servicio de apoyo al diseño e implementación depolíticas de protección al cesante</t>
        </is>
      </c>
      <c r="H26" t="inlineStr">
        <is>
          <t>Hacen referencia a las estrategias e instrumentos que pretenden incidir directamente sobre el diseño e implementación de políticas del mecanismo de protección al cesante.</t>
        </is>
      </c>
      <c r="I26" t="inlineStr">
        <is>
          <t>202400000006204</t>
        </is>
      </c>
      <c r="J26" s="99">
        <v>190000000</v>
      </c>
      <c r="K26" s="99">
        <v>40000000</v>
      </c>
      <c r="L26" s="99">
        <v>50000000</v>
      </c>
      <c r="M26" s="99">
        <v>50000000</v>
      </c>
      <c r="N26" s="99">
        <v>50000000</v>
      </c>
      <c r="O26" s="99" t="inlineStr">
        <is>
          <t xml:space="preserve"> </t>
        </is>
      </c>
      <c r="P26" s="99" t="inlineStr">
        <is>
          <t xml:space="preserve"> </t>
        </is>
      </c>
      <c r="Q26" s="99" t="inlineStr">
        <is>
          <t xml:space="preserve"> </t>
        </is>
      </c>
      <c r="R26" s="100" t="inlineStr">
        <is>
          <t xml:space="preserve"> </t>
        </is>
      </c>
      <c r="S26" t="inlineStr">
        <is>
          <t>No se encontró ejecución en CUIPO</t>
        </is>
      </c>
      <c r="T26" s="101">
        <v>31320000</v>
      </c>
      <c r="U26" s="101">
        <v>21924000</v>
      </c>
      <c r="V26" s="101">
        <v>18792000</v>
      </c>
      <c r="W26" s="102">
        <v>0.43848</v>
      </c>
      <c r="X26" t="inlineStr">
        <is>
          <t>Lo obligado está por debajo de lo programado en la vigencia</t>
        </is>
      </c>
    </row>
    <row r="27">
      <c r="A27" t="inlineStr">
        <is>
          <t>IP-20</t>
        </is>
      </c>
      <c r="B27" t="inlineStr">
        <is>
          <t>43</t>
        </is>
      </c>
      <c r="C27" t="inlineStr">
        <is>
          <t>Deporte y Recreación</t>
        </is>
      </c>
      <c r="D27" t="inlineStr">
        <is>
          <t>4301</t>
        </is>
      </c>
      <c r="E27" t="inlineStr">
        <is>
          <t>Fomento a la recreación, la actividad física y el deporte para desarrollar entornos de convivencia y paz</t>
        </is>
      </c>
      <c r="F27" t="inlineStr">
        <is>
          <t>4301018</t>
        </is>
      </c>
      <c r="G27" t="inlineStr">
        <is>
          <t>Canchas multifuncionales mejoradas</t>
        </is>
      </c>
      <c r="H27" t="inlineStr">
        <is>
          <t>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t>
        </is>
      </c>
      <c r="I27" t="inlineStr">
        <is>
          <t>202400000005086</t>
        </is>
      </c>
      <c r="J27" s="99">
        <v>687000000</v>
      </c>
      <c r="K27" s="99">
        <v>0</v>
      </c>
      <c r="L27" s="99">
        <v>0</v>
      </c>
      <c r="M27" s="99">
        <v>687000000</v>
      </c>
      <c r="N27" s="99">
        <v>0</v>
      </c>
      <c r="O27" s="99" t="inlineStr">
        <is>
          <t xml:space="preserve"> </t>
        </is>
      </c>
      <c r="P27" s="99" t="inlineStr">
        <is>
          <t xml:space="preserve"> </t>
        </is>
      </c>
      <c r="Q27" s="99" t="inlineStr">
        <is>
          <t xml:space="preserve"> </t>
        </is>
      </c>
      <c r="R27" s="100" t="inlineStr">
        <is>
          <t xml:space="preserve"> </t>
        </is>
      </c>
      <c r="S27" t="inlineStr">
        <is>
          <t>No se encontró ejecución en CUIPO</t>
        </is>
      </c>
      <c r="T27" s="101" t="inlineStr">
        <is>
          <t xml:space="preserve"> </t>
        </is>
      </c>
      <c r="U27" s="101" t="inlineStr">
        <is>
          <t xml:space="preserve"> </t>
        </is>
      </c>
      <c r="V27" s="101" t="inlineStr">
        <is>
          <t xml:space="preserve"> </t>
        </is>
      </c>
      <c r="W27" s="102" t="inlineStr">
        <is>
          <t xml:space="preserve"> </t>
        </is>
      </c>
      <c r="X27" t="inlineStr">
        <is>
          <t>No se encontró ejecución en CUIPO</t>
        </is>
      </c>
    </row>
    <row r="28">
      <c r="A28" t="inlineStr">
        <is>
          <t>IP-21</t>
        </is>
      </c>
      <c r="B28" t="inlineStr">
        <is>
          <t>22</t>
        </is>
      </c>
      <c r="C28" t="inlineStr">
        <is>
          <t>Educación</t>
        </is>
      </c>
      <c r="D28" t="inlineStr">
        <is>
          <t>2201</t>
        </is>
      </c>
      <c r="E28" t="inlineStr">
        <is>
          <t>Calidad, cobertura y fortalecimiento de la educación inicial, prescolar, básica y media</t>
        </is>
      </c>
      <c r="F28" t="inlineStr">
        <is>
          <t>2201047</t>
        </is>
      </c>
      <c r="G28" t="inlineStr">
        <is>
          <t>Servicios de apoyo a la implementación de modelos de innovación educativa</t>
        </is>
      </c>
      <c r="H28" t="inlineStr">
        <is>
          <t>Corresponde a la implementación de ideas, procesos y estrategias de innovación educativa en la educación inicial preescolar básica y media</t>
        </is>
      </c>
      <c r="I28" t="inlineStr">
        <is>
          <t>202400000005692</t>
        </is>
      </c>
      <c r="J28" s="99">
        <v>6000000</v>
      </c>
      <c r="K28" s="99">
        <v>6000000</v>
      </c>
      <c r="L28" s="99">
        <v>0</v>
      </c>
      <c r="M28" s="99">
        <v>0</v>
      </c>
      <c r="N28" s="99">
        <v>0</v>
      </c>
      <c r="O28" s="99" t="inlineStr">
        <is>
          <t xml:space="preserve"> </t>
        </is>
      </c>
      <c r="P28" s="99" t="inlineStr">
        <is>
          <t xml:space="preserve"> </t>
        </is>
      </c>
      <c r="Q28" s="99" t="inlineStr">
        <is>
          <t xml:space="preserve"> </t>
        </is>
      </c>
      <c r="R28" s="100" t="inlineStr">
        <is>
          <t xml:space="preserve"> </t>
        </is>
      </c>
      <c r="S28" t="inlineStr">
        <is>
          <t>No se encontró ejecución en CUIPO</t>
        </is>
      </c>
      <c r="T28" s="101" t="inlineStr">
        <is>
          <t xml:space="preserve"> </t>
        </is>
      </c>
      <c r="U28" s="101" t="inlineStr">
        <is>
          <t xml:space="preserve"> </t>
        </is>
      </c>
      <c r="V28" s="101" t="inlineStr">
        <is>
          <t xml:space="preserve"> </t>
        </is>
      </c>
      <c r="W28" s="102" t="inlineStr">
        <is>
          <t xml:space="preserve"> </t>
        </is>
      </c>
      <c r="X28" t="inlineStr">
        <is>
          <t>No se encontró ejecución en CUIPO</t>
        </is>
      </c>
    </row>
    <row r="29">
      <c r="A29" t="inlineStr">
        <is>
          <t>IP-22</t>
        </is>
      </c>
      <c r="B29" t="inlineStr">
        <is>
          <t>22</t>
        </is>
      </c>
      <c r="C29" t="inlineStr">
        <is>
          <t>Educación</t>
        </is>
      </c>
      <c r="D29" t="inlineStr">
        <is>
          <t>2201</t>
        </is>
      </c>
      <c r="E29" t="inlineStr">
        <is>
          <t>Calidad, cobertura y fortalecimiento de la educación inicial, prescolar, básica y media</t>
        </is>
      </c>
      <c r="F29" t="inlineStr">
        <is>
          <t>2201062</t>
        </is>
      </c>
      <c r="G29" t="inlineStr">
        <is>
          <t>Infraestructura educativa mantenida</t>
        </is>
      </c>
      <c r="H29" t="inlineStr">
        <is>
          <t>Conjunto de acciones periódicas y sistemáticas realizadas con el propósito de asegurar, garantizar o extender la vida útil de la infraestructura, necesarias para conservar las condiciones originales de funcionamiento normal y adecuado, su seguridad, productividad, confort, imagen corporativa, salubridad e higiene.</t>
        </is>
      </c>
      <c r="I29" t="inlineStr">
        <is>
          <t>202400000005725</t>
        </is>
      </c>
      <c r="J29" s="99">
        <v>5351293482.7</v>
      </c>
      <c r="K29" s="99">
        <v>877620287.7</v>
      </c>
      <c r="L29" s="99">
        <v>3273673195</v>
      </c>
      <c r="M29" s="99">
        <v>1200000000</v>
      </c>
      <c r="N29" s="99">
        <v>0</v>
      </c>
      <c r="O29" s="99" t="inlineStr">
        <is>
          <t xml:space="preserve"> </t>
        </is>
      </c>
      <c r="P29" s="99" t="inlineStr">
        <is>
          <t xml:space="preserve"> </t>
        </is>
      </c>
      <c r="Q29" s="99" t="inlineStr">
        <is>
          <t xml:space="preserve"> </t>
        </is>
      </c>
      <c r="R29" s="100" t="inlineStr">
        <is>
          <t xml:space="preserve"> </t>
        </is>
      </c>
      <c r="S29" t="inlineStr">
        <is>
          <t>No se encontró ejecución en CUIPO</t>
        </is>
      </c>
      <c r="T29" s="101" t="inlineStr">
        <is>
          <t xml:space="preserve"> </t>
        </is>
      </c>
      <c r="U29" s="101" t="inlineStr">
        <is>
          <t xml:space="preserve"> </t>
        </is>
      </c>
      <c r="V29" s="101" t="inlineStr">
        <is>
          <t xml:space="preserve"> </t>
        </is>
      </c>
      <c r="W29" s="102" t="inlineStr">
        <is>
          <t xml:space="preserve"> </t>
        </is>
      </c>
      <c r="X29" t="inlineStr">
        <is>
          <t>No se encontró ejecución en CUIPO</t>
        </is>
      </c>
    </row>
    <row r="30">
      <c r="A30" t="inlineStr">
        <is>
          <t>IP-23, IP-58</t>
        </is>
      </c>
      <c r="B30" t="inlineStr">
        <is>
          <t>40</t>
        </is>
      </c>
      <c r="C30" t="inlineStr">
        <is>
          <t>Vivienda, ciudad y territorio</t>
        </is>
      </c>
      <c r="D30" t="inlineStr">
        <is>
          <t>4003</t>
        </is>
      </c>
      <c r="E30" t="inlineStr">
        <is>
          <t>Acceso de la población a los servicios de agua potable y saneamiento básico</t>
        </is>
      </c>
      <c r="F30" t="inlineStr">
        <is>
          <t>4003015</t>
        </is>
      </c>
      <c r="G30" t="inlineStr">
        <is>
          <t>Acueductos construidos</t>
        </is>
      </c>
      <c r="H30" t="inlineStr">
        <is>
          <t>Conjunto de acciones y obras para la implementación de sistemas de acueducto nuevos.</t>
        </is>
      </c>
      <c r="I30" t="inlineStr">
        <is>
          <t>202400000007000</t>
        </is>
      </c>
      <c r="J30" s="99">
        <v>16972648643.09</v>
      </c>
      <c r="K30" s="99">
        <v>2546882270.09</v>
      </c>
      <c r="L30" s="99">
        <v>8425766373</v>
      </c>
      <c r="M30" s="99">
        <v>3000000000</v>
      </c>
      <c r="N30" s="99">
        <v>3000000000</v>
      </c>
      <c r="O30" s="99" t="inlineStr">
        <is>
          <t xml:space="preserve"> </t>
        </is>
      </c>
      <c r="P30" s="99" t="inlineStr">
        <is>
          <t xml:space="preserve"> </t>
        </is>
      </c>
      <c r="Q30" s="99" t="inlineStr">
        <is>
          <t xml:space="preserve"> </t>
        </is>
      </c>
      <c r="R30" s="100" t="inlineStr">
        <is>
          <t xml:space="preserve"> </t>
        </is>
      </c>
      <c r="S30" t="inlineStr">
        <is>
          <t>No se encontró ejecución en CUIPO</t>
        </is>
      </c>
      <c r="T30" s="101">
        <v>7357986089</v>
      </c>
      <c r="U30" s="101">
        <v>0</v>
      </c>
      <c r="V30" s="101">
        <v>0</v>
      </c>
      <c r="W30" s="102">
        <v>0</v>
      </c>
      <c r="X30" t="inlineStr">
        <is>
          <t>No se ejecutó en la vigencia</t>
        </is>
      </c>
    </row>
    <row r="31">
      <c r="A31" t="inlineStr">
        <is>
          <t>IP-24</t>
        </is>
      </c>
      <c r="B31" t="inlineStr">
        <is>
          <t>43</t>
        </is>
      </c>
      <c r="C31" t="inlineStr">
        <is>
          <t>Deporte y Recreación</t>
        </is>
      </c>
      <c r="D31" t="inlineStr">
        <is>
          <t>4302</t>
        </is>
      </c>
      <c r="E31" t="inlineStr">
        <is>
          <t>Formación y preparación de deportistas</t>
        </is>
      </c>
      <c r="F31" t="inlineStr">
        <is>
          <t>4302006</t>
        </is>
      </c>
      <c r="G31" t="inlineStr">
        <is>
          <t>Documentos de planeación</t>
        </is>
      </c>
      <c r="H31" t="inlineStr">
        <is>
          <t>Documentos cuyo objetivo es plasmar una visión de futuro a nivel país, entidad territorial, comunidad, sector, región, entidad o cualquier nivel de desagregación que se requiera. Incluye objetivos, estrategias, metas e indicadores</t>
        </is>
      </c>
      <c r="I31" t="inlineStr">
        <is>
          <t>2024258170019</t>
        </is>
      </c>
      <c r="J31" s="99">
        <v>790000000</v>
      </c>
      <c r="K31" s="99">
        <v>80000000</v>
      </c>
      <c r="L31" s="99">
        <v>250000000</v>
      </c>
      <c r="M31" s="99">
        <v>220000000</v>
      </c>
      <c r="N31" s="99">
        <v>240000000</v>
      </c>
      <c r="O31" s="99" t="inlineStr">
        <is>
          <t xml:space="preserve"> </t>
        </is>
      </c>
      <c r="P31" s="99" t="inlineStr">
        <is>
          <t xml:space="preserve"> </t>
        </is>
      </c>
      <c r="Q31" s="99" t="inlineStr">
        <is>
          <t xml:space="preserve"> </t>
        </is>
      </c>
      <c r="R31" s="100" t="inlineStr">
        <is>
          <t xml:space="preserve"> </t>
        </is>
      </c>
      <c r="S31" t="inlineStr">
        <is>
          <t>No se encontró ejecución en CUIPO</t>
        </is>
      </c>
      <c r="T31" s="101" t="inlineStr">
        <is>
          <t xml:space="preserve"> </t>
        </is>
      </c>
      <c r="U31" s="101" t="inlineStr">
        <is>
          <t xml:space="preserve"> </t>
        </is>
      </c>
      <c r="V31" s="101" t="inlineStr">
        <is>
          <t xml:space="preserve"> </t>
        </is>
      </c>
      <c r="W31" s="102" t="inlineStr">
        <is>
          <t xml:space="preserve"> </t>
        </is>
      </c>
      <c r="X31" t="inlineStr">
        <is>
          <t>No se encontró ejecución en CUIPO</t>
        </is>
      </c>
    </row>
    <row r="32">
      <c r="A32" t="inlineStr">
        <is>
          <t>IP-25</t>
        </is>
      </c>
      <c r="B32" t="inlineStr">
        <is>
          <t>33</t>
        </is>
      </c>
      <c r="C32" t="inlineStr">
        <is>
          <t>Cultura</t>
        </is>
      </c>
      <c r="D32" t="inlineStr">
        <is>
          <t>3301</t>
        </is>
      </c>
      <c r="E32" t="inlineStr">
        <is>
          <t>Promoción y acceso efectivo a procesos culturales y artísticos</t>
        </is>
      </c>
      <c r="F32" t="inlineStr">
        <is>
          <t>3301085</t>
        </is>
      </c>
      <c r="G32" t="inlineStr">
        <is>
          <t>Servicios bibliotecarios</t>
        </is>
      </c>
      <c r="H32" t="inlineStr">
        <is>
          <t>Conjunto de actividades desarrolladas en una biblioteca, con el fin de facilitar y promover la disponibilidad y el acceso a la información y a la cultura con estándares de calidad, pertinencia y oportunidad.   </t>
        </is>
      </c>
      <c r="I32" t="inlineStr">
        <is>
          <t>2024258170016</t>
        </is>
      </c>
      <c r="J32" s="99">
        <v>1177500000</v>
      </c>
      <c r="K32" s="99">
        <v>367500000</v>
      </c>
      <c r="L32" s="99">
        <v>250000000</v>
      </c>
      <c r="M32" s="99">
        <v>270000000</v>
      </c>
      <c r="N32" s="99">
        <v>290000000</v>
      </c>
      <c r="O32" s="99" t="inlineStr">
        <is>
          <t xml:space="preserve"> </t>
        </is>
      </c>
      <c r="P32" s="99" t="inlineStr">
        <is>
          <t xml:space="preserve"> </t>
        </is>
      </c>
      <c r="Q32" s="99" t="inlineStr">
        <is>
          <t xml:space="preserve"> </t>
        </is>
      </c>
      <c r="R32" s="100" t="inlineStr">
        <is>
          <t xml:space="preserve"> </t>
        </is>
      </c>
      <c r="S32" t="inlineStr">
        <is>
          <t>No se encontró ejecución en CUIPO</t>
        </is>
      </c>
      <c r="T32" s="101">
        <v>170450000</v>
      </c>
      <c r="U32" s="101">
        <v>89600000</v>
      </c>
      <c r="V32" s="101">
        <v>85820000</v>
      </c>
      <c r="W32" s="102">
        <v>0.3584</v>
      </c>
      <c r="X32" t="inlineStr">
        <is>
          <t>Lo obligado está por debajo de lo programado en la vigencia</t>
        </is>
      </c>
    </row>
    <row r="33">
      <c r="A33" t="inlineStr">
        <is>
          <t>IP-26</t>
        </is>
      </c>
      <c r="B33" t="inlineStr">
        <is>
          <t>22</t>
        </is>
      </c>
      <c r="C33" t="inlineStr">
        <is>
          <t>Educación</t>
        </is>
      </c>
      <c r="D33" t="inlineStr">
        <is>
          <t>2201</t>
        </is>
      </c>
      <c r="E33" t="inlineStr">
        <is>
          <t>Calidad, cobertura y fortalecimiento de la educación inicial, prescolar, básica y media</t>
        </is>
      </c>
      <c r="F33" t="inlineStr">
        <is>
          <t>2201051</t>
        </is>
      </c>
      <c r="G33" t="inlineStr">
        <is>
          <t>Infraestructura educativa construida</t>
        </is>
      </c>
      <c r="H33" t="inlineStr">
        <is>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is>
      </c>
      <c r="I33" t="inlineStr">
        <is>
          <t>202400000005725</t>
        </is>
      </c>
      <c r="J33" s="99">
        <v>5700000000</v>
      </c>
      <c r="K33" s="99">
        <v>4500000000</v>
      </c>
      <c r="L33" s="99">
        <v>0</v>
      </c>
      <c r="M33" s="99">
        <v>1200000000</v>
      </c>
      <c r="N33" s="99">
        <v>0</v>
      </c>
      <c r="O33" s="99" t="inlineStr">
        <is>
          <t xml:space="preserve"> </t>
        </is>
      </c>
      <c r="P33" s="99" t="inlineStr">
        <is>
          <t xml:space="preserve"> </t>
        </is>
      </c>
      <c r="Q33" s="99" t="inlineStr">
        <is>
          <t xml:space="preserve"> </t>
        </is>
      </c>
      <c r="R33" s="100" t="inlineStr">
        <is>
          <t xml:space="preserve"> </t>
        </is>
      </c>
      <c r="S33" t="inlineStr">
        <is>
          <t>No se encontró ejecución en CUIPO</t>
        </is>
      </c>
      <c r="T33" s="101" t="inlineStr">
        <is>
          <t xml:space="preserve"> </t>
        </is>
      </c>
      <c r="U33" s="101" t="inlineStr">
        <is>
          <t xml:space="preserve"> </t>
        </is>
      </c>
      <c r="V33" s="101" t="inlineStr">
        <is>
          <t xml:space="preserve"> </t>
        </is>
      </c>
      <c r="W33" s="102" t="inlineStr">
        <is>
          <t xml:space="preserve"> </t>
        </is>
      </c>
      <c r="X33" t="inlineStr">
        <is>
          <t>No se encontró ejecución en CUIPO</t>
        </is>
      </c>
    </row>
    <row r="34">
      <c r="A34" t="inlineStr">
        <is>
          <t>IP-27</t>
        </is>
      </c>
      <c r="B34" t="inlineStr">
        <is>
          <t>45</t>
        </is>
      </c>
      <c r="C34" t="inlineStr">
        <is>
          <t>Gobierno Territorial</t>
        </is>
      </c>
      <c r="D34" t="inlineStr">
        <is>
          <t>4502</t>
        </is>
      </c>
      <c r="E34" t="inlineStr">
        <is>
          <t>Fortalecimiento del buen gobierno para el respeto y garantía de los derechos humanos.</t>
        </is>
      </c>
      <c r="F34" t="inlineStr">
        <is>
          <t>4502033</t>
        </is>
      </c>
      <c r="G34" t="inlineStr">
        <is>
          <t>Servicio de integración de la oferta pública</t>
        </is>
      </c>
      <c r="H34" t="inlineStr">
        <is>
          <t>Corresponde al diseño e implementación de espacios que articulen la oferta institucional para que los ciudadanos conozcan sus derechos y deberes y los mecanismos de acceso a la oferta publica.</t>
        </is>
      </c>
      <c r="I34" t="inlineStr">
        <is>
          <t>202400000006494</t>
        </is>
      </c>
      <c r="J34" s="99">
        <v>41000000</v>
      </c>
      <c r="K34" s="99">
        <v>0</v>
      </c>
      <c r="L34" s="99">
        <v>20000000</v>
      </c>
      <c r="M34" s="99">
        <v>10000000</v>
      </c>
      <c r="N34" s="99">
        <v>11000000</v>
      </c>
      <c r="O34" s="99" t="inlineStr">
        <is>
          <t xml:space="preserve"> </t>
        </is>
      </c>
      <c r="P34" s="99" t="inlineStr">
        <is>
          <t xml:space="preserve"> </t>
        </is>
      </c>
      <c r="Q34" s="99" t="inlineStr">
        <is>
          <t xml:space="preserve"> </t>
        </is>
      </c>
      <c r="R34" s="100" t="inlineStr">
        <is>
          <t xml:space="preserve"> </t>
        </is>
      </c>
      <c r="S34" t="inlineStr">
        <is>
          <t>No se encontró ejecución en CUIPO</t>
        </is>
      </c>
      <c r="T34" s="101">
        <v>1613327343</v>
      </c>
      <c r="U34" s="101">
        <v>1471218742</v>
      </c>
      <c r="V34" s="101">
        <v>1467758742</v>
      </c>
      <c r="W34" s="102">
        <v>73.5609371</v>
      </c>
      <c r="X34" t="inlineStr">
        <is>
          <t>Hubo ejecución por encima de lo programado en SisPT</t>
        </is>
      </c>
    </row>
    <row r="35">
      <c r="A35" t="inlineStr">
        <is>
          <t>IP-28</t>
        </is>
      </c>
      <c r="B35" t="inlineStr">
        <is>
          <t>19</t>
        </is>
      </c>
      <c r="C35" t="inlineStr">
        <is>
          <t>Salud y protección social</t>
        </is>
      </c>
      <c r="D35" t="inlineStr">
        <is>
          <t>1905</t>
        </is>
      </c>
      <c r="E35" t="inlineStr">
        <is>
          <t>Salud pública</t>
        </is>
      </c>
      <c r="F35" t="inlineStr">
        <is>
          <t>1905035</t>
        </is>
      </c>
      <c r="G35" t="inlineStr">
        <is>
          <t>Servicio de gestión territorial para atención en salud -pandemias- a población afectada por emergencias o desastres</t>
        </is>
      </c>
      <c r="H35" t="inlineStr">
        <is>
          <t>Corresponde a la estrategia de respuesta en materia de salud para la población afectada ante declaratoria de situaciones de emergencias o desastres. Incluye acciones de salud pública, como medidas sanitarias y la implementación de los planes de preparación y respuesta ante este riesgo . Incluyen por ejemplo, según la competencia de la Entidad territorial,  apoyo a la vigilancia,  control y seguimiento epidemiológico. Lo anterior en articulación con las demás entidades competentes del Sistema General de Seguridad Social en salud, en especial EPS e IPS.</t>
        </is>
      </c>
      <c r="I35" t="inlineStr">
        <is>
          <t>2024258170054</t>
        </is>
      </c>
      <c r="J35" s="99">
        <v>1380999615</v>
      </c>
      <c r="K35" s="99">
        <v>525384933</v>
      </c>
      <c r="L35" s="99">
        <v>271408306</v>
      </c>
      <c r="M35" s="99">
        <v>284978720</v>
      </c>
      <c r="N35" s="99">
        <v>299227656</v>
      </c>
      <c r="O35" s="99" t="inlineStr">
        <is>
          <t xml:space="preserve"> </t>
        </is>
      </c>
      <c r="P35" s="99" t="inlineStr">
        <is>
          <t xml:space="preserve"> </t>
        </is>
      </c>
      <c r="Q35" s="99" t="inlineStr">
        <is>
          <t xml:space="preserve"> </t>
        </is>
      </c>
      <c r="R35" s="100" t="inlineStr">
        <is>
          <t xml:space="preserve"> </t>
        </is>
      </c>
      <c r="S35" t="inlineStr">
        <is>
          <t>No se encontró ejecución en CUIPO</t>
        </is>
      </c>
      <c r="T35" s="101">
        <v>399169147</v>
      </c>
      <c r="U35" s="101">
        <v>206911708</v>
      </c>
      <c r="V35" s="101">
        <v>206911708</v>
      </c>
      <c r="W35" s="102">
        <v>0.762363212273983</v>
      </c>
      <c r="X35" t="inlineStr">
        <is>
          <t>Lo obligado está por debajo de lo programado en la vigencia</t>
        </is>
      </c>
    </row>
    <row r="36">
      <c r="A36" t="inlineStr">
        <is>
          <t>IP-29</t>
        </is>
      </c>
      <c r="B36" t="inlineStr">
        <is>
          <t>45</t>
        </is>
      </c>
      <c r="C36" t="inlineStr">
        <is>
          <t>Gobierno Territorial</t>
        </is>
      </c>
      <c r="D36" t="inlineStr">
        <is>
          <t>4501</t>
        </is>
      </c>
      <c r="E36" t="inlineStr">
        <is>
          <t>Fortalecimiento de la convivencia y la seguridad ciudadana</t>
        </is>
      </c>
      <c r="F36" t="inlineStr">
        <is>
          <t>4501069</t>
        </is>
      </c>
      <c r="G36" t="inlineStr">
        <is>
          <t>Infraestructura de soporte construida</t>
        </is>
      </c>
      <c r="H36" t="inlineStr">
        <is>
          <t>Gestión de construir infraestructura para mantener o mejorar sus condiciones operativas.</t>
        </is>
      </c>
      <c r="I36" t="inlineStr">
        <is>
          <t>202400000004368</t>
        </is>
      </c>
      <c r="J36" s="99">
        <v>526304866</v>
      </c>
      <c r="K36" s="99">
        <v>182867636</v>
      </c>
      <c r="L36" s="99">
        <v>343437230</v>
      </c>
      <c r="M36" s="99">
        <v>0</v>
      </c>
      <c r="N36" s="99">
        <v>0</v>
      </c>
      <c r="O36" s="99" t="inlineStr">
        <is>
          <t xml:space="preserve"> </t>
        </is>
      </c>
      <c r="P36" s="99" t="inlineStr">
        <is>
          <t xml:space="preserve"> </t>
        </is>
      </c>
      <c r="Q36" s="99" t="inlineStr">
        <is>
          <t xml:space="preserve"> </t>
        </is>
      </c>
      <c r="R36" s="100" t="inlineStr">
        <is>
          <t xml:space="preserve"> </t>
        </is>
      </c>
      <c r="S36" t="inlineStr">
        <is>
          <t>No se encontró ejecución en CUIPO</t>
        </is>
      </c>
      <c r="T36" s="101" t="inlineStr">
        <is>
          <t xml:space="preserve"> </t>
        </is>
      </c>
      <c r="U36" s="101" t="inlineStr">
        <is>
          <t xml:space="preserve"> </t>
        </is>
      </c>
      <c r="V36" s="101" t="inlineStr">
        <is>
          <t xml:space="preserve"> </t>
        </is>
      </c>
      <c r="W36" s="102" t="inlineStr">
        <is>
          <t xml:space="preserve"> </t>
        </is>
      </c>
      <c r="X36" t="inlineStr">
        <is>
          <t>No se encontró ejecución en CUIPO</t>
        </is>
      </c>
    </row>
    <row r="37">
      <c r="A37" t="inlineStr">
        <is>
          <t>IP-30</t>
        </is>
      </c>
      <c r="B37" t="inlineStr">
        <is>
          <t>32</t>
        </is>
      </c>
      <c r="C37" t="inlineStr">
        <is>
          <t>Ambiente y desarrollo sostenible</t>
        </is>
      </c>
      <c r="D37" t="inlineStr">
        <is>
          <t>3202</t>
        </is>
      </c>
      <c r="E37" t="inlineStr">
        <is>
          <t>Conservación de la biodiversidad y sus servicios ecosistémicos</t>
        </is>
      </c>
      <c r="F37" t="inlineStr">
        <is>
          <t>3202002</t>
        </is>
      </c>
      <c r="G37" t="inlineStr">
        <is>
          <t>Documentos de planeación para la conservación de la biodiversidad y sus servicios eco sistémicos</t>
        </is>
      </c>
      <c r="H37" t="inlineStr">
        <is>
          <t>Documentos cuyo objetivo es plasmar una visión de futuro a nivel país, entidad territorial, comunidad, sector, región, entidad o cualquier nivel de desagregación que se requiera. Incluye objetivos, estrategias, metas e indicadores</t>
        </is>
      </c>
      <c r="I37" t="inlineStr">
        <is>
          <t>2024258170026</t>
        </is>
      </c>
      <c r="J37" s="99">
        <v>65000000</v>
      </c>
      <c r="K37" s="99">
        <v>4000000</v>
      </c>
      <c r="L37" s="99">
        <v>25000000</v>
      </c>
      <c r="M37" s="99">
        <v>17000000</v>
      </c>
      <c r="N37" s="99">
        <v>19000000</v>
      </c>
      <c r="O37" s="99" t="inlineStr">
        <is>
          <t xml:space="preserve"> </t>
        </is>
      </c>
      <c r="P37" s="99" t="inlineStr">
        <is>
          <t xml:space="preserve"> </t>
        </is>
      </c>
      <c r="Q37" s="99" t="inlineStr">
        <is>
          <t xml:space="preserve"> </t>
        </is>
      </c>
      <c r="R37" s="100" t="inlineStr">
        <is>
          <t xml:space="preserve"> </t>
        </is>
      </c>
      <c r="S37" t="inlineStr">
        <is>
          <t>No se encontró ejecución en CUIPO</t>
        </is>
      </c>
      <c r="T37" s="101">
        <v>25000000</v>
      </c>
      <c r="U37" s="101">
        <v>16800000</v>
      </c>
      <c r="V37" s="101">
        <v>16800000</v>
      </c>
      <c r="W37" s="102">
        <v>0.672</v>
      </c>
      <c r="X37" t="inlineStr">
        <is>
          <t>Lo obligado está por debajo de lo programado en la vigencia</t>
        </is>
      </c>
    </row>
    <row r="38">
      <c r="A38" t="inlineStr">
        <is>
          <t>IP-31</t>
        </is>
      </c>
      <c r="B38" t="inlineStr">
        <is>
          <t>22</t>
        </is>
      </c>
      <c r="C38" t="inlineStr">
        <is>
          <t>Educación</t>
        </is>
      </c>
      <c r="D38" t="inlineStr">
        <is>
          <t>2201</t>
        </is>
      </c>
      <c r="E38" t="inlineStr">
        <is>
          <t>Calidad, cobertura y fortalecimiento de la educación inicial, prescolar, básica y media</t>
        </is>
      </c>
      <c r="F38" t="inlineStr">
        <is>
          <t>2201029</t>
        </is>
      </c>
      <c r="G38" t="inlineStr">
        <is>
          <t>Servicio de apoyo a la permanencia con transporte escolar</t>
        </is>
      </c>
      <c r="H38" t="inlineStr">
        <is>
          <t>Incluye la implementación de estrategias de transporte escolar para fortalecer las acciones de retención estudiantil</t>
        </is>
      </c>
      <c r="I38" t="inlineStr">
        <is>
          <t>202400000005692</t>
        </is>
      </c>
      <c r="J38" s="99">
        <v>21183201650</v>
      </c>
      <c r="K38" s="99">
        <v>2112171600</v>
      </c>
      <c r="L38" s="99">
        <v>5000000000</v>
      </c>
      <c r="M38" s="99">
        <v>6700490500</v>
      </c>
      <c r="N38" s="99">
        <v>7370539550</v>
      </c>
      <c r="O38" s="99" t="inlineStr">
        <is>
          <t xml:space="preserve"> </t>
        </is>
      </c>
      <c r="P38" s="99" t="inlineStr">
        <is>
          <t xml:space="preserve"> </t>
        </is>
      </c>
      <c r="Q38" s="99" t="inlineStr">
        <is>
          <t xml:space="preserve"> </t>
        </is>
      </c>
      <c r="R38" s="100" t="inlineStr">
        <is>
          <t xml:space="preserve"> </t>
        </is>
      </c>
      <c r="S38" t="inlineStr">
        <is>
          <t>No se encontró ejecución en CUIPO</t>
        </is>
      </c>
      <c r="T38" s="101">
        <v>5637031109</v>
      </c>
      <c r="U38" s="101">
        <v>2750797782</v>
      </c>
      <c r="V38" s="101">
        <v>2676445492</v>
      </c>
      <c r="W38" s="102">
        <v>0.5501595564</v>
      </c>
      <c r="X38" t="inlineStr">
        <is>
          <t>Lo obligado está por debajo de lo programado en la vigencia</t>
        </is>
      </c>
    </row>
    <row r="39">
      <c r="A39" t="inlineStr">
        <is>
          <t>IP-32</t>
        </is>
      </c>
      <c r="B39" t="inlineStr">
        <is>
          <t>24</t>
        </is>
      </c>
      <c r="C39" t="inlineStr">
        <is>
          <t>Transporte</t>
        </is>
      </c>
      <c r="D39" t="inlineStr">
        <is>
          <t>2402</t>
        </is>
      </c>
      <c r="E39" t="inlineStr">
        <is>
          <t>Infraestructura red vial regional</t>
        </is>
      </c>
      <c r="F39" t="inlineStr">
        <is>
          <t>2402115</t>
        </is>
      </c>
      <c r="G39" t="inlineStr">
        <is>
          <t>Vía urbana con mantenimiento periódico o rutinario</t>
        </is>
      </c>
      <c r="H39" t="inlineStr">
        <is>
          <t>Incluye las acciones de conservación periódica o rutinaria de las vías urbanas con el fin de mantener las condiciones óptimas para el tránsito y  el uso adecuado de la infraestructura de transporte.</t>
        </is>
      </c>
      <c r="I39" t="inlineStr">
        <is>
          <t>202400000006693</t>
        </is>
      </c>
      <c r="J39" s="99">
        <v>32499800000</v>
      </c>
      <c r="K39" s="99">
        <v>950000000</v>
      </c>
      <c r="L39" s="99">
        <v>1749800000</v>
      </c>
      <c r="M39" s="99">
        <v>6767475000</v>
      </c>
      <c r="N39" s="99">
        <v>23032525000</v>
      </c>
      <c r="O39" s="99" t="inlineStr">
        <is>
          <t xml:space="preserve"> </t>
        </is>
      </c>
      <c r="P39" s="99" t="inlineStr">
        <is>
          <t xml:space="preserve"> </t>
        </is>
      </c>
      <c r="Q39" s="99" t="inlineStr">
        <is>
          <t xml:space="preserve"> </t>
        </is>
      </c>
      <c r="R39" s="100" t="inlineStr">
        <is>
          <t xml:space="preserve"> </t>
        </is>
      </c>
      <c r="S39" t="inlineStr">
        <is>
          <t>No se encontró ejecución en CUIPO</t>
        </is>
      </c>
      <c r="T39" s="101">
        <v>303898186</v>
      </c>
      <c r="U39" s="101">
        <v>17589417</v>
      </c>
      <c r="V39" s="101">
        <v>17589417</v>
      </c>
      <c r="W39" s="102">
        <v>0.0100522442564865</v>
      </c>
      <c r="X39" t="inlineStr">
        <is>
          <t>Lo obligado está por debajo de lo programado en la vigencia</t>
        </is>
      </c>
    </row>
    <row r="40">
      <c r="A40" t="inlineStr">
        <is>
          <t>IP-33</t>
        </is>
      </c>
      <c r="B40" t="inlineStr">
        <is>
          <t>35</t>
        </is>
      </c>
      <c r="C40" t="inlineStr">
        <is>
          <t>Comercio, industria y turismo</t>
        </is>
      </c>
      <c r="D40" t="inlineStr">
        <is>
          <t>3502</t>
        </is>
      </c>
      <c r="E40" t="inlineStr">
        <is>
          <t>Productividad y competitividad de las empresas colombianas</t>
        </is>
      </c>
      <c r="F40" t="inlineStr">
        <is>
          <t>3502012</t>
        </is>
      </c>
      <c r="G40" t="inlineStr">
        <is>
          <t>Servicio de apoyo para la modernización y fomento de la innovación empresarial</t>
        </is>
      </c>
      <c r="H40" t="inlineStr">
        <is>
          <t>Comprende instrumentos financieros y no financieros, de programas, proyectos y actividades para la innovación, el fomento y promoción empresarial. Los no financieros incluyen formación de capacidades, de transferencia de tecnología, de mentalidad y cultura, de profundización de redes y generación de información para el ecosistema de innovación y emprendimiento en Colombia.</t>
        </is>
      </c>
      <c r="I40" t="inlineStr">
        <is>
          <t>202400000006193</t>
        </is>
      </c>
      <c r="J40" s="99">
        <v>41000000</v>
      </c>
      <c r="K40" s="99">
        <v>10000000</v>
      </c>
      <c r="L40" s="99">
        <v>10000000</v>
      </c>
      <c r="M40" s="99">
        <v>10000000</v>
      </c>
      <c r="N40" s="99">
        <v>11000000</v>
      </c>
      <c r="O40" s="99" t="inlineStr">
        <is>
          <t xml:space="preserve"> </t>
        </is>
      </c>
      <c r="P40" s="99" t="inlineStr">
        <is>
          <t xml:space="preserve"> </t>
        </is>
      </c>
      <c r="Q40" s="99" t="inlineStr">
        <is>
          <t xml:space="preserve"> </t>
        </is>
      </c>
      <c r="R40" s="100" t="inlineStr">
        <is>
          <t xml:space="preserve"> </t>
        </is>
      </c>
      <c r="S40" t="inlineStr">
        <is>
          <t>No se encontró ejecución en CUIPO</t>
        </is>
      </c>
      <c r="T40" s="101" t="inlineStr">
        <is>
          <t xml:space="preserve"> </t>
        </is>
      </c>
      <c r="U40" s="101" t="inlineStr">
        <is>
          <t xml:space="preserve"> </t>
        </is>
      </c>
      <c r="V40" s="101" t="inlineStr">
        <is>
          <t xml:space="preserve"> </t>
        </is>
      </c>
      <c r="W40" s="102" t="inlineStr">
        <is>
          <t xml:space="preserve"> </t>
        </is>
      </c>
      <c r="X40" t="inlineStr">
        <is>
          <t>No se encontró ejecución en CUIPO</t>
        </is>
      </c>
    </row>
    <row r="41">
      <c r="A41" t="inlineStr">
        <is>
          <t>IP-34</t>
        </is>
      </c>
      <c r="B41" t="inlineStr">
        <is>
          <t>24</t>
        </is>
      </c>
      <c r="C41" t="inlineStr">
        <is>
          <t>Transporte</t>
        </is>
      </c>
      <c r="D41" t="inlineStr">
        <is>
          <t>2409</t>
        </is>
      </c>
      <c r="E41" t="inlineStr">
        <is>
          <t>Seguridad de transporte</t>
        </is>
      </c>
      <c r="F41" t="inlineStr">
        <is>
          <t>2409058</t>
        </is>
      </c>
      <c r="G41" t="inlineStr">
        <is>
          <t>Cicloinfraestructura construida</t>
        </is>
      </c>
      <c r="H41" t="inlineStr">
        <is>
          <t>Incluye la construcción de vías o secciones de la calzada destinada al tránsito por medios no motorizados.</t>
        </is>
      </c>
      <c r="I41" t="inlineStr">
        <is>
          <t>202400000006694</t>
        </is>
      </c>
      <c r="J41" s="99">
        <v>800000000</v>
      </c>
      <c r="K41" s="99">
        <v>0</v>
      </c>
      <c r="L41" s="99">
        <v>0</v>
      </c>
      <c r="M41" s="99">
        <v>400000000</v>
      </c>
      <c r="N41" s="99">
        <v>400000000</v>
      </c>
      <c r="O41" s="99" t="inlineStr">
        <is>
          <t xml:space="preserve"> </t>
        </is>
      </c>
      <c r="P41" s="99" t="inlineStr">
        <is>
          <t xml:space="preserve"> </t>
        </is>
      </c>
      <c r="Q41" s="99" t="inlineStr">
        <is>
          <t xml:space="preserve"> </t>
        </is>
      </c>
      <c r="R41" s="100" t="inlineStr">
        <is>
          <t xml:space="preserve"> </t>
        </is>
      </c>
      <c r="S41" t="inlineStr">
        <is>
          <t>No se encontró ejecución en CUIPO</t>
        </is>
      </c>
      <c r="T41" s="101" t="inlineStr">
        <is>
          <t xml:space="preserve"> </t>
        </is>
      </c>
      <c r="U41" s="101" t="inlineStr">
        <is>
          <t xml:space="preserve"> </t>
        </is>
      </c>
      <c r="V41" s="101" t="inlineStr">
        <is>
          <t xml:space="preserve"> </t>
        </is>
      </c>
      <c r="W41" s="102" t="inlineStr">
        <is>
          <t xml:space="preserve"> </t>
        </is>
      </c>
      <c r="X41" t="inlineStr">
        <is>
          <t>No se encontró ejecución en CUIPO</t>
        </is>
      </c>
    </row>
    <row r="42">
      <c r="A42" t="inlineStr">
        <is>
          <t>IP-35</t>
        </is>
      </c>
      <c r="B42" t="inlineStr">
        <is>
          <t>32</t>
        </is>
      </c>
      <c r="C42" t="inlineStr">
        <is>
          <t>Ambiente y desarrollo sostenible</t>
        </is>
      </c>
      <c r="D42" t="inlineStr">
        <is>
          <t>3201</t>
        </is>
      </c>
      <c r="E42" t="inlineStr">
        <is>
          <t>Fortalecimiento del desempeño ambiental de los sectores productivos</t>
        </is>
      </c>
      <c r="F42" t="inlineStr">
        <is>
          <t>3201013</t>
        </is>
      </c>
      <c r="G42" t="inlineStr">
        <is>
          <t>Documentos de lineamientos técnicos para mejorar la calidad ambiental de las áreas urbanas</t>
        </is>
      </c>
      <c r="H42" t="inlineStr">
        <is>
          <t>Documentos cuyo objetivo es describir y explicar instrumentos, estándares, requisitos y condiciones necesarias para llevar a cabo un proceso o actividad en el marco del mejoramiento de la calidad ambiental de las áreas urbanas</t>
        </is>
      </c>
      <c r="I42" t="inlineStr">
        <is>
          <t>2024258170055</t>
        </is>
      </c>
      <c r="J42" s="99">
        <v>50000000</v>
      </c>
      <c r="K42" s="99">
        <v>0</v>
      </c>
      <c r="L42" s="99">
        <v>0</v>
      </c>
      <c r="M42" s="99">
        <v>25000000</v>
      </c>
      <c r="N42" s="99">
        <v>25000000</v>
      </c>
      <c r="O42" s="99" t="inlineStr">
        <is>
          <t xml:space="preserve"> </t>
        </is>
      </c>
      <c r="P42" s="99" t="inlineStr">
        <is>
          <t xml:space="preserve"> </t>
        </is>
      </c>
      <c r="Q42" s="99" t="inlineStr">
        <is>
          <t xml:space="preserve"> </t>
        </is>
      </c>
      <c r="R42" s="100" t="inlineStr">
        <is>
          <t xml:space="preserve"> </t>
        </is>
      </c>
      <c r="S42" t="inlineStr">
        <is>
          <t>No se encontró ejecución en CUIPO</t>
        </is>
      </c>
      <c r="T42" s="101" t="inlineStr">
        <is>
          <t xml:space="preserve"> </t>
        </is>
      </c>
      <c r="U42" s="101" t="inlineStr">
        <is>
          <t xml:space="preserve"> </t>
        </is>
      </c>
      <c r="V42" s="101" t="inlineStr">
        <is>
          <t xml:space="preserve"> </t>
        </is>
      </c>
      <c r="W42" s="102" t="inlineStr">
        <is>
          <t xml:space="preserve"> </t>
        </is>
      </c>
      <c r="X42" t="inlineStr">
        <is>
          <t>No se encontró ejecución en CUIPO</t>
        </is>
      </c>
    </row>
    <row r="43">
      <c r="A43" t="inlineStr">
        <is>
          <t>IP-36</t>
        </is>
      </c>
      <c r="B43" t="inlineStr">
        <is>
          <t>35</t>
        </is>
      </c>
      <c r="C43" t="inlineStr">
        <is>
          <t>Comercio, industria y turismo</t>
        </is>
      </c>
      <c r="D43" t="inlineStr">
        <is>
          <t>3502</t>
        </is>
      </c>
      <c r="E43" t="inlineStr">
        <is>
          <t>Productividad y competitividad de las empresas colombianas</t>
        </is>
      </c>
      <c r="F43" t="inlineStr">
        <is>
          <t>3502004</t>
        </is>
      </c>
      <c r="G43" t="inlineStr">
        <is>
          <t>Servicio de apoyo financiero para el mejoramiento de productos o procesos</t>
        </is>
      </c>
      <c r="H43" t="inlineStr">
        <is>
          <t>Con este servicio se busca financiar iniciativas de mejoramiento en la calidad de los productos y Servicio, así como en el mejoramiento de procesos productivos de las empresas nacionales.</t>
        </is>
      </c>
      <c r="I43" t="inlineStr">
        <is>
          <t>202400000006193</t>
        </is>
      </c>
      <c r="J43" s="99">
        <v>1800000000</v>
      </c>
      <c r="K43" s="99">
        <v>250000000</v>
      </c>
      <c r="L43" s="99">
        <v>1050000000</v>
      </c>
      <c r="M43" s="99">
        <v>250000000</v>
      </c>
      <c r="N43" s="99">
        <v>250000000</v>
      </c>
      <c r="O43" s="99" t="inlineStr">
        <is>
          <t xml:space="preserve"> </t>
        </is>
      </c>
      <c r="P43" s="99" t="inlineStr">
        <is>
          <t xml:space="preserve"> </t>
        </is>
      </c>
      <c r="Q43" s="99" t="inlineStr">
        <is>
          <t xml:space="preserve"> </t>
        </is>
      </c>
      <c r="R43" s="100" t="inlineStr">
        <is>
          <t xml:space="preserve"> </t>
        </is>
      </c>
      <c r="S43" t="inlineStr">
        <is>
          <t>No se encontró ejecución en CUIPO</t>
        </is>
      </c>
      <c r="T43" s="101" t="inlineStr">
        <is>
          <t xml:space="preserve"> </t>
        </is>
      </c>
      <c r="U43" s="101" t="inlineStr">
        <is>
          <t xml:space="preserve"> </t>
        </is>
      </c>
      <c r="V43" s="101" t="inlineStr">
        <is>
          <t xml:space="preserve"> </t>
        </is>
      </c>
      <c r="W43" s="102" t="inlineStr">
        <is>
          <t xml:space="preserve"> </t>
        </is>
      </c>
      <c r="X43" t="inlineStr">
        <is>
          <t>No se encontró ejecución en CUIPO</t>
        </is>
      </c>
    </row>
    <row r="44">
      <c r="A44" t="inlineStr">
        <is>
          <t>IP-37</t>
        </is>
      </c>
      <c r="B44" t="inlineStr">
        <is>
          <t>41</t>
        </is>
      </c>
      <c r="C44" t="inlineStr">
        <is>
          <t xml:space="preserve">Inclusión social y reconciliación </t>
        </is>
      </c>
      <c r="D44" t="inlineStr">
        <is>
          <t>4101</t>
        </is>
      </c>
      <c r="E44" t="inlineStr">
        <is>
          <t>Atención, asistencia y reparación integral a las víctimas</t>
        </is>
      </c>
      <c r="F44" t="inlineStr">
        <is>
          <t>4101027</t>
        </is>
      </c>
      <c r="G44" t="inlineStr">
        <is>
          <t>Servicio de asistencia funeraria</t>
        </is>
      </c>
      <c r="H44" t="inlineStr">
        <is>
          <t>La asistencia funeraria se entrega a los familiares de las víctimas de desaparición forzada y homicidio  en el marco de un proceso de entrega de cuerpos o restos óseos.</t>
        </is>
      </c>
      <c r="I44" t="inlineStr">
        <is>
          <t>202400000006511</t>
        </is>
      </c>
      <c r="J44" s="99">
        <v>49000000</v>
      </c>
      <c r="K44" s="99">
        <v>10000000</v>
      </c>
      <c r="L44" s="99">
        <v>10000000</v>
      </c>
      <c r="M44" s="99">
        <v>14000000</v>
      </c>
      <c r="N44" s="99">
        <v>15000000</v>
      </c>
      <c r="O44" s="99" t="inlineStr">
        <is>
          <t xml:space="preserve"> </t>
        </is>
      </c>
      <c r="P44" s="99" t="inlineStr">
        <is>
          <t xml:space="preserve"> </t>
        </is>
      </c>
      <c r="Q44" s="99" t="inlineStr">
        <is>
          <t xml:space="preserve"> </t>
        </is>
      </c>
      <c r="R44" s="100" t="inlineStr">
        <is>
          <t xml:space="preserve"> </t>
        </is>
      </c>
      <c r="S44" t="inlineStr">
        <is>
          <t>No se encontró ejecución en CUIPO</t>
        </is>
      </c>
      <c r="T44" s="101" t="inlineStr">
        <is>
          <t xml:space="preserve"> </t>
        </is>
      </c>
      <c r="U44" s="101" t="inlineStr">
        <is>
          <t xml:space="preserve"> </t>
        </is>
      </c>
      <c r="V44" s="101" t="inlineStr">
        <is>
          <t xml:space="preserve"> </t>
        </is>
      </c>
      <c r="W44" s="102" t="inlineStr">
        <is>
          <t xml:space="preserve"> </t>
        </is>
      </c>
      <c r="X44" t="inlineStr">
        <is>
          <t>No se encontró ejecución en CUIPO</t>
        </is>
      </c>
    </row>
    <row r="45">
      <c r="A45" t="inlineStr">
        <is>
          <t>IP-38</t>
        </is>
      </c>
      <c r="B45" t="inlineStr">
        <is>
          <t>32</t>
        </is>
      </c>
      <c r="C45" t="inlineStr">
        <is>
          <t>Ambiente y desarrollo sostenible</t>
        </is>
      </c>
      <c r="D45" t="inlineStr">
        <is>
          <t>3202</t>
        </is>
      </c>
      <c r="E45" t="inlineStr">
        <is>
          <t>Conservación de la biodiversidad y sus servicios ecosistémicos</t>
        </is>
      </c>
      <c r="F45" t="inlineStr">
        <is>
          <t>3202005</t>
        </is>
      </c>
      <c r="G45" t="inlineStr">
        <is>
          <t>Servicio de restauración de ecosistemas</t>
        </is>
      </c>
      <c r="H45" t="inlineStr">
        <is>
          <t>Incluye el restablecimiento del ecosistema degradado a una condición similar al ecosistema pre disturbio respecto a su composición, estructura, y funcionamiento. </t>
        </is>
      </c>
      <c r="I45" t="inlineStr">
        <is>
          <t>2024258170026</t>
        </is>
      </c>
      <c r="J45" s="99">
        <v>5717398950.09</v>
      </c>
      <c r="K45" s="99">
        <v>1506945919</v>
      </c>
      <c r="L45" s="99">
        <v>1679002178.09</v>
      </c>
      <c r="M45" s="99">
        <v>1242956085</v>
      </c>
      <c r="N45" s="99">
        <v>1288494768</v>
      </c>
      <c r="O45" s="99" t="inlineStr">
        <is>
          <t xml:space="preserve"> </t>
        </is>
      </c>
      <c r="P45" s="99" t="inlineStr">
        <is>
          <t xml:space="preserve"> </t>
        </is>
      </c>
      <c r="Q45" s="99" t="inlineStr">
        <is>
          <t xml:space="preserve"> </t>
        </is>
      </c>
      <c r="R45" s="100" t="inlineStr">
        <is>
          <t xml:space="preserve"> </t>
        </is>
      </c>
      <c r="S45" t="inlineStr">
        <is>
          <t>No se encontró ejecución en CUIPO</t>
        </is>
      </c>
      <c r="T45" s="101">
        <v>227806667</v>
      </c>
      <c r="U45" s="101">
        <v>60259233</v>
      </c>
      <c r="V45" s="101">
        <v>49124945</v>
      </c>
      <c r="W45" s="102">
        <v>0.0358899075810311</v>
      </c>
      <c r="X45" t="inlineStr">
        <is>
          <t>Lo obligado está por debajo de lo programado en la vigencia</t>
        </is>
      </c>
    </row>
    <row r="46">
      <c r="A46" t="inlineStr">
        <is>
          <t>IP-39</t>
        </is>
      </c>
      <c r="B46" t="inlineStr">
        <is>
          <t>41</t>
        </is>
      </c>
      <c r="C46" t="inlineStr">
        <is>
          <t xml:space="preserve">Inclusión social y reconciliación </t>
        </is>
      </c>
      <c r="D46" t="inlineStr">
        <is>
          <t>4102</t>
        </is>
      </c>
      <c r="E46" t="inlineStr">
        <is>
          <t>Desarrollo integral de la primera infancia a la juventud, y fortalecimiento de las capacidades de las familias de niñas, niños y adolescentes</t>
        </is>
      </c>
      <c r="F46" t="inlineStr">
        <is>
          <t>4102038</t>
        </is>
      </c>
      <c r="G46" t="inlineStr">
        <is>
          <t>Servicio dirigidos a la atención de niños, niñas, adolescentes y jóvenes, con enfoque pedagógico y restaurativo encaminados a la inclusión social</t>
        </is>
      </c>
      <c r="H46" t="inlineStr">
        <is>
          <t>Servicio dirigidos a la atención de niños, niñas, adolescentes y jóvenes, con enfoque pedagógico y restaurativo encaminados a la inclusión social.</t>
        </is>
      </c>
      <c r="I46" t="inlineStr">
        <is>
          <t>202400000006899</t>
        </is>
      </c>
      <c r="J46" s="99">
        <v>148900000</v>
      </c>
      <c r="K46" s="99">
        <v>0</v>
      </c>
      <c r="L46" s="99">
        <v>148900000</v>
      </c>
      <c r="M46" s="99">
        <v>0</v>
      </c>
      <c r="N46" s="99">
        <v>0</v>
      </c>
      <c r="O46" s="99" t="inlineStr">
        <is>
          <t xml:space="preserve"> </t>
        </is>
      </c>
      <c r="P46" s="99" t="inlineStr">
        <is>
          <t xml:space="preserve"> </t>
        </is>
      </c>
      <c r="Q46" s="99" t="inlineStr">
        <is>
          <t xml:space="preserve"> </t>
        </is>
      </c>
      <c r="R46" s="100" t="inlineStr">
        <is>
          <t xml:space="preserve"> </t>
        </is>
      </c>
      <c r="S46" t="inlineStr">
        <is>
          <t>No se encontró ejecución en CUIPO</t>
        </is>
      </c>
      <c r="T46" s="101">
        <v>86700000</v>
      </c>
      <c r="U46" s="101">
        <v>8100000</v>
      </c>
      <c r="V46" s="101">
        <v>8100000</v>
      </c>
      <c r="W46" s="102">
        <v>0.0543989254533244</v>
      </c>
      <c r="X46" t="inlineStr">
        <is>
          <t>Lo obligado está por debajo de lo programado en la vigencia</t>
        </is>
      </c>
    </row>
    <row r="47">
      <c r="A47" t="inlineStr">
        <is>
          <t>IP-40</t>
        </is>
      </c>
      <c r="B47" t="inlineStr">
        <is>
          <t>45</t>
        </is>
      </c>
      <c r="C47" t="inlineStr">
        <is>
          <t>Gobierno Territorial</t>
        </is>
      </c>
      <c r="D47" t="inlineStr">
        <is>
          <t>4599</t>
        </is>
      </c>
      <c r="E47" t="inlineStr">
        <is>
          <t>Fortalecimiento a la gestión y dirección de la administración pública territorial</t>
        </is>
      </c>
      <c r="F47" t="inlineStr">
        <is>
          <t>4599025</t>
        </is>
      </c>
      <c r="G47" t="inlineStr">
        <is>
          <t>Servicios de información implementados</t>
        </is>
      </c>
      <c r="H47" t="inlineStr">
        <is>
          <t>Corresponde al proceso que asegura la disposición de la información de manera accesible, confiable y oportuna.</t>
        </is>
      </c>
      <c r="I47" t="inlineStr">
        <is>
          <t>202400000006673</t>
        </is>
      </c>
      <c r="J47" s="99">
        <v>920000000</v>
      </c>
      <c r="K47" s="99">
        <v>130000000</v>
      </c>
      <c r="L47" s="99">
        <v>390000000</v>
      </c>
      <c r="M47" s="99">
        <v>200000000</v>
      </c>
      <c r="N47" s="99">
        <v>200000000</v>
      </c>
      <c r="O47" s="99" t="inlineStr">
        <is>
          <t xml:space="preserve"> </t>
        </is>
      </c>
      <c r="P47" s="99" t="inlineStr">
        <is>
          <t xml:space="preserve"> </t>
        </is>
      </c>
      <c r="Q47" s="99" t="inlineStr">
        <is>
          <t xml:space="preserve"> </t>
        </is>
      </c>
      <c r="R47" s="100" t="inlineStr">
        <is>
          <t xml:space="preserve"> </t>
        </is>
      </c>
      <c r="S47" t="inlineStr">
        <is>
          <t>No se encontró ejecución en CUIPO</t>
        </is>
      </c>
      <c r="T47" s="101">
        <v>208435979</v>
      </c>
      <c r="U47" s="101">
        <v>72151115</v>
      </c>
      <c r="V47" s="101">
        <v>72151115</v>
      </c>
      <c r="W47" s="102">
        <v>0.185002858974359</v>
      </c>
      <c r="X47" t="inlineStr">
        <is>
          <t>Lo obligado está por debajo de lo programado en la vigencia</t>
        </is>
      </c>
    </row>
    <row r="48">
      <c r="A48" t="inlineStr">
        <is>
          <t>IP-41</t>
        </is>
      </c>
      <c r="B48" t="inlineStr">
        <is>
          <t>41</t>
        </is>
      </c>
      <c r="C48" t="inlineStr">
        <is>
          <t xml:space="preserve">Inclusión social y reconciliación </t>
        </is>
      </c>
      <c r="D48" t="inlineStr">
        <is>
          <t>4104</t>
        </is>
      </c>
      <c r="E48" t="inlineStr">
        <is>
          <t>Atención integral de población en situación permanente de desprotección social y/o familiar</t>
        </is>
      </c>
      <c r="F48" t="inlineStr">
        <is>
          <t>4104008</t>
        </is>
      </c>
      <c r="G48" t="inlineStr">
        <is>
          <t>Servicio de atención y protección integral al adulto mayor</t>
        </is>
      </c>
      <c r="H48" t="inlineStr">
        <is>
          <t>Servicios integrales que incluyen aspectos relacionados con protección a la salud y bienestar social, educación, cultura, recreación, entorno físico y social favorable, productividad para los adultos mayores.</t>
        </is>
      </c>
      <c r="I48" t="inlineStr">
        <is>
          <t>202500000003385</t>
        </is>
      </c>
      <c r="J48" s="99">
        <v>6988523181.39</v>
      </c>
      <c r="K48" s="99">
        <v>3900575898.39</v>
      </c>
      <c r="L48" s="99">
        <v>2422660606</v>
      </c>
      <c r="M48" s="99">
        <v>315286677</v>
      </c>
      <c r="N48" s="99">
        <v>350000000</v>
      </c>
      <c r="O48" s="99" t="inlineStr">
        <is>
          <t xml:space="preserve"> </t>
        </is>
      </c>
      <c r="P48" s="99" t="inlineStr">
        <is>
          <t xml:space="preserve"> </t>
        </is>
      </c>
      <c r="Q48" s="99" t="inlineStr">
        <is>
          <t xml:space="preserve"> </t>
        </is>
      </c>
      <c r="R48" s="100" t="inlineStr">
        <is>
          <t xml:space="preserve"> </t>
        </is>
      </c>
      <c r="S48" t="inlineStr">
        <is>
          <t>No se encontró ejecución en CUIPO</t>
        </is>
      </c>
      <c r="T48" s="101">
        <v>6420453574</v>
      </c>
      <c r="U48" s="101">
        <v>3610878751</v>
      </c>
      <c r="V48" s="101">
        <v>3592498751</v>
      </c>
      <c r="W48" s="102">
        <v>1.49046000998127</v>
      </c>
      <c r="X48" t="inlineStr">
        <is>
          <t>Hubo ejecución por encima de lo programado en SisPT</t>
        </is>
      </c>
    </row>
    <row r="49">
      <c r="A49" t="inlineStr">
        <is>
          <t>IP-42, IP-70</t>
        </is>
      </c>
      <c r="B49" t="inlineStr">
        <is>
          <t>40</t>
        </is>
      </c>
      <c r="C49" t="inlineStr">
        <is>
          <t>Vivienda, ciudad y territorio</t>
        </is>
      </c>
      <c r="D49" t="inlineStr">
        <is>
          <t>4003</t>
        </is>
      </c>
      <c r="E49" t="inlineStr">
        <is>
          <t>Acceso de la población a los servicios de agua potable y saneamiento básico</t>
        </is>
      </c>
      <c r="F49" t="inlineStr">
        <is>
          <t>4003020</t>
        </is>
      </c>
      <c r="G49" t="inlineStr">
        <is>
          <t>Alcantarillados optimizados</t>
        </is>
      </c>
      <c r="H49" t="inlineStr">
        <is>
          <t>Conjunto de acciones encaminadas a mejorar la capacidad, eficiencia y eficacia de la infraestructura componente del sistema de alcantarillado mediante su intervención parcial o total.</t>
        </is>
      </c>
      <c r="I49" t="inlineStr">
        <is>
          <t>202400000006996</t>
        </is>
      </c>
      <c r="J49" s="99">
        <v>856920797</v>
      </c>
      <c r="K49" s="99">
        <v>155420797</v>
      </c>
      <c r="L49" s="99">
        <v>701500000</v>
      </c>
      <c r="M49" s="99">
        <v>0</v>
      </c>
      <c r="N49" s="99">
        <v>0</v>
      </c>
      <c r="O49" s="99" t="inlineStr">
        <is>
          <t xml:space="preserve"> </t>
        </is>
      </c>
      <c r="P49" s="99" t="inlineStr">
        <is>
          <t xml:space="preserve"> </t>
        </is>
      </c>
      <c r="Q49" s="99" t="inlineStr">
        <is>
          <t xml:space="preserve"> </t>
        </is>
      </c>
      <c r="R49" s="100" t="inlineStr">
        <is>
          <t xml:space="preserve"> </t>
        </is>
      </c>
      <c r="S49" t="inlineStr">
        <is>
          <t>No se encontró ejecución en CUIPO</t>
        </is>
      </c>
      <c r="T49" s="101" t="inlineStr">
        <is>
          <t xml:space="preserve"> </t>
        </is>
      </c>
      <c r="U49" s="101" t="inlineStr">
        <is>
          <t xml:space="preserve"> </t>
        </is>
      </c>
      <c r="V49" s="101" t="inlineStr">
        <is>
          <t xml:space="preserve"> </t>
        </is>
      </c>
      <c r="W49" s="102" t="inlineStr">
        <is>
          <t xml:space="preserve"> </t>
        </is>
      </c>
      <c r="X49" t="inlineStr">
        <is>
          <t>No se encontró ejecución en CUIPO</t>
        </is>
      </c>
    </row>
    <row r="50">
      <c r="A50" t="inlineStr">
        <is>
          <t>IP-44</t>
        </is>
      </c>
      <c r="B50" t="inlineStr">
        <is>
          <t>19</t>
        </is>
      </c>
      <c r="C50" t="inlineStr">
        <is>
          <t>Salud y protección social</t>
        </is>
      </c>
      <c r="D50" t="inlineStr">
        <is>
          <t>1906</t>
        </is>
      </c>
      <c r="E50" t="inlineStr">
        <is>
          <t>Aseguramiento y prestación integral de servicios de salud</t>
        </is>
      </c>
      <c r="F50" t="inlineStr">
        <is>
          <t>1906030</t>
        </is>
      </c>
      <c r="G50" t="inlineStr">
        <is>
          <t>Hospitales de primer nivel de atención construidos y dotados</t>
        </is>
      </c>
      <c r="H50" t="inlineStr">
        <is>
          <t>Infraestructura hospitalaria de primer nivel de atención construida y dotada con equipos y mobiliario, para la prestación de servicios de salud a la población. Incluye centros de salud, puestos de salud e infraestructura local de prestación de servicios.</t>
        </is>
      </c>
      <c r="I50" t="inlineStr">
        <is>
          <t>202400000006244</t>
        </is>
      </c>
      <c r="J50" s="99">
        <v>3705095997</v>
      </c>
      <c r="K50" s="99">
        <v>985554734</v>
      </c>
      <c r="L50" s="99">
        <v>186341263</v>
      </c>
      <c r="M50" s="99">
        <v>1504000000</v>
      </c>
      <c r="N50" s="99">
        <v>1029200000</v>
      </c>
      <c r="O50" s="99" t="inlineStr">
        <is>
          <t xml:space="preserve"> </t>
        </is>
      </c>
      <c r="P50" s="99" t="inlineStr">
        <is>
          <t xml:space="preserve"> </t>
        </is>
      </c>
      <c r="Q50" s="99" t="inlineStr">
        <is>
          <t xml:space="preserve"> </t>
        </is>
      </c>
      <c r="R50" s="100" t="inlineStr">
        <is>
          <t xml:space="preserve"> </t>
        </is>
      </c>
      <c r="S50" t="inlineStr">
        <is>
          <t>No se encontró ejecución en CUIPO</t>
        </is>
      </c>
      <c r="T50" s="101" t="inlineStr">
        <is>
          <t xml:space="preserve"> </t>
        </is>
      </c>
      <c r="U50" s="101" t="inlineStr">
        <is>
          <t xml:space="preserve"> </t>
        </is>
      </c>
      <c r="V50" s="101" t="inlineStr">
        <is>
          <t xml:space="preserve"> </t>
        </is>
      </c>
      <c r="W50" s="102" t="inlineStr">
        <is>
          <t xml:space="preserve"> </t>
        </is>
      </c>
      <c r="X50" t="inlineStr">
        <is>
          <t>No se encontró ejecución en CUIPO</t>
        </is>
      </c>
    </row>
    <row r="51">
      <c r="A51" t="inlineStr">
        <is>
          <t>IP-45</t>
        </is>
      </c>
      <c r="B51" t="inlineStr">
        <is>
          <t>33</t>
        </is>
      </c>
      <c r="C51" t="inlineStr">
        <is>
          <t>Cultura</t>
        </is>
      </c>
      <c r="D51" t="inlineStr">
        <is>
          <t>3301</t>
        </is>
      </c>
      <c r="E51" t="inlineStr">
        <is>
          <t>Promoción y acceso efectivo a procesos culturales y artísticos</t>
        </is>
      </c>
      <c r="F51" t="inlineStr">
        <is>
          <t>3301053</t>
        </is>
      </c>
      <c r="G51" t="inlineStr">
        <is>
          <t>Servicio de promoción de actividades culturales</t>
        </is>
      </c>
      <c r="H51" t="inlineStr">
        <is>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is>
      </c>
      <c r="I51" t="inlineStr">
        <is>
          <t>2024258170016</t>
        </is>
      </c>
      <c r="J51" s="99">
        <v>18915404256</v>
      </c>
      <c r="K51" s="99">
        <v>4215404256</v>
      </c>
      <c r="L51" s="99">
        <v>4300000000</v>
      </c>
      <c r="M51" s="99">
        <v>4900000000</v>
      </c>
      <c r="N51" s="99">
        <v>5500000000</v>
      </c>
      <c r="O51" s="99" t="inlineStr">
        <is>
          <t xml:space="preserve"> </t>
        </is>
      </c>
      <c r="P51" s="99" t="inlineStr">
        <is>
          <t xml:space="preserve"> </t>
        </is>
      </c>
      <c r="Q51" s="99" t="inlineStr">
        <is>
          <t xml:space="preserve"> </t>
        </is>
      </c>
      <c r="R51" s="100" t="inlineStr">
        <is>
          <t xml:space="preserve"> </t>
        </is>
      </c>
      <c r="S51" t="inlineStr">
        <is>
          <t>No se encontró ejecución en CUIPO</t>
        </is>
      </c>
      <c r="T51" s="101">
        <v>5818746746</v>
      </c>
      <c r="U51" s="101">
        <v>2601502166</v>
      </c>
      <c r="V51" s="101">
        <v>2460517143</v>
      </c>
      <c r="W51" s="102">
        <v>0.60500050372093</v>
      </c>
      <c r="X51" t="inlineStr">
        <is>
          <t>Lo obligado está por debajo de lo programado en la vigencia</t>
        </is>
      </c>
    </row>
    <row r="52">
      <c r="A52" t="inlineStr">
        <is>
          <t>IP-46</t>
        </is>
      </c>
      <c r="B52" t="inlineStr">
        <is>
          <t>32</t>
        </is>
      </c>
      <c r="C52" t="inlineStr">
        <is>
          <t>Ambiente y desarrollo sostenible</t>
        </is>
      </c>
      <c r="D52" t="inlineStr">
        <is>
          <t>3201</t>
        </is>
      </c>
      <c r="E52" t="inlineStr">
        <is>
          <t>Fortalecimiento del desempeño ambiental de los sectores productivos</t>
        </is>
      </c>
      <c r="F52" t="inlineStr">
        <is>
          <t>3201015</t>
        </is>
      </c>
      <c r="G52" t="inlineStr">
        <is>
          <t>Documentos de lineamientos técnicos parapromover la gestión sostenible del suelo</t>
        </is>
      </c>
      <c r="H52" t="inlineStr">
        <is>
          <t>Documentos cuyo objetivo es describir y explicar instrumentos, estándares, requisitos y condiciones necesarias para llevar a cabo un proceso o actividad en el marco de la gestión sostenible del suelo</t>
        </is>
      </c>
      <c r="I52" t="inlineStr">
        <is>
          <t>2024258170055</t>
        </is>
      </c>
      <c r="J52" s="99">
        <v>255000000</v>
      </c>
      <c r="K52" s="99">
        <v>0</v>
      </c>
      <c r="L52" s="99">
        <v>55000000</v>
      </c>
      <c r="M52" s="99">
        <v>100000000</v>
      </c>
      <c r="N52" s="99">
        <v>100000000</v>
      </c>
      <c r="O52" s="99" t="inlineStr">
        <is>
          <t xml:space="preserve"> </t>
        </is>
      </c>
      <c r="P52" s="99" t="inlineStr">
        <is>
          <t xml:space="preserve"> </t>
        </is>
      </c>
      <c r="Q52" s="99" t="inlineStr">
        <is>
          <t xml:space="preserve"> </t>
        </is>
      </c>
      <c r="R52" s="100" t="inlineStr">
        <is>
          <t xml:space="preserve"> </t>
        </is>
      </c>
      <c r="S52" t="inlineStr">
        <is>
          <t>No se encontró ejecución en CUIPO</t>
        </is>
      </c>
      <c r="T52" s="101">
        <v>30000000</v>
      </c>
      <c r="U52" s="101">
        <v>8157896</v>
      </c>
      <c r="V52" s="101">
        <v>8157896</v>
      </c>
      <c r="W52" s="102">
        <v>0.148325381818182</v>
      </c>
      <c r="X52" t="inlineStr">
        <is>
          <t>Lo obligado está por debajo de lo programado en la vigencia</t>
        </is>
      </c>
    </row>
    <row r="53">
      <c r="A53" t="inlineStr">
        <is>
          <t>IP-47</t>
        </is>
      </c>
      <c r="B53" t="inlineStr">
        <is>
          <t>32</t>
        </is>
      </c>
      <c r="C53" t="inlineStr">
        <is>
          <t>Ambiente y desarrollo sostenible</t>
        </is>
      </c>
      <c r="D53" t="inlineStr">
        <is>
          <t>3202</t>
        </is>
      </c>
      <c r="E53" t="inlineStr">
        <is>
          <t>Conservación de la biodiversidad y sus servicios ecosistémicos</t>
        </is>
      </c>
      <c r="F53" t="inlineStr">
        <is>
          <t>3202001</t>
        </is>
      </c>
      <c r="G53" t="inlineStr">
        <is>
          <t>Documentos de lineamientos técnicos para la conservación de la biodiversidad y sus servicios eco sistémicos</t>
        </is>
      </c>
      <c r="H53" t="inlineStr">
        <is>
          <t>Documentos cuyo objetivo es brindar directrices para la conservación de una o varias especies (terrestres, dulceacuícolas o marinas) y de ecosistemas de importancia estratégica para el país.</t>
        </is>
      </c>
      <c r="I53" t="inlineStr">
        <is>
          <t>2024258170026</t>
        </is>
      </c>
      <c r="J53" s="99">
        <v>78000000</v>
      </c>
      <c r="K53" s="99">
        <v>3000000</v>
      </c>
      <c r="L53" s="99">
        <v>20000000</v>
      </c>
      <c r="M53" s="99">
        <v>30000000</v>
      </c>
      <c r="N53" s="99">
        <v>25000000</v>
      </c>
      <c r="O53" s="99" t="inlineStr">
        <is>
          <t xml:space="preserve"> </t>
        </is>
      </c>
      <c r="P53" s="99" t="inlineStr">
        <is>
          <t xml:space="preserve"> </t>
        </is>
      </c>
      <c r="Q53" s="99" t="inlineStr">
        <is>
          <t xml:space="preserve"> </t>
        </is>
      </c>
      <c r="R53" s="100" t="inlineStr">
        <is>
          <t xml:space="preserve"> </t>
        </is>
      </c>
      <c r="S53" t="inlineStr">
        <is>
          <t>No se encontró ejecución en CUIPO</t>
        </is>
      </c>
      <c r="T53" s="101">
        <v>20000000</v>
      </c>
      <c r="U53" s="101">
        <v>13300000</v>
      </c>
      <c r="V53" s="101">
        <v>13300000</v>
      </c>
      <c r="W53" s="102">
        <v>0.665</v>
      </c>
      <c r="X53" t="inlineStr">
        <is>
          <t>Lo obligado está por debajo de lo programado en la vigencia</t>
        </is>
      </c>
    </row>
    <row r="54">
      <c r="A54" t="inlineStr">
        <is>
          <t>IP-48</t>
        </is>
      </c>
      <c r="B54" t="inlineStr">
        <is>
          <t>43</t>
        </is>
      </c>
      <c r="C54" t="inlineStr">
        <is>
          <t>Deporte y Recreación</t>
        </is>
      </c>
      <c r="D54" t="inlineStr">
        <is>
          <t>4301</t>
        </is>
      </c>
      <c r="E54" t="inlineStr">
        <is>
          <t>Fomento a la recreación, la actividad física y el deporte para desarrollar entornos de convivencia y paz</t>
        </is>
      </c>
      <c r="F54" t="inlineStr">
        <is>
          <t>4301015</t>
        </is>
      </c>
      <c r="G54" t="inlineStr">
        <is>
          <t>Canchas multifuncionales construidas y dotadas</t>
        </is>
      </c>
      <c r="H54" t="inlineStr">
        <is>
          <t>Construcción y dotación de canchas multiformes para garantizar  la práctica de la actividad física, la recreación y el deporte.</t>
        </is>
      </c>
      <c r="I54" t="inlineStr">
        <is>
          <t>202400000005086</t>
        </is>
      </c>
      <c r="J54" s="99">
        <v>5055649881</v>
      </c>
      <c r="K54" s="99">
        <v>0</v>
      </c>
      <c r="L54" s="99">
        <v>1055649881</v>
      </c>
      <c r="M54" s="99">
        <v>2000000000</v>
      </c>
      <c r="N54" s="99">
        <v>2000000000</v>
      </c>
      <c r="O54" s="99" t="inlineStr">
        <is>
          <t xml:space="preserve"> </t>
        </is>
      </c>
      <c r="P54" s="99" t="inlineStr">
        <is>
          <t xml:space="preserve"> </t>
        </is>
      </c>
      <c r="Q54" s="99" t="inlineStr">
        <is>
          <t xml:space="preserve"> </t>
        </is>
      </c>
      <c r="R54" s="100" t="inlineStr">
        <is>
          <t xml:space="preserve"> </t>
        </is>
      </c>
      <c r="S54" t="inlineStr">
        <is>
          <t>No se encontró ejecución en CUIPO</t>
        </is>
      </c>
      <c r="T54" s="101" t="inlineStr">
        <is>
          <t xml:space="preserve"> </t>
        </is>
      </c>
      <c r="U54" s="101" t="inlineStr">
        <is>
          <t xml:space="preserve"> </t>
        </is>
      </c>
      <c r="V54" s="101" t="inlineStr">
        <is>
          <t xml:space="preserve"> </t>
        </is>
      </c>
      <c r="W54" s="102" t="inlineStr">
        <is>
          <t xml:space="preserve"> </t>
        </is>
      </c>
      <c r="X54" t="inlineStr">
        <is>
          <t>No se encontró ejecución en CUIPO</t>
        </is>
      </c>
    </row>
    <row r="55">
      <c r="A55" t="inlineStr">
        <is>
          <t>IP-49</t>
        </is>
      </c>
      <c r="B55" t="inlineStr">
        <is>
          <t>32</t>
        </is>
      </c>
      <c r="C55" t="inlineStr">
        <is>
          <t>Ambiente y desarrollo sostenible</t>
        </is>
      </c>
      <c r="D55" t="inlineStr">
        <is>
          <t>3202</t>
        </is>
      </c>
      <c r="E55" t="inlineStr">
        <is>
          <t>Conservación de la biodiversidad y sus servicios ecosistémicos</t>
        </is>
      </c>
      <c r="F55" t="inlineStr">
        <is>
          <t>3202045</t>
        </is>
      </c>
      <c r="G55" t="inlineStr">
        <is>
          <t>Servicio de identificación de suelo de protección</t>
        </is>
      </c>
      <c r="H55" t="inlineStr">
        <is>
          <t>Acciones orientadas a la identificación y gestión para el establecimiento de como suelo de protección por las entidades territoriales en el marco del Art. 35 de la Ley 388 de 1997 y el Art.   2.2.2.1.2.11. del Decreto Único Reglamentario del Sector Ambiente 1076 de 2015. Estas áreas por sus características geográficas, paisajísticas o ambientales tienen restringida la posibilidad de urbanizarse y aportan a la conservación de la biodiversidad y los servicios ecosistémicos. Si bien los suelos de protección no son categorías de manejo de áreas protegidas, pueden aportar al cumplimiento de los objetivos específicos de conservación, en cuyo caso las autoridades con competencias en la declaración de las áreas protegidas deberán acompañar al municipio y brindar la asesoría necesaria para las labores de conservación del área.</t>
        </is>
      </c>
      <c r="I55" t="inlineStr">
        <is>
          <t>2024258170026</t>
        </is>
      </c>
      <c r="J55" s="99">
        <v>83208000</v>
      </c>
      <c r="K55" s="99">
        <v>5833000</v>
      </c>
      <c r="L55" s="99">
        <v>27375000</v>
      </c>
      <c r="M55" s="99">
        <v>25000000</v>
      </c>
      <c r="N55" s="99">
        <v>25000000</v>
      </c>
      <c r="O55" s="99" t="inlineStr">
        <is>
          <t xml:space="preserve"> </t>
        </is>
      </c>
      <c r="P55" s="99" t="inlineStr">
        <is>
          <t xml:space="preserve"> </t>
        </is>
      </c>
      <c r="Q55" s="99" t="inlineStr">
        <is>
          <t xml:space="preserve"> </t>
        </is>
      </c>
      <c r="R55" s="100" t="inlineStr">
        <is>
          <t xml:space="preserve"> </t>
        </is>
      </c>
      <c r="S55" t="inlineStr">
        <is>
          <t>No se encontró ejecución en CUIPO</t>
        </is>
      </c>
      <c r="T55" s="101">
        <v>25275120</v>
      </c>
      <c r="U55" s="101">
        <v>17108672</v>
      </c>
      <c r="V55" s="101">
        <v>17108672</v>
      </c>
      <c r="W55" s="102">
        <v>0.624974319634703</v>
      </c>
      <c r="X55" t="inlineStr">
        <is>
          <t>Lo obligado está por debajo de lo programado en la vigencia</t>
        </is>
      </c>
    </row>
    <row r="56">
      <c r="A56" t="inlineStr">
        <is>
          <t>IP-50</t>
        </is>
      </c>
      <c r="B56" t="inlineStr">
        <is>
          <t>24</t>
        </is>
      </c>
      <c r="C56" t="inlineStr">
        <is>
          <t>Transporte</t>
        </is>
      </c>
      <c r="D56" t="inlineStr">
        <is>
          <t>2402</t>
        </is>
      </c>
      <c r="E56" t="inlineStr">
        <is>
          <t>Infraestructura red vial regional</t>
        </is>
      </c>
      <c r="F56" t="inlineStr">
        <is>
          <t>2402130</t>
        </is>
      </c>
      <c r="G56" t="inlineStr">
        <is>
          <t>Puente peatonal de la red urbana construido</t>
        </is>
      </c>
      <c r="H56" t="inlineStr">
        <is>
          <t>Incluye la construcción de puentes peatonales en la modalidad de obra nueva.</t>
        </is>
      </c>
      <c r="I56" t="inlineStr">
        <is>
          <t>202400000006693</t>
        </is>
      </c>
      <c r="J56" s="99">
        <v>10000000000</v>
      </c>
      <c r="K56" s="99">
        <v>0</v>
      </c>
      <c r="L56" s="99">
        <v>0</v>
      </c>
      <c r="M56" s="99">
        <v>1500000000</v>
      </c>
      <c r="N56" s="99">
        <v>8500000000</v>
      </c>
      <c r="O56" s="99" t="inlineStr">
        <is>
          <t xml:space="preserve"> </t>
        </is>
      </c>
      <c r="P56" s="99" t="inlineStr">
        <is>
          <t xml:space="preserve"> </t>
        </is>
      </c>
      <c r="Q56" s="99" t="inlineStr">
        <is>
          <t xml:space="preserve"> </t>
        </is>
      </c>
      <c r="R56" s="100" t="inlineStr">
        <is>
          <t xml:space="preserve"> </t>
        </is>
      </c>
      <c r="S56" t="inlineStr">
        <is>
          <t>No se encontró ejecución en CUIPO</t>
        </is>
      </c>
      <c r="T56" s="101" t="inlineStr">
        <is>
          <t xml:space="preserve"> </t>
        </is>
      </c>
      <c r="U56" s="101" t="inlineStr">
        <is>
          <t xml:space="preserve"> </t>
        </is>
      </c>
      <c r="V56" s="101" t="inlineStr">
        <is>
          <t xml:space="preserve"> </t>
        </is>
      </c>
      <c r="W56" s="102" t="inlineStr">
        <is>
          <t xml:space="preserve"> </t>
        </is>
      </c>
      <c r="X56" t="inlineStr">
        <is>
          <t>No se encontró ejecución en CUIPO</t>
        </is>
      </c>
    </row>
    <row r="57">
      <c r="A57" t="inlineStr">
        <is>
          <t>IP-51</t>
        </is>
      </c>
      <c r="B57" t="inlineStr">
        <is>
          <t>41</t>
        </is>
      </c>
      <c r="C57" t="inlineStr">
        <is>
          <t xml:space="preserve">Inclusión social y reconciliación </t>
        </is>
      </c>
      <c r="D57" t="inlineStr">
        <is>
          <t>4104</t>
        </is>
      </c>
      <c r="E57" t="inlineStr">
        <is>
          <t>Atención integral de población en situación permanente de desprotección social y/o familiar</t>
        </is>
      </c>
      <c r="F57" t="inlineStr">
        <is>
          <t>4104020</t>
        </is>
      </c>
      <c r="G57" t="inlineStr">
        <is>
          <t>Servicio de atención integral a población en condición de discapacidad</t>
        </is>
      </c>
      <c r="H57" t="inlineStr">
        <is>
          <t>Servicios integrales que incluyen aspectos relacionados con atención en salud, cuidado, alimentación, hospedaje, formación para el trabajo, inclusión productiva, recreación, entre otros, para población en condición de discapacidad.</t>
        </is>
      </c>
      <c r="I57" t="inlineStr">
        <is>
          <t>202500000003427</t>
        </is>
      </c>
      <c r="J57" s="99">
        <v>4380333822</v>
      </c>
      <c r="K57" s="99">
        <v>605182120</v>
      </c>
      <c r="L57" s="99">
        <v>1613850523</v>
      </c>
      <c r="M57" s="99">
        <v>1077428588</v>
      </c>
      <c r="N57" s="99">
        <v>1083872591</v>
      </c>
      <c r="O57" s="99" t="inlineStr">
        <is>
          <t xml:space="preserve"> </t>
        </is>
      </c>
      <c r="P57" s="99" t="inlineStr">
        <is>
          <t xml:space="preserve"> </t>
        </is>
      </c>
      <c r="Q57" s="99" t="inlineStr">
        <is>
          <t xml:space="preserve"> </t>
        </is>
      </c>
      <c r="R57" s="100" t="inlineStr">
        <is>
          <t xml:space="preserve"> </t>
        </is>
      </c>
      <c r="S57" t="inlineStr">
        <is>
          <t>No se encontró ejecución en CUIPO</t>
        </is>
      </c>
      <c r="T57" s="101">
        <v>1205542604</v>
      </c>
      <c r="U57" s="101">
        <v>450176774</v>
      </c>
      <c r="V57" s="101">
        <v>450176774</v>
      </c>
      <c r="W57" s="102">
        <v>0.278945768263075</v>
      </c>
      <c r="X57" t="inlineStr">
        <is>
          <t>Lo obligado está por debajo de lo programado en la vigencia</t>
        </is>
      </c>
    </row>
    <row r="58">
      <c r="A58" t="inlineStr">
        <is>
          <t>IP-52</t>
        </is>
      </c>
      <c r="B58" t="inlineStr">
        <is>
          <t>43</t>
        </is>
      </c>
      <c r="C58" t="inlineStr">
        <is>
          <t>Deporte y Recreación</t>
        </is>
      </c>
      <c r="D58" t="inlineStr">
        <is>
          <t>4301</t>
        </is>
      </c>
      <c r="E58" t="inlineStr">
        <is>
          <t>Fomento a la recreación, la actividad física y el deporte para desarrollar entornos de convivencia y paz</t>
        </is>
      </c>
      <c r="F58" t="inlineStr">
        <is>
          <t>4301006</t>
        </is>
      </c>
      <c r="G58" t="inlineStr">
        <is>
          <t>Documentos normativos</t>
        </is>
      </c>
      <c r="H58" t="inlineStr">
        <is>
          <t>Corresponde a la formulación o reformulación de políticas públicas o normatividad concerniente a la práctica de la actividad física, de la recreación y el deporte.</t>
        </is>
      </c>
      <c r="I58" t="inlineStr">
        <is>
          <t>2024258170020</t>
        </is>
      </c>
      <c r="J58" s="99">
        <v>154229000</v>
      </c>
      <c r="K58" s="99">
        <v>40000000</v>
      </c>
      <c r="L58" s="99">
        <v>0</v>
      </c>
      <c r="M58" s="99">
        <v>114229000</v>
      </c>
      <c r="N58" s="99">
        <v>0</v>
      </c>
      <c r="O58" s="99" t="inlineStr">
        <is>
          <t xml:space="preserve"> </t>
        </is>
      </c>
      <c r="P58" s="99" t="inlineStr">
        <is>
          <t xml:space="preserve"> </t>
        </is>
      </c>
      <c r="Q58" s="99" t="inlineStr">
        <is>
          <t xml:space="preserve"> </t>
        </is>
      </c>
      <c r="R58" s="100" t="inlineStr">
        <is>
          <t xml:space="preserve"> </t>
        </is>
      </c>
      <c r="S58" t="inlineStr">
        <is>
          <t>No se encontró ejecución en CUIPO</t>
        </is>
      </c>
      <c r="T58" s="101" t="inlineStr">
        <is>
          <t xml:space="preserve"> </t>
        </is>
      </c>
      <c r="U58" s="101" t="inlineStr">
        <is>
          <t xml:space="preserve"> </t>
        </is>
      </c>
      <c r="V58" s="101" t="inlineStr">
        <is>
          <t xml:space="preserve"> </t>
        </is>
      </c>
      <c r="W58" s="102" t="inlineStr">
        <is>
          <t xml:space="preserve"> </t>
        </is>
      </c>
      <c r="X58" t="inlineStr">
        <is>
          <t>No se encontró ejecución en CUIPO</t>
        </is>
      </c>
    </row>
    <row r="59">
      <c r="A59" t="inlineStr">
        <is>
          <t>IP-53</t>
        </is>
      </c>
      <c r="B59" t="inlineStr">
        <is>
          <t>36</t>
        </is>
      </c>
      <c r="C59" t="inlineStr">
        <is>
          <t>Trabajo</t>
        </is>
      </c>
      <c r="D59" t="inlineStr">
        <is>
          <t>3602</t>
        </is>
      </c>
      <c r="E59" t="inlineStr">
        <is>
          <t>Generación y formalización del empleo</t>
        </is>
      </c>
      <c r="F59" t="inlineStr">
        <is>
          <t>3602031</t>
        </is>
      </c>
      <c r="G59" t="inlineStr">
        <is>
          <t>Servicio de formación para el trabajo en competencias para la inserción laboral</t>
        </is>
      </c>
      <c r="H59" t="inlineStr">
        <is>
          <t>Hace referencia a las acciones destinadas al desarrollo de competencias para la inserción al mercado laboral, como complemento de la educación básica; para la actualización constante de los conocimientos y habilidades, lo que impacta la productividad y competitividad de los lugares donde trabajan y para la promoción del acceso al trabajo de poblaciones vulnerables por medio de programas especiales de formación.</t>
        </is>
      </c>
      <c r="I59" t="inlineStr">
        <is>
          <t>202400000006204</t>
        </is>
      </c>
      <c r="J59" s="99">
        <v>200000000</v>
      </c>
      <c r="K59" s="99">
        <v>50000000</v>
      </c>
      <c r="L59" s="99">
        <v>50000000</v>
      </c>
      <c r="M59" s="99">
        <v>50000000</v>
      </c>
      <c r="N59" s="99">
        <v>50000000</v>
      </c>
      <c r="O59" s="99" t="inlineStr">
        <is>
          <t xml:space="preserve"> </t>
        </is>
      </c>
      <c r="P59" s="99" t="inlineStr">
        <is>
          <t xml:space="preserve"> </t>
        </is>
      </c>
      <c r="Q59" s="99" t="inlineStr">
        <is>
          <t xml:space="preserve"> </t>
        </is>
      </c>
      <c r="R59" s="100" t="inlineStr">
        <is>
          <t xml:space="preserve"> </t>
        </is>
      </c>
      <c r="S59" t="inlineStr">
        <is>
          <t>No se encontró ejecución en CUIPO</t>
        </is>
      </c>
      <c r="T59" s="101">
        <v>36639000</v>
      </c>
      <c r="U59" s="101">
        <v>22356000</v>
      </c>
      <c r="V59" s="101">
        <v>22356000</v>
      </c>
      <c r="W59" s="102">
        <v>0.44712</v>
      </c>
      <c r="X59" t="inlineStr">
        <is>
          <t>Lo obligado está por debajo de lo programado en la vigencia</t>
        </is>
      </c>
    </row>
    <row r="60">
      <c r="A60" t="inlineStr">
        <is>
          <t>IP-54</t>
        </is>
      </c>
      <c r="B60" t="inlineStr">
        <is>
          <t>43</t>
        </is>
      </c>
      <c r="C60" t="inlineStr">
        <is>
          <t>Deporte y Recreación</t>
        </is>
      </c>
      <c r="D60" t="inlineStr">
        <is>
          <t>4301</t>
        </is>
      </c>
      <c r="E60" t="inlineStr">
        <is>
          <t>Fomento a la recreación, la actividad física y el deporte para desarrollar entornos de convivencia y paz</t>
        </is>
      </c>
      <c r="F60" t="inlineStr">
        <is>
          <t>4301032</t>
        </is>
      </c>
      <c r="G60" t="inlineStr">
        <is>
          <t>Servicio de organización de eventos deportivos comunitarios</t>
        </is>
      </c>
      <c r="H60" t="inlineStr">
        <is>
          <t>Corresponde a la planeación, organización y realización de eventos deportivos en las diferentes disciplinas con la comunidad.</t>
        </is>
      </c>
      <c r="I60" t="inlineStr">
        <is>
          <t>2024258170020</t>
        </is>
      </c>
      <c r="J60" s="99">
        <v>2905907586</v>
      </c>
      <c r="K60" s="99">
        <v>955907586</v>
      </c>
      <c r="L60" s="99">
        <v>550000000</v>
      </c>
      <c r="M60" s="99">
        <v>600000000</v>
      </c>
      <c r="N60" s="99">
        <v>800000000</v>
      </c>
      <c r="O60" s="99" t="inlineStr">
        <is>
          <t xml:space="preserve"> </t>
        </is>
      </c>
      <c r="P60" s="99" t="inlineStr">
        <is>
          <t xml:space="preserve"> </t>
        </is>
      </c>
      <c r="Q60" s="99" t="inlineStr">
        <is>
          <t xml:space="preserve"> </t>
        </is>
      </c>
      <c r="R60" s="100" t="inlineStr">
        <is>
          <t xml:space="preserve"> </t>
        </is>
      </c>
      <c r="S60" t="inlineStr">
        <is>
          <t>No se encontró ejecución en CUIPO</t>
        </is>
      </c>
      <c r="T60" s="101">
        <v>955907586</v>
      </c>
      <c r="U60" s="101">
        <v>444735154</v>
      </c>
      <c r="V60" s="101">
        <v>444735154</v>
      </c>
      <c r="W60" s="102">
        <v>0.808609370909091</v>
      </c>
      <c r="X60" t="inlineStr">
        <is>
          <t>Lo obligado está por debajo de lo programado en la vigencia</t>
        </is>
      </c>
    </row>
    <row r="61">
      <c r="A61" t="inlineStr">
        <is>
          <t>IP-55</t>
        </is>
      </c>
      <c r="B61" t="inlineStr">
        <is>
          <t>43</t>
        </is>
      </c>
      <c r="C61" t="inlineStr">
        <is>
          <t>Deporte y Recreación</t>
        </is>
      </c>
      <c r="D61" t="inlineStr">
        <is>
          <t>4301</t>
        </is>
      </c>
      <c r="E61" t="inlineStr">
        <is>
          <t>Fomento a la recreación, la actividad física y el deporte para desarrollar entornos de convivencia y paz</t>
        </is>
      </c>
      <c r="F61" t="inlineStr">
        <is>
          <t>4301030</t>
        </is>
      </c>
      <c r="G61" t="inlineStr">
        <is>
          <t>Parque recreo-deportivo construido y dotado</t>
        </is>
      </c>
      <c r="H61" t="inlineStr">
        <is>
          <t>Construcción y dotación de un parque recreo-deportivo que contiene zona de juegos infantiles, área de gimnasio, pista de trote, bebederos y demás equipamientos destinados a la recreación y el deporte al aire libre.</t>
        </is>
      </c>
      <c r="I61" t="inlineStr">
        <is>
          <t>2024258170020</t>
        </is>
      </c>
      <c r="J61" s="99">
        <v>10000000</v>
      </c>
      <c r="K61" s="99">
        <v>10000000</v>
      </c>
      <c r="L61" s="99">
        <v>0</v>
      </c>
      <c r="M61" s="99">
        <v>0</v>
      </c>
      <c r="N61" s="99">
        <v>0</v>
      </c>
      <c r="O61" s="99" t="inlineStr">
        <is>
          <t xml:space="preserve"> </t>
        </is>
      </c>
      <c r="P61" s="99" t="inlineStr">
        <is>
          <t xml:space="preserve"> </t>
        </is>
      </c>
      <c r="Q61" s="99" t="inlineStr">
        <is>
          <t xml:space="preserve"> </t>
        </is>
      </c>
      <c r="R61" s="100" t="inlineStr">
        <is>
          <t xml:space="preserve"> </t>
        </is>
      </c>
      <c r="S61" t="inlineStr">
        <is>
          <t>No se encontró ejecución en CUIPO</t>
        </is>
      </c>
      <c r="T61" s="101" t="inlineStr">
        <is>
          <t xml:space="preserve"> </t>
        </is>
      </c>
      <c r="U61" s="101" t="inlineStr">
        <is>
          <t xml:space="preserve"> </t>
        </is>
      </c>
      <c r="V61" s="101" t="inlineStr">
        <is>
          <t xml:space="preserve"> </t>
        </is>
      </c>
      <c r="W61" s="102" t="inlineStr">
        <is>
          <t xml:space="preserve"> </t>
        </is>
      </c>
      <c r="X61" t="inlineStr">
        <is>
          <t>No se encontró ejecución en CUIPO</t>
        </is>
      </c>
    </row>
    <row r="62">
      <c r="A62" t="inlineStr">
        <is>
          <t>IP-56</t>
        </is>
      </c>
      <c r="B62" t="inlineStr">
        <is>
          <t>45</t>
        </is>
      </c>
      <c r="C62" t="inlineStr">
        <is>
          <t>Gobierno Territorial</t>
        </is>
      </c>
      <c r="D62" t="inlineStr">
        <is>
          <t>4599</t>
        </is>
      </c>
      <c r="E62" t="inlineStr">
        <is>
          <t>Fortalecimiento a la gestión y dirección de la administración pública territorial</t>
        </is>
      </c>
      <c r="F62" t="inlineStr">
        <is>
          <t>4599008</t>
        </is>
      </c>
      <c r="G62" t="inlineStr">
        <is>
          <t>Sede construida y dotada</t>
        </is>
      </c>
      <c r="H62" t="inlineStr">
        <is>
          <t>Corresponde a un inmueble resultado de obras de edificación en terrenos no construidos o cuya área esté libre por autorización de demolición total. Incluye la dotación del inmueble. (Corresponde a la licencia de construcción por obra nueva)</t>
        </is>
      </c>
      <c r="I62" t="inlineStr">
        <is>
          <t>202500000042157</t>
        </is>
      </c>
      <c r="J62" s="99">
        <v>99838625</v>
      </c>
      <c r="K62" s="99">
        <v>0</v>
      </c>
      <c r="L62" s="99">
        <v>0</v>
      </c>
      <c r="M62" s="99">
        <v>99838625</v>
      </c>
      <c r="N62" s="99">
        <v>0</v>
      </c>
      <c r="O62" s="99" t="inlineStr">
        <is>
          <t xml:space="preserve"> </t>
        </is>
      </c>
      <c r="P62" s="99" t="inlineStr">
        <is>
          <t xml:space="preserve"> </t>
        </is>
      </c>
      <c r="Q62" s="99" t="inlineStr">
        <is>
          <t xml:space="preserve"> </t>
        </is>
      </c>
      <c r="R62" s="100" t="inlineStr">
        <is>
          <t xml:space="preserve"> </t>
        </is>
      </c>
      <c r="S62" t="inlineStr">
        <is>
          <t>No se encontró ejecución en CUIPO</t>
        </is>
      </c>
      <c r="T62" s="101" t="inlineStr">
        <is>
          <t xml:space="preserve"> </t>
        </is>
      </c>
      <c r="U62" s="101" t="inlineStr">
        <is>
          <t xml:space="preserve"> </t>
        </is>
      </c>
      <c r="V62" s="101" t="inlineStr">
        <is>
          <t xml:space="preserve"> </t>
        </is>
      </c>
      <c r="W62" s="102" t="inlineStr">
        <is>
          <t xml:space="preserve"> </t>
        </is>
      </c>
      <c r="X62" t="inlineStr">
        <is>
          <t>No se encontró ejecución en CUIPO</t>
        </is>
      </c>
    </row>
    <row r="63">
      <c r="A63" t="inlineStr">
        <is>
          <t>IP-57</t>
        </is>
      </c>
      <c r="B63" t="inlineStr">
        <is>
          <t>12</t>
        </is>
      </c>
      <c r="C63" t="inlineStr">
        <is>
          <t>Justicia y del derecho</t>
        </is>
      </c>
      <c r="D63" t="inlineStr">
        <is>
          <t>1202</t>
        </is>
      </c>
      <c r="E63" t="inlineStr">
        <is>
          <t>Promoción al acceso a la justicia</t>
        </is>
      </c>
      <c r="F63" t="inlineStr">
        <is>
          <t>1202013</t>
        </is>
      </c>
      <c r="G63" t="inlineStr">
        <is>
          <t>Casa de justicia dotada</t>
        </is>
      </c>
      <c r="H63" t="inlineStr">
        <is>
          <t xml:space="preserve">Modelo de atención (infraestructura y equipamiento) para el acceso a la justicia donde se ofrecen servicios de información, orientación, resolución de conflictos para los ciudadanos y se aplican y ejecutan mecanismos de justicia formal y no formal existentes en el municipio, a través de la articulación de entidades del orden nacional y local. </t>
        </is>
      </c>
      <c r="I63" t="inlineStr">
        <is>
          <t>2024258170009</t>
        </is>
      </c>
      <c r="J63" s="99">
        <v>740000000</v>
      </c>
      <c r="K63" s="99">
        <v>170000000</v>
      </c>
      <c r="L63" s="99">
        <v>410000000</v>
      </c>
      <c r="M63" s="99">
        <v>80000000</v>
      </c>
      <c r="N63" s="99">
        <v>80000000</v>
      </c>
      <c r="O63" s="99" t="inlineStr">
        <is>
          <t xml:space="preserve"> </t>
        </is>
      </c>
      <c r="P63" s="99" t="inlineStr">
        <is>
          <t xml:space="preserve"> </t>
        </is>
      </c>
      <c r="Q63" s="99" t="inlineStr">
        <is>
          <t xml:space="preserve"> </t>
        </is>
      </c>
      <c r="R63" s="100" t="inlineStr">
        <is>
          <t xml:space="preserve"> </t>
        </is>
      </c>
      <c r="S63" t="inlineStr">
        <is>
          <t>No se encontró ejecución en CUIPO</t>
        </is>
      </c>
      <c r="T63" s="101">
        <v>27383560</v>
      </c>
      <c r="U63" s="101">
        <v>0</v>
      </c>
      <c r="V63" s="101">
        <v>0</v>
      </c>
      <c r="W63" s="102">
        <v>0</v>
      </c>
      <c r="X63" t="inlineStr">
        <is>
          <t>No se ejecutó en la vigencia</t>
        </is>
      </c>
    </row>
    <row r="64">
      <c r="A64" t="inlineStr">
        <is>
          <t>IP-60</t>
        </is>
      </c>
      <c r="B64" t="inlineStr">
        <is>
          <t>45</t>
        </is>
      </c>
      <c r="C64" t="inlineStr">
        <is>
          <t>Gobierno Territorial</t>
        </is>
      </c>
      <c r="D64" t="inlineStr">
        <is>
          <t>4599</t>
        </is>
      </c>
      <c r="E64" t="inlineStr">
        <is>
          <t>Fortalecimiento a la gestión y dirección de la administración pública territorial</t>
        </is>
      </c>
      <c r="F64" t="inlineStr">
        <is>
          <t>4599002</t>
        </is>
      </c>
      <c r="G64" t="inlineStr">
        <is>
          <t>Servicio de saneamiento fiscal y financiero</t>
        </is>
      </c>
      <c r="H64" t="inlineStr">
        <is>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is>
      </c>
      <c r="I64" t="inlineStr">
        <is>
          <t>2024258170042</t>
        </is>
      </c>
      <c r="J64" s="99">
        <v>7310989393</v>
      </c>
      <c r="K64" s="99">
        <v>1021144532</v>
      </c>
      <c r="L64" s="99">
        <v>2847354000</v>
      </c>
      <c r="M64" s="99">
        <v>1679263835</v>
      </c>
      <c r="N64" s="99">
        <v>1763227026</v>
      </c>
      <c r="O64" s="99" t="inlineStr">
        <is>
          <t xml:space="preserve"> </t>
        </is>
      </c>
      <c r="P64" s="99" t="inlineStr">
        <is>
          <t xml:space="preserve"> </t>
        </is>
      </c>
      <c r="Q64" s="99" t="inlineStr">
        <is>
          <t xml:space="preserve"> </t>
        </is>
      </c>
      <c r="R64" s="100" t="inlineStr">
        <is>
          <t xml:space="preserve"> </t>
        </is>
      </c>
      <c r="S64" t="inlineStr">
        <is>
          <t>No se encontró ejecución en CUIPO</t>
        </is>
      </c>
      <c r="T64" s="101">
        <v>1654999933</v>
      </c>
      <c r="U64" s="101">
        <v>867138000</v>
      </c>
      <c r="V64" s="101">
        <v>867138000</v>
      </c>
      <c r="W64" s="102">
        <v>0.304541690285086</v>
      </c>
      <c r="X64" t="inlineStr">
        <is>
          <t>Lo obligado está por debajo de lo programado en la vigencia</t>
        </is>
      </c>
    </row>
    <row r="65">
      <c r="A65" t="inlineStr">
        <is>
          <t>IP-61</t>
        </is>
      </c>
      <c r="B65" t="inlineStr">
        <is>
          <t>33</t>
        </is>
      </c>
      <c r="C65" t="inlineStr">
        <is>
          <t>Cultura</t>
        </is>
      </c>
      <c r="D65" t="inlineStr">
        <is>
          <t>3301</t>
        </is>
      </c>
      <c r="E65" t="inlineStr">
        <is>
          <t>Promoción y acceso efectivo a procesos culturales y artísticos</t>
        </is>
      </c>
      <c r="F65" t="inlineStr">
        <is>
          <t>3301068</t>
        </is>
      </c>
      <c r="G65" t="inlineStr">
        <is>
          <t>Servicio de mantenimiento de infraestructura cultural</t>
        </is>
      </c>
      <c r="H65" t="inlineStr">
        <is>
          <t>Ajuste o adaptación de una Infraestructura Cultural en la cual ya se estén desarrollando prácticas culturales, se busca garantizar la permanencia del inmueble original con las especificaciones requeridas. Este proceso puede o no tener reforzamiento estructural.</t>
        </is>
      </c>
      <c r="I65" t="inlineStr">
        <is>
          <t>2024258170044</t>
        </is>
      </c>
      <c r="J65" s="99">
        <v>1206884700</v>
      </c>
      <c r="K65" s="99">
        <v>0</v>
      </c>
      <c r="L65" s="99">
        <v>1206884700</v>
      </c>
      <c r="M65" s="99">
        <v>0</v>
      </c>
      <c r="N65" s="99">
        <v>0</v>
      </c>
      <c r="O65" s="99" t="inlineStr">
        <is>
          <t xml:space="preserve"> </t>
        </is>
      </c>
      <c r="P65" s="99" t="inlineStr">
        <is>
          <t xml:space="preserve"> </t>
        </is>
      </c>
      <c r="Q65" s="99" t="inlineStr">
        <is>
          <t xml:space="preserve"> </t>
        </is>
      </c>
      <c r="R65" s="100" t="inlineStr">
        <is>
          <t xml:space="preserve"> </t>
        </is>
      </c>
      <c r="S65" t="inlineStr">
        <is>
          <t>No se encontró ejecución en CUIPO</t>
        </is>
      </c>
      <c r="T65" s="101" t="inlineStr">
        <is>
          <t xml:space="preserve"> </t>
        </is>
      </c>
      <c r="U65" s="101" t="inlineStr">
        <is>
          <t xml:space="preserve"> </t>
        </is>
      </c>
      <c r="V65" s="101" t="inlineStr">
        <is>
          <t xml:space="preserve"> </t>
        </is>
      </c>
      <c r="W65" s="102" t="inlineStr">
        <is>
          <t xml:space="preserve"> </t>
        </is>
      </c>
      <c r="X65" t="inlineStr">
        <is>
          <t>No se encontró ejecución en CUIPO</t>
        </is>
      </c>
    </row>
    <row r="66">
      <c r="A66" t="inlineStr">
        <is>
          <t>IP-62</t>
        </is>
      </c>
      <c r="B66" t="inlineStr">
        <is>
          <t>24</t>
        </is>
      </c>
      <c r="C66" t="inlineStr">
        <is>
          <t>Transporte</t>
        </is>
      </c>
      <c r="D66" t="inlineStr">
        <is>
          <t>2402</t>
        </is>
      </c>
      <c r="E66" t="inlineStr">
        <is>
          <t>Infraestructura red vial regional</t>
        </is>
      </c>
      <c r="F66" t="inlineStr">
        <is>
          <t>2402034</t>
        </is>
      </c>
      <c r="G66" t="inlineStr">
        <is>
          <t>Ciclo infraestructura de la redsecundaria con mantenimiento</t>
        </is>
      </c>
      <c r="H66" t="inlineStr">
        <is>
          <t>Incluye el mantenimiento de las vías o secciones de la calzada destinadas al tránsito de bicicletas en forma exclusiva</t>
        </is>
      </c>
      <c r="I66" t="inlineStr">
        <is>
          <t>202400000006693</t>
        </is>
      </c>
      <c r="J66" s="99">
        <v>364491000</v>
      </c>
      <c r="K66" s="99">
        <v>0</v>
      </c>
      <c r="L66" s="99">
        <v>0</v>
      </c>
      <c r="M66" s="99">
        <v>364491000</v>
      </c>
      <c r="N66" s="99">
        <v>0</v>
      </c>
      <c r="O66" s="99" t="inlineStr">
        <is>
          <t xml:space="preserve"> </t>
        </is>
      </c>
      <c r="P66" s="99" t="inlineStr">
        <is>
          <t xml:space="preserve"> </t>
        </is>
      </c>
      <c r="Q66" s="99" t="inlineStr">
        <is>
          <t xml:space="preserve"> </t>
        </is>
      </c>
      <c r="R66" s="100" t="inlineStr">
        <is>
          <t xml:space="preserve"> </t>
        </is>
      </c>
      <c r="S66" t="inlineStr">
        <is>
          <t>No se encontró ejecución en CUIPO</t>
        </is>
      </c>
      <c r="T66" s="101" t="inlineStr">
        <is>
          <t xml:space="preserve"> </t>
        </is>
      </c>
      <c r="U66" s="101" t="inlineStr">
        <is>
          <t xml:space="preserve"> </t>
        </is>
      </c>
      <c r="V66" s="101" t="inlineStr">
        <is>
          <t xml:space="preserve"> </t>
        </is>
      </c>
      <c r="W66" s="102" t="inlineStr">
        <is>
          <t xml:space="preserve"> </t>
        </is>
      </c>
      <c r="X66" t="inlineStr">
        <is>
          <t>No se encontró ejecución en CUIPO</t>
        </is>
      </c>
    </row>
    <row r="67">
      <c r="A67" t="inlineStr">
        <is>
          <t>IP-63</t>
        </is>
      </c>
      <c r="B67" t="inlineStr">
        <is>
          <t>41</t>
        </is>
      </c>
      <c r="C67" t="inlineStr">
        <is>
          <t xml:space="preserve">Inclusión social y reconciliación </t>
        </is>
      </c>
      <c r="D67" t="inlineStr">
        <is>
          <t>4102</t>
        </is>
      </c>
      <c r="E67" t="inlineStr">
        <is>
          <t>Desarrollo integral de la primera infancia a la juventud, y fortalecimiento de las capacidades de las familias de niñas, niños y adolescentes</t>
        </is>
      </c>
      <c r="F67" t="inlineStr">
        <is>
          <t>4102047</t>
        </is>
      </c>
      <c r="G67" t="inlineStr">
        <is>
          <t>Servicios de asistencia técnica en políticas públicas de infancia, adolescencia y juventud</t>
        </is>
      </c>
      <c r="H67" t="inlineStr">
        <is>
          <t>Servicios orientados a fortalecer técnicamente a los agentes de la institucionalidad de infancia, adolescencia y juventud  en la formulación e implementación de sus propuestas de política pública, estrategias, planes y proyectos dirigidas a garantizar la protección integral de los niños, niñas, adolescentes y jóvenes.</t>
        </is>
      </c>
      <c r="I67" t="inlineStr">
        <is>
          <t>202400000006899</t>
        </is>
      </c>
      <c r="J67" s="99">
        <v>6000000</v>
      </c>
      <c r="K67" s="99">
        <v>0</v>
      </c>
      <c r="L67" s="99">
        <v>0</v>
      </c>
      <c r="M67" s="99">
        <v>3000000</v>
      </c>
      <c r="N67" s="99">
        <v>3000000</v>
      </c>
      <c r="O67" s="99" t="inlineStr">
        <is>
          <t xml:space="preserve"> </t>
        </is>
      </c>
      <c r="P67" s="99" t="inlineStr">
        <is>
          <t xml:space="preserve"> </t>
        </is>
      </c>
      <c r="Q67" s="99" t="inlineStr">
        <is>
          <t xml:space="preserve"> </t>
        </is>
      </c>
      <c r="R67" s="100" t="inlineStr">
        <is>
          <t xml:space="preserve"> </t>
        </is>
      </c>
      <c r="S67" t="inlineStr">
        <is>
          <t>No se encontró ejecución en CUIPO</t>
        </is>
      </c>
      <c r="T67" s="101" t="inlineStr">
        <is>
          <t xml:space="preserve"> </t>
        </is>
      </c>
      <c r="U67" s="101" t="inlineStr">
        <is>
          <t xml:space="preserve"> </t>
        </is>
      </c>
      <c r="V67" s="101" t="inlineStr">
        <is>
          <t xml:space="preserve"> </t>
        </is>
      </c>
      <c r="W67" s="102" t="inlineStr">
        <is>
          <t xml:space="preserve"> </t>
        </is>
      </c>
      <c r="X67" t="inlineStr">
        <is>
          <t>No se encontró ejecución en CUIPO</t>
        </is>
      </c>
    </row>
    <row r="68">
      <c r="A68" t="inlineStr">
        <is>
          <t>IP-64</t>
        </is>
      </c>
      <c r="B68" t="inlineStr">
        <is>
          <t>24</t>
        </is>
      </c>
      <c r="C68" t="inlineStr">
        <is>
          <t>Transporte</t>
        </is>
      </c>
      <c r="D68" t="inlineStr">
        <is>
          <t>2409</t>
        </is>
      </c>
      <c r="E68" t="inlineStr">
        <is>
          <t>Seguridad de transporte</t>
        </is>
      </c>
      <c r="F68" t="inlineStr">
        <is>
          <t>2409014</t>
        </is>
      </c>
      <c r="G68" t="inlineStr">
        <is>
          <t>Documentos de planeación</t>
        </is>
      </c>
      <c r="H68"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68" t="inlineStr">
        <is>
          <t>202500000004852</t>
        </is>
      </c>
      <c r="J68" s="99">
        <v>1000000000</v>
      </c>
      <c r="K68" s="99">
        <v>500000000</v>
      </c>
      <c r="L68" s="99">
        <v>500000000</v>
      </c>
      <c r="M68" s="99">
        <v>0</v>
      </c>
      <c r="N68" s="99">
        <v>0</v>
      </c>
      <c r="O68" s="99" t="inlineStr">
        <is>
          <t xml:space="preserve"> </t>
        </is>
      </c>
      <c r="P68" s="99" t="inlineStr">
        <is>
          <t xml:space="preserve"> </t>
        </is>
      </c>
      <c r="Q68" s="99" t="inlineStr">
        <is>
          <t xml:space="preserve"> </t>
        </is>
      </c>
      <c r="R68" s="100" t="inlineStr">
        <is>
          <t xml:space="preserve"> </t>
        </is>
      </c>
      <c r="S68" t="inlineStr">
        <is>
          <t>No se encontró ejecución en CUIPO</t>
        </is>
      </c>
      <c r="T68" s="101" t="inlineStr">
        <is>
          <t xml:space="preserve"> </t>
        </is>
      </c>
      <c r="U68" s="101" t="inlineStr">
        <is>
          <t xml:space="preserve"> </t>
        </is>
      </c>
      <c r="V68" s="101" t="inlineStr">
        <is>
          <t xml:space="preserve"> </t>
        </is>
      </c>
      <c r="W68" s="102" t="inlineStr">
        <is>
          <t xml:space="preserve"> </t>
        </is>
      </c>
      <c r="X68" t="inlineStr">
        <is>
          <t>No se encontró ejecución en CUIPO</t>
        </is>
      </c>
    </row>
    <row r="69">
      <c r="A69" t="inlineStr">
        <is>
          <t>IP-65</t>
        </is>
      </c>
      <c r="B69" t="inlineStr">
        <is>
          <t>41</t>
        </is>
      </c>
      <c r="C69" t="inlineStr">
        <is>
          <t xml:space="preserve">Inclusión social y reconciliación </t>
        </is>
      </c>
      <c r="D69" t="inlineStr">
        <is>
          <t>4102</t>
        </is>
      </c>
      <c r="E69" t="inlineStr">
        <is>
          <t>Desarrollo integral de la primera infancia a la juventud, y fortalecimiento de las capacidades de las familias de niñas, niños y adolescentes</t>
        </is>
      </c>
      <c r="F69" t="inlineStr">
        <is>
          <t>4102043</t>
        </is>
      </c>
      <c r="G69" t="inlineStr">
        <is>
          <t>Servicio de promoción de temas de dinámica relacional y desarrollo autónomo</t>
        </is>
      </c>
      <c r="H69" t="inlineStr">
        <is>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is>
      </c>
      <c r="I69" t="inlineStr">
        <is>
          <t>202400000006899</t>
        </is>
      </c>
      <c r="J69" s="99">
        <v>10000000</v>
      </c>
      <c r="K69" s="99">
        <v>0</v>
      </c>
      <c r="L69" s="99">
        <v>10000000</v>
      </c>
      <c r="M69" s="99">
        <v>0</v>
      </c>
      <c r="N69" s="99">
        <v>0</v>
      </c>
      <c r="O69" s="99" t="inlineStr">
        <is>
          <t xml:space="preserve"> </t>
        </is>
      </c>
      <c r="P69" s="99" t="inlineStr">
        <is>
          <t xml:space="preserve"> </t>
        </is>
      </c>
      <c r="Q69" s="99" t="inlineStr">
        <is>
          <t xml:space="preserve"> </t>
        </is>
      </c>
      <c r="R69" s="100" t="inlineStr">
        <is>
          <t xml:space="preserve"> </t>
        </is>
      </c>
      <c r="S69" t="inlineStr">
        <is>
          <t>No se encontró ejecución en CUIPO</t>
        </is>
      </c>
      <c r="T69" s="101" t="inlineStr">
        <is>
          <t xml:space="preserve"> </t>
        </is>
      </c>
      <c r="U69" s="101" t="inlineStr">
        <is>
          <t xml:space="preserve"> </t>
        </is>
      </c>
      <c r="V69" s="101" t="inlineStr">
        <is>
          <t xml:space="preserve"> </t>
        </is>
      </c>
      <c r="W69" s="102" t="inlineStr">
        <is>
          <t xml:space="preserve"> </t>
        </is>
      </c>
      <c r="X69" t="inlineStr">
        <is>
          <t>No se encontró ejecución en CUIPO</t>
        </is>
      </c>
    </row>
    <row r="70">
      <c r="A70" t="inlineStr">
        <is>
          <t>IP-66</t>
        </is>
      </c>
      <c r="B70" t="inlineStr">
        <is>
          <t>24</t>
        </is>
      </c>
      <c r="C70" t="inlineStr">
        <is>
          <t>Transporte</t>
        </is>
      </c>
      <c r="D70" t="inlineStr">
        <is>
          <t>2409</t>
        </is>
      </c>
      <c r="E70" t="inlineStr">
        <is>
          <t>Seguridad de transporte</t>
        </is>
      </c>
      <c r="F70" t="inlineStr">
        <is>
          <t>2409013</t>
        </is>
      </c>
      <c r="G70" t="inlineStr">
        <is>
          <t>Infraestructura de transporte para la seguridad vial</t>
        </is>
      </c>
      <c r="H70" t="inlineStr">
        <is>
          <t>Incluye la realización de obras físicas e instalación de señalización y de dispositivos para la seguridad vial.</t>
        </is>
      </c>
      <c r="I70" t="inlineStr">
        <is>
          <t>202400000006694</t>
        </is>
      </c>
      <c r="J70" s="99">
        <v>1000000000</v>
      </c>
      <c r="K70" s="99">
        <v>0</v>
      </c>
      <c r="L70" s="99">
        <v>850000000</v>
      </c>
      <c r="M70" s="99">
        <v>150000000</v>
      </c>
      <c r="N70" s="99">
        <v>0</v>
      </c>
      <c r="O70" s="99" t="inlineStr">
        <is>
          <t xml:space="preserve"> </t>
        </is>
      </c>
      <c r="P70" s="99" t="inlineStr">
        <is>
          <t xml:space="preserve"> </t>
        </is>
      </c>
      <c r="Q70" s="99" t="inlineStr">
        <is>
          <t xml:space="preserve"> </t>
        </is>
      </c>
      <c r="R70" s="100" t="inlineStr">
        <is>
          <t xml:space="preserve"> </t>
        </is>
      </c>
      <c r="S70" t="inlineStr">
        <is>
          <t>No se encontró ejecución en CUIPO</t>
        </is>
      </c>
      <c r="T70" s="101" t="inlineStr">
        <is>
          <t xml:space="preserve"> </t>
        </is>
      </c>
      <c r="U70" s="101" t="inlineStr">
        <is>
          <t xml:space="preserve"> </t>
        </is>
      </c>
      <c r="V70" s="101" t="inlineStr">
        <is>
          <t xml:space="preserve"> </t>
        </is>
      </c>
      <c r="W70" s="102" t="inlineStr">
        <is>
          <t xml:space="preserve"> </t>
        </is>
      </c>
      <c r="X70" t="inlineStr">
        <is>
          <t>No se encontró ejecución en CUIPO</t>
        </is>
      </c>
    </row>
    <row r="71">
      <c r="A71" t="inlineStr">
        <is>
          <t>IP-67</t>
        </is>
      </c>
      <c r="B71" t="inlineStr">
        <is>
          <t>40</t>
        </is>
      </c>
      <c r="C71" t="inlineStr">
        <is>
          <t>Vivienda, ciudad y territorio</t>
        </is>
      </c>
      <c r="D71" t="inlineStr">
        <is>
          <t>4001</t>
        </is>
      </c>
      <c r="E71" t="inlineStr">
        <is>
          <t>Acceso a soluciones de vivienda</t>
        </is>
      </c>
      <c r="F71" t="inlineStr">
        <is>
          <t>4001007</t>
        </is>
      </c>
      <c r="G71" t="inlineStr">
        <is>
          <t>Servicio de saneamiento y titulación de bienes fiscales</t>
        </is>
      </c>
      <c r="H71" t="inlineStr">
        <is>
          <t/>
        </is>
      </c>
      <c r="I71" t="inlineStr">
        <is>
          <t>2024258170043</t>
        </is>
      </c>
      <c r="J71" s="99">
        <v>937000000</v>
      </c>
      <c r="K71" s="99">
        <v>325000000</v>
      </c>
      <c r="L71" s="99">
        <v>554000000</v>
      </c>
      <c r="M71" s="99">
        <v>29000000</v>
      </c>
      <c r="N71" s="99">
        <v>29000000</v>
      </c>
      <c r="O71" s="99" t="inlineStr">
        <is>
          <t xml:space="preserve"> </t>
        </is>
      </c>
      <c r="P71" s="99" t="inlineStr">
        <is>
          <t xml:space="preserve"> </t>
        </is>
      </c>
      <c r="Q71" s="99" t="inlineStr">
        <is>
          <t xml:space="preserve"> </t>
        </is>
      </c>
      <c r="R71" s="100" t="inlineStr">
        <is>
          <t xml:space="preserve"> </t>
        </is>
      </c>
      <c r="S71" t="inlineStr">
        <is>
          <t>No se encontró ejecución en CUIPO</t>
        </is>
      </c>
      <c r="T71" s="101">
        <v>507750000</v>
      </c>
      <c r="U71" s="101">
        <v>136383762</v>
      </c>
      <c r="V71" s="101">
        <v>38500000</v>
      </c>
      <c r="W71" s="102">
        <v>0.246180075812274</v>
      </c>
      <c r="X71" t="inlineStr">
        <is>
          <t>Lo obligado está por debajo de lo programado en la vigencia</t>
        </is>
      </c>
    </row>
    <row r="72">
      <c r="A72" t="inlineStr">
        <is>
          <t>IP-71</t>
        </is>
      </c>
      <c r="B72" t="inlineStr">
        <is>
          <t>41</t>
        </is>
      </c>
      <c r="C72" t="inlineStr">
        <is>
          <t xml:space="preserve">Inclusión social y reconciliación </t>
        </is>
      </c>
      <c r="D72" t="inlineStr">
        <is>
          <t>4104</t>
        </is>
      </c>
      <c r="E72" t="inlineStr">
        <is>
          <t>Atención integral de población en situación permanente de desprotección social y/o familiar</t>
        </is>
      </c>
      <c r="F72" t="inlineStr">
        <is>
          <t>4104026</t>
        </is>
      </c>
      <c r="G72" t="inlineStr">
        <is>
          <t>Servicio de articulación de oferta social para la población habitante de calle</t>
        </is>
      </c>
      <c r="H72" t="inlineStr">
        <is>
          <t>Incluye el desarrollo de acciones encaminadas a generar dinámicas de atención conjunta, articulada y eficiente entre instituciones de carácter público y/o privado hacia la población habitante de la calle.</t>
        </is>
      </c>
      <c r="I72" t="inlineStr">
        <is>
          <t>202500000003427</t>
        </is>
      </c>
      <c r="J72" s="99">
        <v>39963000</v>
      </c>
      <c r="K72" s="99">
        <v>0</v>
      </c>
      <c r="L72" s="99">
        <v>0</v>
      </c>
      <c r="M72" s="99">
        <v>39963000</v>
      </c>
      <c r="N72" s="99">
        <v>0</v>
      </c>
      <c r="O72" s="99" t="inlineStr">
        <is>
          <t xml:space="preserve"> </t>
        </is>
      </c>
      <c r="P72" s="99" t="inlineStr">
        <is>
          <t xml:space="preserve"> </t>
        </is>
      </c>
      <c r="Q72" s="99" t="inlineStr">
        <is>
          <t xml:space="preserve"> </t>
        </is>
      </c>
      <c r="R72" s="100" t="inlineStr">
        <is>
          <t xml:space="preserve"> </t>
        </is>
      </c>
      <c r="S72" t="inlineStr">
        <is>
          <t>No se encontró ejecución en CUIPO</t>
        </is>
      </c>
      <c r="T72" s="101" t="inlineStr">
        <is>
          <t xml:space="preserve"> </t>
        </is>
      </c>
      <c r="U72" s="101" t="inlineStr">
        <is>
          <t xml:space="preserve"> </t>
        </is>
      </c>
      <c r="V72" s="101" t="inlineStr">
        <is>
          <t xml:space="preserve"> </t>
        </is>
      </c>
      <c r="W72" s="102" t="inlineStr">
        <is>
          <t xml:space="preserve"> </t>
        </is>
      </c>
      <c r="X72" t="inlineStr">
        <is>
          <t>No se encontró ejecución en CUIPO</t>
        </is>
      </c>
    </row>
    <row r="73">
      <c r="A73" t="inlineStr">
        <is>
          <t>IP-72</t>
        </is>
      </c>
      <c r="B73" t="inlineStr">
        <is>
          <t>35</t>
        </is>
      </c>
      <c r="C73" t="inlineStr">
        <is>
          <t>Comercio, industria y turismo</t>
        </is>
      </c>
      <c r="D73" t="inlineStr">
        <is>
          <t>3502</t>
        </is>
      </c>
      <c r="E73" t="inlineStr">
        <is>
          <t>Productividad y competitividad de las empresas colombianas</t>
        </is>
      </c>
      <c r="F73" t="inlineStr">
        <is>
          <t>3502046</t>
        </is>
      </c>
      <c r="G73" t="inlineStr">
        <is>
          <t>Servicio de promoción turística</t>
        </is>
      </c>
      <c r="H73" t="inlineStr">
        <is>
          <t>Corresponde a campañas de divulgación y promoción de los atractivos turísticos de la zonas, así como las actividades para el posicionamiento de las regiones, departamentos y municipios como destinos turísticos.</t>
        </is>
      </c>
      <c r="I73" t="inlineStr">
        <is>
          <t>2024258170013</t>
        </is>
      </c>
      <c r="J73" s="99">
        <v>146000000</v>
      </c>
      <c r="K73" s="99">
        <v>50000000</v>
      </c>
      <c r="L73" s="99">
        <v>80000000</v>
      </c>
      <c r="M73" s="99">
        <v>8000000</v>
      </c>
      <c r="N73" s="99">
        <v>8000000</v>
      </c>
      <c r="O73" s="99" t="inlineStr">
        <is>
          <t xml:space="preserve"> </t>
        </is>
      </c>
      <c r="P73" s="99" t="inlineStr">
        <is>
          <t xml:space="preserve"> </t>
        </is>
      </c>
      <c r="Q73" s="99" t="inlineStr">
        <is>
          <t xml:space="preserve"> </t>
        </is>
      </c>
      <c r="R73" s="100" t="inlineStr">
        <is>
          <t xml:space="preserve"> </t>
        </is>
      </c>
      <c r="S73" t="inlineStr">
        <is>
          <t>No se encontró ejecución en CUIPO</t>
        </is>
      </c>
      <c r="T73" s="101">
        <v>22666667</v>
      </c>
      <c r="U73" s="101">
        <v>8000000</v>
      </c>
      <c r="V73" s="101">
        <v>8000000</v>
      </c>
      <c r="W73" s="102">
        <v>0.1</v>
      </c>
      <c r="X73" t="inlineStr">
        <is>
          <t>Lo obligado está por debajo de lo programado en la vigencia</t>
        </is>
      </c>
    </row>
    <row r="74">
      <c r="A74" t="inlineStr">
        <is>
          <t>IP-73</t>
        </is>
      </c>
      <c r="B74" t="inlineStr">
        <is>
          <t>45</t>
        </is>
      </c>
      <c r="C74" t="inlineStr">
        <is>
          <t>Gobierno Territorial</t>
        </is>
      </c>
      <c r="D74" t="inlineStr">
        <is>
          <t>4599</t>
        </is>
      </c>
      <c r="E74" t="inlineStr">
        <is>
          <t>Fortalecimiento a la gestión y dirección de la administración pública territorial</t>
        </is>
      </c>
      <c r="F74" t="inlineStr">
        <is>
          <t>4599032</t>
        </is>
      </c>
      <c r="G74" t="inlineStr">
        <is>
          <t>Documentos de política</t>
        </is>
      </c>
      <c r="H74" t="inlineStr">
        <is>
          <t>Documentos cuyo objetivo es dar una orientación frente a las acciones que el Estado debe realizar en el marco de una tema específico con el fin de suplir necesidades de interés público, materializables en los diferentes instrumentos de planeación y presupuestación.</t>
        </is>
      </c>
      <c r="I74" t="inlineStr">
        <is>
          <t>202400000006673</t>
        </is>
      </c>
      <c r="J74" s="99">
        <v>80000000</v>
      </c>
      <c r="K74" s="99">
        <v>0</v>
      </c>
      <c r="L74" s="99">
        <v>75000000</v>
      </c>
      <c r="M74" s="99">
        <v>2500000</v>
      </c>
      <c r="N74" s="99">
        <v>2500000</v>
      </c>
      <c r="O74" s="99" t="inlineStr">
        <is>
          <t xml:space="preserve"> </t>
        </is>
      </c>
      <c r="P74" s="99" t="inlineStr">
        <is>
          <t xml:space="preserve"> </t>
        </is>
      </c>
      <c r="Q74" s="99" t="inlineStr">
        <is>
          <t xml:space="preserve"> </t>
        </is>
      </c>
      <c r="R74" s="100" t="inlineStr">
        <is>
          <t xml:space="preserve"> </t>
        </is>
      </c>
      <c r="S74" t="inlineStr">
        <is>
          <t>No se encontró ejecución en CUIPO</t>
        </is>
      </c>
      <c r="T74" s="101" t="inlineStr">
        <is>
          <t xml:space="preserve"> </t>
        </is>
      </c>
      <c r="U74" s="101" t="inlineStr">
        <is>
          <t xml:space="preserve"> </t>
        </is>
      </c>
      <c r="V74" s="101" t="inlineStr">
        <is>
          <t xml:space="preserve"> </t>
        </is>
      </c>
      <c r="W74" s="102" t="inlineStr">
        <is>
          <t xml:space="preserve"> </t>
        </is>
      </c>
      <c r="X74" t="inlineStr">
        <is>
          <t>No se encontró ejecución en CUIPO</t>
        </is>
      </c>
    </row>
    <row r="75">
      <c r="A75" t="inlineStr">
        <is>
          <t>IP-74</t>
        </is>
      </c>
      <c r="B75" t="inlineStr">
        <is>
          <t>35</t>
        </is>
      </c>
      <c r="C75" t="inlineStr">
        <is>
          <t>Comercio, industria y turismo</t>
        </is>
      </c>
      <c r="D75" t="inlineStr">
        <is>
          <t>3502</t>
        </is>
      </c>
      <c r="E75" t="inlineStr">
        <is>
          <t>Productividad y competitividad de las empresas colombianas</t>
        </is>
      </c>
      <c r="F75" t="inlineStr">
        <is>
          <t>3502004</t>
        </is>
      </c>
      <c r="G75" t="inlineStr">
        <is>
          <t>Servicio de apoyo financiero para el mejoramiento de productos o procesos</t>
        </is>
      </c>
      <c r="H75" t="inlineStr">
        <is>
          <t>Con este servicio se busca financiar iniciativas de mejoramiento en la calidad de los productos y Servicio, así como en el mejoramiento de procesos productivos de las empresas nacionales.</t>
        </is>
      </c>
      <c r="I75" t="inlineStr">
        <is>
          <t>2024258170013</t>
        </is>
      </c>
      <c r="J75" s="99">
        <v>110000000</v>
      </c>
      <c r="K75" s="99">
        <v>50000000</v>
      </c>
      <c r="L75" s="99">
        <v>50000000</v>
      </c>
      <c r="M75" s="99">
        <v>5000000</v>
      </c>
      <c r="N75" s="99">
        <v>5000000</v>
      </c>
      <c r="O75" s="99" t="inlineStr">
        <is>
          <t xml:space="preserve"> </t>
        </is>
      </c>
      <c r="P75" s="99" t="inlineStr">
        <is>
          <t xml:space="preserve"> </t>
        </is>
      </c>
      <c r="Q75" s="99" t="inlineStr">
        <is>
          <t xml:space="preserve"> </t>
        </is>
      </c>
      <c r="R75" s="100" t="inlineStr">
        <is>
          <t xml:space="preserve"> </t>
        </is>
      </c>
      <c r="S75" t="inlineStr">
        <is>
          <t>No se encontró ejecución en CUIPO</t>
        </is>
      </c>
      <c r="T75" s="101" t="inlineStr">
        <is>
          <t xml:space="preserve"> </t>
        </is>
      </c>
      <c r="U75" s="101" t="inlineStr">
        <is>
          <t xml:space="preserve"> </t>
        </is>
      </c>
      <c r="V75" s="101" t="inlineStr">
        <is>
          <t xml:space="preserve"> </t>
        </is>
      </c>
      <c r="W75" s="102" t="inlineStr">
        <is>
          <t xml:space="preserve"> </t>
        </is>
      </c>
      <c r="X75" t="inlineStr">
        <is>
          <t>No se encontró ejecución en CUIPO</t>
        </is>
      </c>
    </row>
    <row r="76">
      <c r="A76" t="inlineStr">
        <is>
          <t>IP-75</t>
        </is>
      </c>
      <c r="B76" t="inlineStr">
        <is>
          <t>40</t>
        </is>
      </c>
      <c r="C76" t="inlineStr">
        <is>
          <t>Vivienda, ciudad y territorio</t>
        </is>
      </c>
      <c r="D76" t="inlineStr">
        <is>
          <t>4001</t>
        </is>
      </c>
      <c r="E76" t="inlineStr">
        <is>
          <t>Acceso a soluciones de vivienda</t>
        </is>
      </c>
      <c r="F76" t="inlineStr">
        <is>
          <t>4001032</t>
        </is>
      </c>
      <c r="G76" t="inlineStr">
        <is>
          <t>Servicio de apoyo financiero para mejoramiento de vivienda</t>
        </is>
      </c>
      <c r="H76" t="inlineStr">
        <is>
          <t>Corresponde al apoyo financiero a través de la asignación de un subsidio familiar de vivienda de interés social para mejoramiento, reparación y/o reconstrucción.</t>
        </is>
      </c>
      <c r="I76" t="inlineStr">
        <is>
          <t>2024258170043</t>
        </is>
      </c>
      <c r="J76" s="99">
        <v>5271536124</v>
      </c>
      <c r="K76" s="99">
        <v>1368768062</v>
      </c>
      <c r="L76" s="99">
        <v>3402768062</v>
      </c>
      <c r="M76" s="99">
        <v>250000000</v>
      </c>
      <c r="N76" s="99">
        <v>250000000</v>
      </c>
      <c r="O76" s="99" t="inlineStr">
        <is>
          <t xml:space="preserve"> </t>
        </is>
      </c>
      <c r="P76" s="99" t="inlineStr">
        <is>
          <t xml:space="preserve"> </t>
        </is>
      </c>
      <c r="Q76" s="99" t="inlineStr">
        <is>
          <t xml:space="preserve"> </t>
        </is>
      </c>
      <c r="R76" s="100" t="inlineStr">
        <is>
          <t xml:space="preserve"> </t>
        </is>
      </c>
      <c r="S76" t="inlineStr">
        <is>
          <t>No se encontró ejecución en CUIPO</t>
        </is>
      </c>
      <c r="T76" s="101">
        <v>42480000</v>
      </c>
      <c r="U76" s="101">
        <v>25920000</v>
      </c>
      <c r="V76" s="101">
        <v>25920000</v>
      </c>
      <c r="W76" s="102">
        <v>0.00761732787181661</v>
      </c>
      <c r="X76" t="inlineStr">
        <is>
          <t>Lo obligado está por debajo de lo programado en la vigencia</t>
        </is>
      </c>
    </row>
    <row r="77">
      <c r="A77" t="inlineStr">
        <is>
          <t>IP-76</t>
        </is>
      </c>
      <c r="B77" t="inlineStr">
        <is>
          <t>22</t>
        </is>
      </c>
      <c r="C77" t="inlineStr">
        <is>
          <t>Educación</t>
        </is>
      </c>
      <c r="D77" t="inlineStr">
        <is>
          <t>2202</t>
        </is>
      </c>
      <c r="E77" t="inlineStr">
        <is>
          <t>Calidad y fomento de la educación superior</t>
        </is>
      </c>
      <c r="F77" t="inlineStr">
        <is>
          <t>2202067</t>
        </is>
      </c>
      <c r="G77" t="inlineStr">
        <is>
          <t>Servicio de articulación entre la educación superior  y el sector productivo.</t>
        </is>
      </c>
      <c r="H77" t="inlineStr">
        <is>
          <t>Incluye el desarrollo de estrategias que vinculen la educación superior y/ con el sector productivo, que promuevan la pertinencia en la educación</t>
        </is>
      </c>
      <c r="I77" t="inlineStr">
        <is>
          <t>202400000005715</t>
        </is>
      </c>
      <c r="J77" s="99">
        <v>15214500</v>
      </c>
      <c r="K77" s="99">
        <v>15214500</v>
      </c>
      <c r="L77" s="99">
        <v>0</v>
      </c>
      <c r="M77" s="99">
        <v>0</v>
      </c>
      <c r="N77" s="99">
        <v>0</v>
      </c>
      <c r="O77" s="99" t="inlineStr">
        <is>
          <t xml:space="preserve"> </t>
        </is>
      </c>
      <c r="P77" s="99" t="inlineStr">
        <is>
          <t xml:space="preserve"> </t>
        </is>
      </c>
      <c r="Q77" s="99" t="inlineStr">
        <is>
          <t xml:space="preserve"> </t>
        </is>
      </c>
      <c r="R77" s="100" t="inlineStr">
        <is>
          <t xml:space="preserve"> </t>
        </is>
      </c>
      <c r="S77" t="inlineStr">
        <is>
          <t>No se encontró ejecución en CUIPO</t>
        </is>
      </c>
      <c r="T77" s="101" t="inlineStr">
        <is>
          <t xml:space="preserve"> </t>
        </is>
      </c>
      <c r="U77" s="101" t="inlineStr">
        <is>
          <t xml:space="preserve"> </t>
        </is>
      </c>
      <c r="V77" s="101" t="inlineStr">
        <is>
          <t xml:space="preserve"> </t>
        </is>
      </c>
      <c r="W77" s="102" t="inlineStr">
        <is>
          <t xml:space="preserve"> </t>
        </is>
      </c>
      <c r="X77" t="inlineStr">
        <is>
          <t>No se encontró ejecución en CUIPO</t>
        </is>
      </c>
    </row>
    <row r="78">
      <c r="A78" t="inlineStr">
        <is>
          <t>IP-77</t>
        </is>
      </c>
      <c r="B78" t="inlineStr">
        <is>
          <t>04</t>
        </is>
      </c>
      <c r="C78" t="inlineStr">
        <is>
          <t>Información Estadística</t>
        </is>
      </c>
      <c r="D78" t="inlineStr">
        <is>
          <t>0406</t>
        </is>
      </c>
      <c r="E78" t="inlineStr">
        <is>
          <t>Generación de la información geográfica del territorio nacional</t>
        </is>
      </c>
      <c r="F78" t="inlineStr">
        <is>
          <t>0406005</t>
        </is>
      </c>
      <c r="G78" t="inlineStr">
        <is>
          <t>Servicios de asistencia técnica</t>
        </is>
      </c>
      <c r="H78" t="inlineStr">
        <is>
          <t xml:space="preserve">Corresponde a las acciones por medio de las cuales se brinda asistencia técnica (asesoría, consultorías, cooperación técnica nacional e internacional) a las entidades territoriales, nacionales e internacionales de los diferentes sectores para una mejor gestión de los recursos geográficos conforme al marco de referencia geoespacial internacional. </t>
        </is>
      </c>
      <c r="I78" t="inlineStr">
        <is>
          <t>202400000005453</t>
        </is>
      </c>
      <c r="J78" s="99">
        <v>324000000</v>
      </c>
      <c r="K78" s="99">
        <v>20800000</v>
      </c>
      <c r="L78" s="99">
        <v>260000000</v>
      </c>
      <c r="M78" s="99">
        <v>21600000</v>
      </c>
      <c r="N78" s="99">
        <v>21600000</v>
      </c>
      <c r="O78" s="99" t="inlineStr">
        <is>
          <t xml:space="preserve"> </t>
        </is>
      </c>
      <c r="P78" s="99" t="inlineStr">
        <is>
          <t xml:space="preserve"> </t>
        </is>
      </c>
      <c r="Q78" s="99" t="inlineStr">
        <is>
          <t xml:space="preserve"> </t>
        </is>
      </c>
      <c r="R78" s="100" t="inlineStr">
        <is>
          <t xml:space="preserve"> </t>
        </is>
      </c>
      <c r="S78" t="inlineStr">
        <is>
          <t>No se encontró ejecución en CUIPO</t>
        </is>
      </c>
      <c r="T78" s="101" t="inlineStr">
        <is>
          <t xml:space="preserve"> </t>
        </is>
      </c>
      <c r="U78" s="101" t="inlineStr">
        <is>
          <t xml:space="preserve"> </t>
        </is>
      </c>
      <c r="V78" s="101" t="inlineStr">
        <is>
          <t xml:space="preserve"> </t>
        </is>
      </c>
      <c r="W78" s="102" t="inlineStr">
        <is>
          <t xml:space="preserve"> </t>
        </is>
      </c>
      <c r="X78" t="inlineStr">
        <is>
          <t>No se encontró ejecución en CUIPO</t>
        </is>
      </c>
    </row>
    <row r="79">
      <c r="A79" t="inlineStr">
        <is>
          <t>IP-78</t>
        </is>
      </c>
      <c r="B79" t="inlineStr">
        <is>
          <t>24</t>
        </is>
      </c>
      <c r="C79" t="inlineStr">
        <is>
          <t>Transporte</t>
        </is>
      </c>
      <c r="D79" t="inlineStr">
        <is>
          <t>2409</t>
        </is>
      </c>
      <c r="E79" t="inlineStr">
        <is>
          <t>Seguridad de transporte</t>
        </is>
      </c>
      <c r="F79" t="inlineStr">
        <is>
          <t>2409029</t>
        </is>
      </c>
      <c r="G79" t="inlineStr">
        <is>
          <t>Documentos metodológicos</t>
        </is>
      </c>
      <c r="H79" t="inlineStr">
        <is>
          <t>Documentos cuyo objetivo es describir y explicar métodos, herramientas analíticas, o procesos que determinan un camino o forma de realizar un análisis en particular.</t>
        </is>
      </c>
      <c r="I79" t="inlineStr">
        <is>
          <t>202500000004852</t>
        </is>
      </c>
      <c r="J79" s="99">
        <v>0</v>
      </c>
      <c r="K79" s="99">
        <v>0</v>
      </c>
      <c r="L79" s="99">
        <v>0</v>
      </c>
      <c r="M79" s="99">
        <v>0</v>
      </c>
      <c r="N79" s="99">
        <v>0</v>
      </c>
      <c r="O79" s="99" t="inlineStr">
        <is>
          <t xml:space="preserve"> </t>
        </is>
      </c>
      <c r="P79" s="99" t="inlineStr">
        <is>
          <t xml:space="preserve"> </t>
        </is>
      </c>
      <c r="Q79" s="99" t="inlineStr">
        <is>
          <t xml:space="preserve"> </t>
        </is>
      </c>
      <c r="R79" s="100" t="inlineStr">
        <is>
          <t xml:space="preserve"> </t>
        </is>
      </c>
      <c r="S79" t="inlineStr">
        <is>
          <t>No se encontró ejecución en CUIPO</t>
        </is>
      </c>
      <c r="T79" s="101" t="inlineStr">
        <is>
          <t xml:space="preserve"> </t>
        </is>
      </c>
      <c r="U79" s="101" t="inlineStr">
        <is>
          <t xml:space="preserve"> </t>
        </is>
      </c>
      <c r="V79" s="101" t="inlineStr">
        <is>
          <t xml:space="preserve"> </t>
        </is>
      </c>
      <c r="W79" s="102" t="inlineStr">
        <is>
          <t xml:space="preserve"> </t>
        </is>
      </c>
      <c r="X79" t="inlineStr">
        <is>
          <t>No se encontró ejecución en CUIPO</t>
        </is>
      </c>
    </row>
    <row r="80">
      <c r="A80" t="inlineStr">
        <is>
          <t>IP-79</t>
        </is>
      </c>
      <c r="B80" t="inlineStr">
        <is>
          <t>32</t>
        </is>
      </c>
      <c r="C80" t="inlineStr">
        <is>
          <t>Ambiente y desarrollo sostenible</t>
        </is>
      </c>
      <c r="D80" t="inlineStr">
        <is>
          <t>3202</t>
        </is>
      </c>
      <c r="E80" t="inlineStr">
        <is>
          <t>Conservación de la biodiversidad y sus servicios ecosistémicos</t>
        </is>
      </c>
      <c r="F80" t="inlineStr">
        <is>
          <t>3202046</t>
        </is>
      </c>
      <c r="G80" t="inlineStr">
        <is>
          <t>Servicio de control y vigilancia al tráfico ilegal de especies</t>
        </is>
      </c>
      <c r="H80" t="inlineStr">
        <is>
          <t>Incluye acciones desarrolladas por las Autoridades Ambientales (Unidad Administrativa Especial del Sistema de Parques Nacionales Naturales, las Corporaciones Autónomas Regionales y de Desarrollo Sostenible y las Autoridades Ambientales de los Grandes Centros Urbanos que trata el artículo 66 de La Ley 99 de 1993), orientadas a la atención de todas aquellas actividades ilícitas de aprovechamiento, movilización, tenencia, uso y comercialización de especímenes silvestres.</t>
        </is>
      </c>
      <c r="I80" t="inlineStr">
        <is>
          <t>2024258170026</t>
        </is>
      </c>
      <c r="J80" s="99">
        <v>13000000</v>
      </c>
      <c r="K80" s="99">
        <v>0</v>
      </c>
      <c r="L80" s="99">
        <v>10000000</v>
      </c>
      <c r="M80" s="99">
        <v>2000000</v>
      </c>
      <c r="N80" s="99">
        <v>1000000</v>
      </c>
      <c r="O80" s="99" t="inlineStr">
        <is>
          <t xml:space="preserve"> </t>
        </is>
      </c>
      <c r="P80" s="99" t="inlineStr">
        <is>
          <t xml:space="preserve"> </t>
        </is>
      </c>
      <c r="Q80" s="99" t="inlineStr">
        <is>
          <t xml:space="preserve"> </t>
        </is>
      </c>
      <c r="R80" s="100" t="inlineStr">
        <is>
          <t xml:space="preserve"> </t>
        </is>
      </c>
      <c r="S80" t="inlineStr">
        <is>
          <t>No se encontró ejecución en CUIPO</t>
        </is>
      </c>
      <c r="T80" s="101">
        <v>9666306</v>
      </c>
      <c r="U80" s="101">
        <v>0</v>
      </c>
      <c r="V80" s="101">
        <v>0</v>
      </c>
      <c r="W80" s="102">
        <v>0</v>
      </c>
      <c r="X80" t="inlineStr">
        <is>
          <t>No se ejecutó en la vigencia</t>
        </is>
      </c>
    </row>
    <row r="81">
      <c r="A81" t="inlineStr">
        <is>
          <t>IP-81</t>
        </is>
      </c>
      <c r="B81" t="inlineStr">
        <is>
          <t>43</t>
        </is>
      </c>
      <c r="C81" t="inlineStr">
        <is>
          <t>Deporte y Recreación</t>
        </is>
      </c>
      <c r="D81" t="inlineStr">
        <is>
          <t>4302</t>
        </is>
      </c>
      <c r="E81" t="inlineStr">
        <is>
          <t>Formación y preparación de deportistas</t>
        </is>
      </c>
      <c r="F81" t="inlineStr">
        <is>
          <t>4302028</t>
        </is>
      </c>
      <c r="G81" t="inlineStr">
        <is>
          <t>Coliseos cubiertos mejorados</t>
        </is>
      </c>
      <c r="H81" t="inlineStr">
        <is>
          <t>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t>
        </is>
      </c>
      <c r="I81" t="inlineStr">
        <is>
          <t>202500000016367</t>
        </is>
      </c>
      <c r="J81" s="99">
        <v>5171323640</v>
      </c>
      <c r="K81" s="99">
        <v>2585661820</v>
      </c>
      <c r="L81" s="99">
        <v>2585661820</v>
      </c>
      <c r="M81" s="99">
        <v>0</v>
      </c>
      <c r="N81" s="99">
        <v>0</v>
      </c>
      <c r="O81" s="99" t="inlineStr">
        <is>
          <t xml:space="preserve"> </t>
        </is>
      </c>
      <c r="P81" s="99" t="inlineStr">
        <is>
          <t xml:space="preserve"> </t>
        </is>
      </c>
      <c r="Q81" s="99" t="inlineStr">
        <is>
          <t xml:space="preserve"> </t>
        </is>
      </c>
      <c r="R81" s="100" t="inlineStr">
        <is>
          <t xml:space="preserve"> </t>
        </is>
      </c>
      <c r="S81" t="inlineStr">
        <is>
          <t>No se encontró ejecución en CUIPO</t>
        </is>
      </c>
      <c r="T81" s="101" t="inlineStr">
        <is>
          <t xml:space="preserve"> </t>
        </is>
      </c>
      <c r="U81" s="101" t="inlineStr">
        <is>
          <t xml:space="preserve"> </t>
        </is>
      </c>
      <c r="V81" s="101" t="inlineStr">
        <is>
          <t xml:space="preserve"> </t>
        </is>
      </c>
      <c r="W81" s="102" t="inlineStr">
        <is>
          <t xml:space="preserve"> </t>
        </is>
      </c>
      <c r="X81" t="inlineStr">
        <is>
          <t>No se encontró ejecución en CUIPO</t>
        </is>
      </c>
    </row>
    <row r="82">
      <c r="A82" t="inlineStr">
        <is>
          <t>IP-82</t>
        </is>
      </c>
      <c r="B82" t="inlineStr">
        <is>
          <t>04</t>
        </is>
      </c>
      <c r="C82" t="inlineStr">
        <is>
          <t>Información Estadística</t>
        </is>
      </c>
      <c r="D82" t="inlineStr">
        <is>
          <t>0401</t>
        </is>
      </c>
      <c r="E82" t="inlineStr">
        <is>
          <t>Levantamiento y actualización de información estadística de calidad</t>
        </is>
      </c>
      <c r="F82" t="inlineStr">
        <is>
          <t>0401102</t>
        </is>
      </c>
      <c r="G82" t="inlineStr">
        <is>
          <t>Servicio de información implementado</t>
        </is>
      </c>
      <c r="H82" t="inlineStr">
        <is>
          <t>Corresponde al proceso que asegura la disposición de la información de manera accesible, confiable y oportuna.</t>
        </is>
      </c>
      <c r="I82" t="inlineStr">
        <is>
          <t>2024258170030</t>
        </is>
      </c>
      <c r="J82" s="99">
        <v>217000000</v>
      </c>
      <c r="K82" s="99">
        <v>25000000</v>
      </c>
      <c r="L82" s="99">
        <v>168000000</v>
      </c>
      <c r="M82" s="99">
        <v>12000000</v>
      </c>
      <c r="N82" s="99">
        <v>12000000</v>
      </c>
      <c r="O82" s="99" t="inlineStr">
        <is>
          <t xml:space="preserve"> </t>
        </is>
      </c>
      <c r="P82" s="99" t="inlineStr">
        <is>
          <t xml:space="preserve"> </t>
        </is>
      </c>
      <c r="Q82" s="99" t="inlineStr">
        <is>
          <t xml:space="preserve"> </t>
        </is>
      </c>
      <c r="R82" s="100" t="inlineStr">
        <is>
          <t xml:space="preserve"> </t>
        </is>
      </c>
      <c r="S82" t="inlineStr">
        <is>
          <t>No se encontró ejecución en CUIPO</t>
        </is>
      </c>
      <c r="T82" s="101">
        <v>56700000</v>
      </c>
      <c r="U82" s="101">
        <v>37800000</v>
      </c>
      <c r="V82" s="101">
        <v>37800000</v>
      </c>
      <c r="W82" s="102">
        <v>0.225</v>
      </c>
      <c r="X82" t="inlineStr">
        <is>
          <t>Lo obligado está por debajo de lo programado en la vigencia</t>
        </is>
      </c>
    </row>
    <row r="83">
      <c r="A83" t="inlineStr">
        <is>
          <t>IP-83</t>
        </is>
      </c>
      <c r="B83" t="inlineStr">
        <is>
          <t>32</t>
        </is>
      </c>
      <c r="C83" t="inlineStr">
        <is>
          <t>Ambiente y desarrollo sostenible</t>
        </is>
      </c>
      <c r="D83" t="inlineStr">
        <is>
          <t>3201</t>
        </is>
      </c>
      <c r="E83" t="inlineStr">
        <is>
          <t>Fortalecimiento del desempeño ambiental de los sectores productivos</t>
        </is>
      </c>
      <c r="F83" t="inlineStr">
        <is>
          <t>3201009</t>
        </is>
      </c>
      <c r="G83" t="inlineStr">
        <is>
          <t>Servicio de seguimiento y evaluación de los programas de recolección de residuos pos consumo</t>
        </is>
      </c>
      <c r="H83" t="inlineStr">
        <is>
          <t>Seguimiento y evaluación realizada a programas que sean sometidos a sistemas de gestión diferencial y evitar que la disposición final se realice de manera conjunta con los residuos de origen doméstico.</t>
        </is>
      </c>
      <c r="I83" t="inlineStr">
        <is>
          <t>2024258170055</t>
        </is>
      </c>
      <c r="J83" s="99">
        <v>105000000</v>
      </c>
      <c r="K83" s="99">
        <v>40000000</v>
      </c>
      <c r="L83" s="99">
        <v>60000000</v>
      </c>
      <c r="M83" s="99">
        <v>2500000</v>
      </c>
      <c r="N83" s="99">
        <v>2500000</v>
      </c>
      <c r="O83" s="99" t="inlineStr">
        <is>
          <t xml:space="preserve"> </t>
        </is>
      </c>
      <c r="P83" s="99" t="inlineStr">
        <is>
          <t xml:space="preserve"> </t>
        </is>
      </c>
      <c r="Q83" s="99" t="inlineStr">
        <is>
          <t xml:space="preserve"> </t>
        </is>
      </c>
      <c r="R83" s="100" t="inlineStr">
        <is>
          <t xml:space="preserve"> </t>
        </is>
      </c>
      <c r="S83" t="inlineStr">
        <is>
          <t>No se encontró ejecución en CUIPO</t>
        </is>
      </c>
      <c r="T83" s="101">
        <v>7770699</v>
      </c>
      <c r="U83" s="101">
        <v>4055616</v>
      </c>
      <c r="V83" s="101">
        <v>4055616</v>
      </c>
      <c r="W83" s="102">
        <v>0.0675936</v>
      </c>
      <c r="X83" t="inlineStr">
        <is>
          <t>Lo obligado está por debajo de lo programado en la vigencia</t>
        </is>
      </c>
    </row>
    <row r="84">
      <c r="A84" t="inlineStr">
        <is>
          <t>IP-84</t>
        </is>
      </c>
      <c r="B84" t="inlineStr">
        <is>
          <t>32</t>
        </is>
      </c>
      <c r="C84" t="inlineStr">
        <is>
          <t>Ambiente y desarrollo sostenible</t>
        </is>
      </c>
      <c r="D84" t="inlineStr">
        <is>
          <t>3201</t>
        </is>
      </c>
      <c r="E84" t="inlineStr">
        <is>
          <t>Fortalecimiento del desempeño ambiental de los sectores productivos</t>
        </is>
      </c>
      <c r="F84" t="inlineStr">
        <is>
          <t>3201005</t>
        </is>
      </c>
      <c r="G84" t="inlineStr">
        <is>
          <t>Documentos de estudios técnicos para el fortalecimiento del desempeño ambiental de los sectores productivos</t>
        </is>
      </c>
      <c r="H84" t="inlineStr">
        <is>
          <t xml:space="preserve">Incluye la formulación de estudios en los cuales se realiza la evaluación ambiental estratégica </t>
        </is>
      </c>
      <c r="I84" t="inlineStr">
        <is>
          <t>2024258170055</t>
        </is>
      </c>
      <c r="J84" s="99">
        <v>182268000</v>
      </c>
      <c r="K84" s="99">
        <v>51768000</v>
      </c>
      <c r="L84" s="99">
        <v>110500000</v>
      </c>
      <c r="M84" s="99">
        <v>10000000</v>
      </c>
      <c r="N84" s="99">
        <v>10000000</v>
      </c>
      <c r="O84" s="99" t="inlineStr">
        <is>
          <t xml:space="preserve"> </t>
        </is>
      </c>
      <c r="P84" s="99" t="inlineStr">
        <is>
          <t xml:space="preserve"> </t>
        </is>
      </c>
      <c r="Q84" s="99" t="inlineStr">
        <is>
          <t xml:space="preserve"> </t>
        </is>
      </c>
      <c r="R84" s="100" t="inlineStr">
        <is>
          <t xml:space="preserve"> </t>
        </is>
      </c>
      <c r="S84" t="inlineStr">
        <is>
          <t>No se encontró ejecución en CUIPO</t>
        </is>
      </c>
      <c r="T84" s="101">
        <v>66566400</v>
      </c>
      <c r="U84" s="101">
        <v>46347200</v>
      </c>
      <c r="V84" s="101">
        <v>46347200</v>
      </c>
      <c r="W84" s="102">
        <v>0.419431674208145</v>
      </c>
      <c r="X84" t="inlineStr">
        <is>
          <t>Lo obligado está por debajo de lo programado en la vigencia</t>
        </is>
      </c>
    </row>
    <row r="85">
      <c r="A85" t="inlineStr">
        <is>
          <t>IP-86</t>
        </is>
      </c>
      <c r="B85" t="inlineStr">
        <is>
          <t>45</t>
        </is>
      </c>
      <c r="C85" t="inlineStr">
        <is>
          <t>Gobierno Territorial</t>
        </is>
      </c>
      <c r="D85" t="inlineStr">
        <is>
          <t>4501</t>
        </is>
      </c>
      <c r="E85" t="inlineStr">
        <is>
          <t>Fortalecimiento de la convivencia y la seguridad ciudadana</t>
        </is>
      </c>
      <c r="F85" t="inlineStr">
        <is>
          <t>4501004</t>
        </is>
      </c>
      <c r="G85" t="inlineStr">
        <is>
          <t>Servicio de promoción de convivencia y no repetición</t>
        </is>
      </c>
      <c r="H85" t="inlineStr">
        <is>
          <t>Incluye acciones e iniciativas de carácter institucional e interinstitucional que promuevan la desactivación de los patrones del conflicto armado interno, la construcción de la cultura de respeto y tolerancia en democracia, en perspectiva de crear y mejorar las condiciones de convivencia y de no repetición en los territorios.</t>
        </is>
      </c>
      <c r="I85" t="inlineStr">
        <is>
          <t>2024258170018</t>
        </is>
      </c>
      <c r="J85" s="99">
        <v>278326000</v>
      </c>
      <c r="K85" s="99">
        <v>24000000</v>
      </c>
      <c r="L85" s="99">
        <v>205130000</v>
      </c>
      <c r="M85" s="99">
        <v>23700000</v>
      </c>
      <c r="N85" s="99">
        <v>25496000</v>
      </c>
      <c r="O85" s="99" t="inlineStr">
        <is>
          <t xml:space="preserve"> </t>
        </is>
      </c>
      <c r="P85" s="99" t="inlineStr">
        <is>
          <t xml:space="preserve"> </t>
        </is>
      </c>
      <c r="Q85" s="99" t="inlineStr">
        <is>
          <t xml:space="preserve"> </t>
        </is>
      </c>
      <c r="R85" s="100" t="inlineStr">
        <is>
          <t xml:space="preserve"> </t>
        </is>
      </c>
      <c r="S85" t="inlineStr">
        <is>
          <t>No se encontró ejecución en CUIPO</t>
        </is>
      </c>
      <c r="T85" s="101">
        <v>165914000</v>
      </c>
      <c r="U85" s="101">
        <v>91896000</v>
      </c>
      <c r="V85" s="101">
        <v>91896000</v>
      </c>
      <c r="W85" s="102">
        <v>0.447989080095549</v>
      </c>
      <c r="X85" t="inlineStr">
        <is>
          <t>Lo obligado está por debajo de lo programado en la vigencia</t>
        </is>
      </c>
    </row>
    <row r="86">
      <c r="A86" t="inlineStr">
        <is>
          <t>IP-87</t>
        </is>
      </c>
      <c r="B86" t="inlineStr">
        <is>
          <t>41</t>
        </is>
      </c>
      <c r="C86" t="inlineStr">
        <is>
          <t xml:space="preserve">Inclusión social y reconciliación </t>
        </is>
      </c>
      <c r="D86" t="inlineStr">
        <is>
          <t>4101</t>
        </is>
      </c>
      <c r="E86" t="inlineStr">
        <is>
          <t>Atención, asistencia y reparación integral a las víctimas</t>
        </is>
      </c>
      <c r="F86" t="inlineStr">
        <is>
          <t>4101023</t>
        </is>
      </c>
      <c r="G86" t="inlineStr">
        <is>
          <t>Servicio de orientación y comunicación a las víctimas</t>
        </is>
      </c>
      <c r="H86" t="inlineStr">
        <is>
          <t>Servicio desarrollados para brindar atención, comunicación y orientación a las víctimas a través de los diferentes canales que dispone la Unidad para la Atención a las victimas.</t>
        </is>
      </c>
      <c r="I86" t="inlineStr">
        <is>
          <t>202400000006511</t>
        </is>
      </c>
      <c r="J86" s="99">
        <v>200800000</v>
      </c>
      <c r="K86" s="99">
        <v>47800000</v>
      </c>
      <c r="L86" s="99">
        <v>130000000</v>
      </c>
      <c r="M86" s="99">
        <v>11000000</v>
      </c>
      <c r="N86" s="99">
        <v>12000000</v>
      </c>
      <c r="O86" s="99" t="inlineStr">
        <is>
          <t xml:space="preserve"> </t>
        </is>
      </c>
      <c r="P86" s="99" t="inlineStr">
        <is>
          <t xml:space="preserve"> </t>
        </is>
      </c>
      <c r="Q86" s="99" t="inlineStr">
        <is>
          <t xml:space="preserve"> </t>
        </is>
      </c>
      <c r="R86" s="100" t="inlineStr">
        <is>
          <t xml:space="preserve"> </t>
        </is>
      </c>
      <c r="S86" t="inlineStr">
        <is>
          <t>No se encontró ejecución en CUIPO</t>
        </is>
      </c>
      <c r="T86" s="101">
        <v>105000000</v>
      </c>
      <c r="U86" s="101">
        <v>63000000</v>
      </c>
      <c r="V86" s="101">
        <v>63000000</v>
      </c>
      <c r="W86" s="102">
        <v>0.484615384615385</v>
      </c>
      <c r="X86" t="inlineStr">
        <is>
          <t>Lo obligado está por debajo de lo programado en la vigencia</t>
        </is>
      </c>
    </row>
    <row r="87">
      <c r="A87" t="inlineStr">
        <is>
          <t>IP-88</t>
        </is>
      </c>
      <c r="B87" t="inlineStr">
        <is>
          <t>22</t>
        </is>
      </c>
      <c r="C87" t="inlineStr">
        <is>
          <t>Educación</t>
        </is>
      </c>
      <c r="D87" t="inlineStr">
        <is>
          <t>2201</t>
        </is>
      </c>
      <c r="E87" t="inlineStr">
        <is>
          <t>Calidad, cobertura y fortalecimiento de la educación inicial, prescolar, básica y media</t>
        </is>
      </c>
      <c r="F87" t="inlineStr">
        <is>
          <t>2201033</t>
        </is>
      </c>
      <c r="G87" t="inlineStr">
        <is>
          <t>Servicio de fomento para la permanencia en programas de educación formal</t>
        </is>
      </c>
      <c r="H87" t="inlineStr">
        <is>
          <t>Incluye la implementación de estrategias para fortalecer las acciones de retención estudiantil de la población vulnerable escolarizada en el sistema educativo</t>
        </is>
      </c>
      <c r="I87" t="inlineStr">
        <is>
          <t>202400000005692</t>
        </is>
      </c>
      <c r="J87" s="99">
        <v>438320105</v>
      </c>
      <c r="K87" s="99">
        <v>344000000</v>
      </c>
      <c r="L87" s="99">
        <v>28495500</v>
      </c>
      <c r="M87" s="99">
        <v>31345050</v>
      </c>
      <c r="N87" s="99">
        <v>34479555</v>
      </c>
      <c r="O87" s="99" t="inlineStr">
        <is>
          <t xml:space="preserve"> </t>
        </is>
      </c>
      <c r="P87" s="99" t="inlineStr">
        <is>
          <t xml:space="preserve"> </t>
        </is>
      </c>
      <c r="Q87" s="99" t="inlineStr">
        <is>
          <t xml:space="preserve"> </t>
        </is>
      </c>
      <c r="R87" s="100" t="inlineStr">
        <is>
          <t xml:space="preserve"> </t>
        </is>
      </c>
      <c r="S87" t="inlineStr">
        <is>
          <t>No se encontró ejecución en CUIPO</t>
        </is>
      </c>
      <c r="T87" s="101">
        <v>128599123</v>
      </c>
      <c r="U87" s="101">
        <v>68052170</v>
      </c>
      <c r="V87" s="101">
        <v>68052170</v>
      </c>
      <c r="W87" s="102">
        <v>2.38817251846783</v>
      </c>
      <c r="X87" t="inlineStr">
        <is>
          <t>Hubo ejecución por encima de lo programado en SisPT</t>
        </is>
      </c>
    </row>
    <row r="88">
      <c r="A88" t="inlineStr">
        <is>
          <t>IP-89</t>
        </is>
      </c>
      <c r="B88" t="inlineStr">
        <is>
          <t>23</t>
        </is>
      </c>
      <c r="C88" t="inlineStr">
        <is>
          <t>Tecnologías de la información y las comunicaciones</t>
        </is>
      </c>
      <c r="D88" t="inlineStr">
        <is>
          <t>2302</t>
        </is>
      </c>
      <c r="E88" t="inlineStr">
        <is>
          <t>Fomento del desarrollo de aplicaciones, software y contenidos para impulsar la apropiación de las Tecnologías de la Información y las Comunicaciones (TIC)</t>
        </is>
      </c>
      <c r="F88" t="inlineStr">
        <is>
          <t>2302087</t>
        </is>
      </c>
      <c r="G88" t="inlineStr">
        <is>
          <t>Servicio de educación informal en tecnologías de la información y las comunicaciones para empresas</t>
        </is>
      </c>
      <c r="H88" t="inlineStr">
        <is>
          <t>Hace referencia a los procesos de capacitación y  formación para los empresarios colombianos, a fin de promover el uso de las TIC en los procesos productivos </t>
        </is>
      </c>
      <c r="I88" t="inlineStr">
        <is>
          <t>202500000000022</t>
        </is>
      </c>
      <c r="J88" s="99">
        <v>220000000</v>
      </c>
      <c r="K88" s="99">
        <v>100000000</v>
      </c>
      <c r="L88" s="99">
        <v>100000000</v>
      </c>
      <c r="M88" s="99">
        <v>10000000</v>
      </c>
      <c r="N88" s="99">
        <v>10000000</v>
      </c>
      <c r="O88" s="99" t="inlineStr">
        <is>
          <t xml:space="preserve"> </t>
        </is>
      </c>
      <c r="P88" s="99" t="inlineStr">
        <is>
          <t xml:space="preserve"> </t>
        </is>
      </c>
      <c r="Q88" s="99" t="inlineStr">
        <is>
          <t xml:space="preserve"> </t>
        </is>
      </c>
      <c r="R88" s="100" t="inlineStr">
        <is>
          <t xml:space="preserve"> </t>
        </is>
      </c>
      <c r="S88" t="inlineStr">
        <is>
          <t>No se encontró ejecución en CUIPO</t>
        </is>
      </c>
      <c r="T88" s="101" t="inlineStr">
        <is>
          <t xml:space="preserve"> </t>
        </is>
      </c>
      <c r="U88" s="101" t="inlineStr">
        <is>
          <t xml:space="preserve"> </t>
        </is>
      </c>
      <c r="V88" s="101" t="inlineStr">
        <is>
          <t xml:space="preserve"> </t>
        </is>
      </c>
      <c r="W88" s="102" t="inlineStr">
        <is>
          <t xml:space="preserve"> </t>
        </is>
      </c>
      <c r="X88" t="inlineStr">
        <is>
          <t>No se encontró ejecución en CUIPO</t>
        </is>
      </c>
    </row>
    <row r="89">
      <c r="A89" t="inlineStr">
        <is>
          <t>IP-90</t>
        </is>
      </c>
      <c r="B89" t="inlineStr">
        <is>
          <t>41</t>
        </is>
      </c>
      <c r="C89" t="inlineStr">
        <is>
          <t xml:space="preserve">Inclusión social y reconciliación </t>
        </is>
      </c>
      <c r="D89" t="inlineStr">
        <is>
          <t>4103</t>
        </is>
      </c>
      <c r="E89" t="inlineStr">
        <is>
          <t>Inclusión social y productiva para la población en situación de vulnerabilidad</t>
        </is>
      </c>
      <c r="F89" t="inlineStr">
        <is>
          <t>4103028</t>
        </is>
      </c>
      <c r="G89" t="inlineStr">
        <is>
          <t>Centros comunitarios modificados</t>
        </is>
      </c>
      <c r="H89" t="inlineStr">
        <is>
          <t xml:space="preserve">Modificación de infraestructura dispuesta a la comunidad para que pueda desarrollar actividades culturales, sociales y de formación. </t>
        </is>
      </c>
      <c r="I89" t="inlineStr">
        <is>
          <t>202400000006486</t>
        </is>
      </c>
      <c r="J89" s="99">
        <v>1374867636</v>
      </c>
      <c r="K89" s="99">
        <v>182867636</v>
      </c>
      <c r="L89" s="99">
        <v>300000000</v>
      </c>
      <c r="M89" s="99">
        <v>892000000</v>
      </c>
      <c r="N89" s="99">
        <v>0</v>
      </c>
      <c r="O89" s="99" t="inlineStr">
        <is>
          <t xml:space="preserve"> </t>
        </is>
      </c>
      <c r="P89" s="99" t="inlineStr">
        <is>
          <t xml:space="preserve"> </t>
        </is>
      </c>
      <c r="Q89" s="99" t="inlineStr">
        <is>
          <t xml:space="preserve"> </t>
        </is>
      </c>
      <c r="R89" s="100" t="inlineStr">
        <is>
          <t xml:space="preserve"> </t>
        </is>
      </c>
      <c r="S89" t="inlineStr">
        <is>
          <t>No se encontró ejecución en CUIPO</t>
        </is>
      </c>
      <c r="T89" s="101" t="inlineStr">
        <is>
          <t xml:space="preserve"> </t>
        </is>
      </c>
      <c r="U89" s="101" t="inlineStr">
        <is>
          <t xml:space="preserve"> </t>
        </is>
      </c>
      <c r="V89" s="101" t="inlineStr">
        <is>
          <t xml:space="preserve"> </t>
        </is>
      </c>
      <c r="W89" s="102" t="inlineStr">
        <is>
          <t xml:space="preserve"> </t>
        </is>
      </c>
      <c r="X89" t="inlineStr">
        <is>
          <t>No se encontró ejecución en CUIPO</t>
        </is>
      </c>
    </row>
    <row r="90">
      <c r="A90" t="inlineStr">
        <is>
          <t>IP-91</t>
        </is>
      </c>
      <c r="B90" t="inlineStr">
        <is>
          <t>04</t>
        </is>
      </c>
      <c r="C90" t="inlineStr">
        <is>
          <t>Información Estadística</t>
        </is>
      </c>
      <c r="D90" t="inlineStr">
        <is>
          <t>0401</t>
        </is>
      </c>
      <c r="E90" t="inlineStr">
        <is>
          <t>Levantamiento y actualización de información estadística de calidad</t>
        </is>
      </c>
      <c r="F90" t="inlineStr">
        <is>
          <t>0401106</t>
        </is>
      </c>
      <c r="G90" t="inlineStr">
        <is>
          <t xml:space="preserve">SERVICIO DE APOYO A LA GESTIÓN DE CONOCIMIENTO Y CONSOLIDACIÓN DE LA CULTURA ESTADÍSTICA </t>
        </is>
      </c>
      <c r="H90" t="inlineStr">
        <is>
          <t>Comprende la planeación y ejecución de estrategias de sensibilización y aprendizaje, fortalecimiento de los canales de relacionamiento con los grupos de interés, creación de herramientas de pedagogía para la gestión del conocimiento y consolidación de la cultura estadística a nivel nacional.</t>
        </is>
      </c>
      <c r="I90" t="inlineStr">
        <is>
          <t>2024258170003</t>
        </is>
      </c>
      <c r="J90" s="99">
        <v>484440000</v>
      </c>
      <c r="K90" s="99">
        <v>28600000</v>
      </c>
      <c r="L90" s="99">
        <v>430000000</v>
      </c>
      <c r="M90" s="99">
        <v>10920000</v>
      </c>
      <c r="N90" s="99">
        <v>14920000</v>
      </c>
      <c r="O90" s="99" t="inlineStr">
        <is>
          <t xml:space="preserve"> </t>
        </is>
      </c>
      <c r="P90" s="99" t="inlineStr">
        <is>
          <t xml:space="preserve"> </t>
        </is>
      </c>
      <c r="Q90" s="99" t="inlineStr">
        <is>
          <t xml:space="preserve"> </t>
        </is>
      </c>
      <c r="R90" s="100" t="inlineStr">
        <is>
          <t xml:space="preserve"> </t>
        </is>
      </c>
      <c r="S90" t="inlineStr">
        <is>
          <t>No se encontró ejecución en CUIPO</t>
        </is>
      </c>
      <c r="T90" s="101">
        <v>192343400</v>
      </c>
      <c r="U90" s="101">
        <v>99591200</v>
      </c>
      <c r="V90" s="101">
        <v>99591200</v>
      </c>
      <c r="W90" s="102">
        <v>0.231607441860465</v>
      </c>
      <c r="X90" t="inlineStr">
        <is>
          <t>Lo obligado está por debajo de lo programado en la vigencia</t>
        </is>
      </c>
    </row>
    <row r="91">
      <c r="A91" t="inlineStr">
        <is>
          <t>IP-92</t>
        </is>
      </c>
      <c r="B91" t="inlineStr">
        <is>
          <t>45</t>
        </is>
      </c>
      <c r="C91" t="inlineStr">
        <is>
          <t>Gobierno Territorial</t>
        </is>
      </c>
      <c r="D91" t="inlineStr">
        <is>
          <t>4501</t>
        </is>
      </c>
      <c r="E91" t="inlineStr">
        <is>
          <t>Fortalecimiento de la convivencia y la seguridad ciudadana</t>
        </is>
      </c>
      <c r="F91" t="inlineStr">
        <is>
          <t>4501048</t>
        </is>
      </c>
      <c r="G91" t="inlineStr">
        <is>
          <t>Servicio de apoyo para el acceso a la justicia policiva</t>
        </is>
      </c>
      <c r="H91" t="inlineStr">
        <is>
          <t>Comprende la estructuración , definición , implementacion y evaluación de estrategias que permitan garantizar el  efectivo cumplimiento de las normas para la prestación de los servicios de justicia policiva.</t>
        </is>
      </c>
      <c r="I91" t="inlineStr">
        <is>
          <t>2024258170018</t>
        </is>
      </c>
      <c r="J91" s="99">
        <v>119861830.6</v>
      </c>
      <c r="K91" s="99">
        <v>11500000</v>
      </c>
      <c r="L91" s="99">
        <v>49350000</v>
      </c>
      <c r="M91" s="99">
        <v>28686405.2</v>
      </c>
      <c r="N91" s="99">
        <v>30325425.4</v>
      </c>
      <c r="O91" s="99">
        <v>5366667</v>
      </c>
      <c r="P91" s="99">
        <v>5366667</v>
      </c>
      <c r="Q91" s="99">
        <v>5366667</v>
      </c>
      <c r="R91" s="100">
        <v>0.466666695652174</v>
      </c>
      <c r="S91" t="inlineStr">
        <is>
          <t>Lo obligado está por debajo de lo programado en la vigencia</t>
        </is>
      </c>
      <c r="T91" s="101">
        <v>40000000</v>
      </c>
      <c r="U91" s="101">
        <v>24000000</v>
      </c>
      <c r="V91" s="101">
        <v>24000000</v>
      </c>
      <c r="W91" s="102">
        <v>0.486322188449848</v>
      </c>
      <c r="X91" t="inlineStr">
        <is>
          <t>Lo obligado está por debajo de lo programado en la vigencia</t>
        </is>
      </c>
    </row>
    <row r="92">
      <c r="A92" t="inlineStr">
        <is>
          <t>IP-93</t>
        </is>
      </c>
      <c r="B92" t="inlineStr">
        <is>
          <t>41</t>
        </is>
      </c>
      <c r="C92" t="inlineStr">
        <is>
          <t xml:space="preserve">Inclusión social y reconciliación </t>
        </is>
      </c>
      <c r="D92" t="inlineStr">
        <is>
          <t>4101</t>
        </is>
      </c>
      <c r="E92" t="inlineStr">
        <is>
          <t>Atención, asistencia y reparación integral a las víctimas</t>
        </is>
      </c>
      <c r="F92" t="inlineStr">
        <is>
          <t>4101100</t>
        </is>
      </c>
      <c r="G92" t="inlineStr">
        <is>
          <t>Servicio de asistencia humanitaria a víctimas del conflicto armado</t>
        </is>
      </c>
      <c r="H92" t="inlineStr">
        <is>
          <t xml:space="preserve">Mediante el cual se garantiza el derecho al mínimo vital a las víctimas para los tres componentes principales de alimentación, alojamiento temporal y salud. Las medidas de asistencia humanitaria para víctimas de desplazamiento forzado se denominan atención humanitaria. Las medidas de asistencia humanitaria para víctimas de otros hechos diferentes al desplazamiento forzado se denominan ayuda humanitaria. </t>
        </is>
      </c>
      <c r="I92" t="inlineStr">
        <is>
          <t>202400000006511</t>
        </is>
      </c>
      <c r="J92" s="99">
        <v>41500000</v>
      </c>
      <c r="K92" s="99">
        <v>12000000</v>
      </c>
      <c r="L92" s="99">
        <v>25000000</v>
      </c>
      <c r="M92" s="99">
        <v>2000000</v>
      </c>
      <c r="N92" s="99">
        <v>2500000</v>
      </c>
      <c r="O92" s="99" t="inlineStr">
        <is>
          <t xml:space="preserve"> </t>
        </is>
      </c>
      <c r="P92" s="99" t="inlineStr">
        <is>
          <t xml:space="preserve"> </t>
        </is>
      </c>
      <c r="Q92" s="99" t="inlineStr">
        <is>
          <t xml:space="preserve"> </t>
        </is>
      </c>
      <c r="R92" s="100" t="inlineStr">
        <is>
          <t xml:space="preserve"> </t>
        </is>
      </c>
      <c r="S92" t="inlineStr">
        <is>
          <t>No se encontró ejecución en CUIPO</t>
        </is>
      </c>
      <c r="T92" s="101">
        <v>2135250</v>
      </c>
      <c r="U92" s="101">
        <v>2135250</v>
      </c>
      <c r="V92" s="101">
        <v>711750</v>
      </c>
      <c r="W92" s="102">
        <v>0.08541</v>
      </c>
      <c r="X92" t="inlineStr">
        <is>
          <t>Lo obligado está por debajo de lo programado en la vigencia</t>
        </is>
      </c>
    </row>
    <row r="93">
      <c r="A93" t="inlineStr">
        <is>
          <t>IP-94</t>
        </is>
      </c>
      <c r="B93" t="inlineStr">
        <is>
          <t>33</t>
        </is>
      </c>
      <c r="C93" t="inlineStr">
        <is>
          <t>Cultura</t>
        </is>
      </c>
      <c r="D93" t="inlineStr">
        <is>
          <t>3301</t>
        </is>
      </c>
      <c r="E93" t="inlineStr">
        <is>
          <t>Promoción y acceso efectivo a procesos culturales y artísticos</t>
        </is>
      </c>
      <c r="F93" t="inlineStr">
        <is>
          <t>3301126</t>
        </is>
      </c>
      <c r="G93" t="inlineStr">
        <is>
          <t>Servicio de apoyo al proceso de formación artística y cultural</t>
        </is>
      </c>
      <c r="H93" t="inlineStr">
        <is>
          <t xml:space="preserve">Este servicio está orientado apoyar el proceso de formación artística y cultural a través del equipamiento de instrumentos y elementos propios de cada área (música, teatro, danzas y/o artes plásticas y visuales). </t>
        </is>
      </c>
      <c r="I93" t="inlineStr">
        <is>
          <t>2024258170016</t>
        </is>
      </c>
      <c r="J93" s="99">
        <v>1108912144.7</v>
      </c>
      <c r="K93" s="99">
        <v>1003000000</v>
      </c>
      <c r="L93" s="99">
        <v>80295106.5</v>
      </c>
      <c r="M93" s="99">
        <v>15303959.7</v>
      </c>
      <c r="N93" s="99">
        <v>10313078.5</v>
      </c>
      <c r="O93" s="99" t="inlineStr">
        <is>
          <t xml:space="preserve"> </t>
        </is>
      </c>
      <c r="P93" s="99" t="inlineStr">
        <is>
          <t xml:space="preserve"> </t>
        </is>
      </c>
      <c r="Q93" s="99" t="inlineStr">
        <is>
          <t xml:space="preserve"> </t>
        </is>
      </c>
      <c r="R93" s="100" t="inlineStr">
        <is>
          <t xml:space="preserve"> </t>
        </is>
      </c>
      <c r="S93" t="inlineStr">
        <is>
          <t>No se encontró ejecución en CUIPO</t>
        </is>
      </c>
      <c r="T93" s="101" t="inlineStr">
        <is>
          <t xml:space="preserve"> </t>
        </is>
      </c>
      <c r="U93" s="101" t="inlineStr">
        <is>
          <t xml:space="preserve"> </t>
        </is>
      </c>
      <c r="V93" s="101" t="inlineStr">
        <is>
          <t xml:space="preserve"> </t>
        </is>
      </c>
      <c r="W93" s="102" t="inlineStr">
        <is>
          <t xml:space="preserve"> </t>
        </is>
      </c>
      <c r="X93" t="inlineStr">
        <is>
          <t>No se encontró ejecución en CUIPO</t>
        </is>
      </c>
    </row>
    <row r="94">
      <c r="A94" t="inlineStr">
        <is>
          <t>IP-95</t>
        </is>
      </c>
      <c r="B94" t="inlineStr">
        <is>
          <t>45</t>
        </is>
      </c>
      <c r="C94" t="inlineStr">
        <is>
          <t>Gobierno Territorial</t>
        </is>
      </c>
      <c r="D94" t="inlineStr">
        <is>
          <t>4501</t>
        </is>
      </c>
      <c r="E94" t="inlineStr">
        <is>
          <t>Fortalecimiento de la convivencia y la seguridad ciudadana</t>
        </is>
      </c>
      <c r="F94" t="inlineStr">
        <is>
          <t>4501081</t>
        </is>
      </c>
      <c r="G94" t="inlineStr">
        <is>
          <t>Servicio de apoyo para la atención de contravenciones y solución de conflictos de convivencia ciudadana</t>
        </is>
      </c>
      <c r="H94" t="inlineStr">
        <is>
          <t>Recursos para garantizar la atención de contravenciones y de más actividades de policía a nivel municipal a cargo de los inspectores de policía y corregidores del municipio.</t>
        </is>
      </c>
      <c r="I94" t="inlineStr">
        <is>
          <t>202400000007013</t>
        </is>
      </c>
      <c r="J94" s="99">
        <v>108137100</v>
      </c>
      <c r="K94" s="99">
        <v>12500000</v>
      </c>
      <c r="L94" s="99">
        <v>82000000</v>
      </c>
      <c r="M94" s="99">
        <v>6545600</v>
      </c>
      <c r="N94" s="99">
        <v>7091500</v>
      </c>
      <c r="O94" s="99" t="inlineStr">
        <is>
          <t xml:space="preserve"> </t>
        </is>
      </c>
      <c r="P94" s="99" t="inlineStr">
        <is>
          <t xml:space="preserve"> </t>
        </is>
      </c>
      <c r="Q94" s="99" t="inlineStr">
        <is>
          <t xml:space="preserve"> </t>
        </is>
      </c>
      <c r="R94" s="100" t="inlineStr">
        <is>
          <t xml:space="preserve"> </t>
        </is>
      </c>
      <c r="S94" t="inlineStr">
        <is>
          <t>No se encontró ejecución en CUIPO</t>
        </is>
      </c>
      <c r="T94" s="101">
        <v>20221653</v>
      </c>
      <c r="U94" s="101">
        <v>6740550</v>
      </c>
      <c r="V94" s="101">
        <v>6740550</v>
      </c>
      <c r="W94" s="102">
        <v>0.0822018292682927</v>
      </c>
      <c r="X94" t="inlineStr">
        <is>
          <t>Lo obligado está por debajo de lo programado en la vigencia</t>
        </is>
      </c>
    </row>
    <row r="95">
      <c r="A95" t="inlineStr">
        <is>
          <t>IP-96</t>
        </is>
      </c>
      <c r="B95" t="inlineStr">
        <is>
          <t>33</t>
        </is>
      </c>
      <c r="C95" t="inlineStr">
        <is>
          <t>Cultura</t>
        </is>
      </c>
      <c r="D95" t="inlineStr">
        <is>
          <t>3301</t>
        </is>
      </c>
      <c r="E95" t="inlineStr">
        <is>
          <t>Promoción y acceso efectivo a procesos culturales y artísticos</t>
        </is>
      </c>
      <c r="F95" t="inlineStr">
        <is>
          <t>3301038</t>
        </is>
      </c>
      <c r="G95" t="inlineStr">
        <is>
          <t>Teatros adecuados</t>
        </is>
      </c>
      <c r="H95" t="inlineStr">
        <is>
          <t>Cambio del uso de la infraestructura cultural o parte de ella, garantizando la permanencia del inmueble original.</t>
        </is>
      </c>
      <c r="I95" t="inlineStr">
        <is>
          <t>2024258170044</t>
        </is>
      </c>
      <c r="J95" s="99">
        <v>55870927488.6</v>
      </c>
      <c r="K95" s="99">
        <v>26536359185.6</v>
      </c>
      <c r="L95" s="99">
        <v>24784568303</v>
      </c>
      <c r="M95" s="99">
        <v>1950000000</v>
      </c>
      <c r="N95" s="99">
        <v>2600000000</v>
      </c>
      <c r="O95" s="99" t="inlineStr">
        <is>
          <t xml:space="preserve"> </t>
        </is>
      </c>
      <c r="P95" s="99" t="inlineStr">
        <is>
          <t xml:space="preserve"> </t>
        </is>
      </c>
      <c r="Q95" s="99" t="inlineStr">
        <is>
          <t xml:space="preserve"> </t>
        </is>
      </c>
      <c r="R95" s="100" t="inlineStr">
        <is>
          <t xml:space="preserve"> </t>
        </is>
      </c>
      <c r="S95" t="inlineStr">
        <is>
          <t>No se encontró ejecución en CUIPO</t>
        </is>
      </c>
      <c r="T95" s="101">
        <v>19592124564</v>
      </c>
      <c r="U95" s="101">
        <v>8580470164</v>
      </c>
      <c r="V95" s="101">
        <v>7934876335</v>
      </c>
      <c r="W95" s="102">
        <v>0.346202122994468</v>
      </c>
      <c r="X95" t="inlineStr">
        <is>
          <t>Lo obligado está por debajo de lo programado en la vigencia</t>
        </is>
      </c>
    </row>
    <row r="96">
      <c r="A96" t="inlineStr">
        <is>
          <t>IP-97</t>
        </is>
      </c>
      <c r="B96" t="inlineStr">
        <is>
          <t>45</t>
        </is>
      </c>
      <c r="C96" t="inlineStr">
        <is>
          <t>Gobierno Territorial</t>
        </is>
      </c>
      <c r="D96" t="inlineStr">
        <is>
          <t>4599</t>
        </is>
      </c>
      <c r="E96" t="inlineStr">
        <is>
          <t>Fortalecimiento a la gestión y dirección de la administración pública territorial</t>
        </is>
      </c>
      <c r="F96" t="inlineStr">
        <is>
          <t>4599009</t>
        </is>
      </c>
      <c r="G96" t="inlineStr">
        <is>
          <t>Sedes construidas</t>
        </is>
      </c>
      <c r="H96" t="inlineStr">
        <is>
          <t>Corresponde a un inmueble resultado de obras de edificación en terrenos no construidos o cuya área esté libre por autorización de demolición total. No incluye la dotación del inmueble. (Corresponde a la licencia de construcción por obra nueva)</t>
        </is>
      </c>
      <c r="I96" t="inlineStr">
        <is>
          <t>2024258170033</t>
        </is>
      </c>
      <c r="J96" s="99">
        <v>5391928698</v>
      </c>
      <c r="K96" s="99">
        <v>0</v>
      </c>
      <c r="L96" s="99">
        <v>4891928698</v>
      </c>
      <c r="M96" s="99">
        <v>500000000</v>
      </c>
      <c r="N96" s="99">
        <v>0</v>
      </c>
      <c r="O96" s="99" t="inlineStr">
        <is>
          <t xml:space="preserve"> </t>
        </is>
      </c>
      <c r="P96" s="99" t="inlineStr">
        <is>
          <t xml:space="preserve"> </t>
        </is>
      </c>
      <c r="Q96" s="99" t="inlineStr">
        <is>
          <t xml:space="preserve"> </t>
        </is>
      </c>
      <c r="R96" s="100" t="inlineStr">
        <is>
          <t xml:space="preserve"> </t>
        </is>
      </c>
      <c r="S96" t="inlineStr">
        <is>
          <t>No se encontró ejecución en CUIPO</t>
        </is>
      </c>
      <c r="T96" s="101" t="inlineStr">
        <is>
          <t xml:space="preserve"> </t>
        </is>
      </c>
      <c r="U96" s="101" t="inlineStr">
        <is>
          <t xml:space="preserve"> </t>
        </is>
      </c>
      <c r="V96" s="101" t="inlineStr">
        <is>
          <t xml:space="preserve"> </t>
        </is>
      </c>
      <c r="W96" s="102" t="inlineStr">
        <is>
          <t xml:space="preserve"> </t>
        </is>
      </c>
      <c r="X96" t="inlineStr">
        <is>
          <t>No se encontró ejecución en CUIPO</t>
        </is>
      </c>
    </row>
    <row r="97">
      <c r="A97" t="inlineStr">
        <is>
          <t>IP-98</t>
        </is>
      </c>
      <c r="B97" t="inlineStr">
        <is>
          <t>45</t>
        </is>
      </c>
      <c r="C97" t="inlineStr">
        <is>
          <t>Gobierno Territorial</t>
        </is>
      </c>
      <c r="D97" t="inlineStr">
        <is>
          <t>4502</t>
        </is>
      </c>
      <c r="E97" t="inlineStr">
        <is>
          <t>Fortalecimiento del buen gobierno para el respeto y garantía de los derechos humanos.</t>
        </is>
      </c>
      <c r="F97" t="inlineStr">
        <is>
          <t>4502029</t>
        </is>
      </c>
      <c r="G97" t="inlineStr">
        <is>
          <t>Documentos metodológicos</t>
        </is>
      </c>
      <c r="H97" t="inlineStr">
        <is>
          <t>Documentos cuyo objetivo es describir y explicar métodos, herramientas analíticas, o procesos que determinan un camino o forma de realizar un análisis en particular.</t>
        </is>
      </c>
      <c r="I97" t="inlineStr">
        <is>
          <t>202400000006667</t>
        </is>
      </c>
      <c r="J97" s="99">
        <v>5508188000</v>
      </c>
      <c r="K97" s="99">
        <v>1528500000</v>
      </c>
      <c r="L97" s="99">
        <v>3523288000</v>
      </c>
      <c r="M97" s="99">
        <v>225300000</v>
      </c>
      <c r="N97" s="99">
        <v>231100000</v>
      </c>
      <c r="O97" s="99" t="inlineStr">
        <is>
          <t xml:space="preserve"> </t>
        </is>
      </c>
      <c r="P97" s="99" t="inlineStr">
        <is>
          <t xml:space="preserve"> </t>
        </is>
      </c>
      <c r="Q97" s="99" t="inlineStr">
        <is>
          <t xml:space="preserve"> </t>
        </is>
      </c>
      <c r="R97" s="100" t="inlineStr">
        <is>
          <t xml:space="preserve"> </t>
        </is>
      </c>
      <c r="S97" t="inlineStr">
        <is>
          <t>No se encontró ejecución en CUIPO</t>
        </is>
      </c>
      <c r="T97" s="101">
        <v>2890721075</v>
      </c>
      <c r="U97" s="101">
        <v>1241914355</v>
      </c>
      <c r="V97" s="101">
        <v>1241914355</v>
      </c>
      <c r="W97" s="102">
        <v>0.35248732292109</v>
      </c>
      <c r="X97" t="inlineStr">
        <is>
          <t>Lo obligado está por debajo de lo programado en la vigencia</t>
        </is>
      </c>
    </row>
    <row r="98">
      <c r="A98" t="inlineStr">
        <is>
          <t>IP-99</t>
        </is>
      </c>
      <c r="B98" t="inlineStr">
        <is>
          <t>33</t>
        </is>
      </c>
      <c r="C98" t="inlineStr">
        <is>
          <t>Cultura</t>
        </is>
      </c>
      <c r="D98" t="inlineStr">
        <is>
          <t>3302</t>
        </is>
      </c>
      <c r="E98" t="inlineStr">
        <is>
          <t>Gestión, protección y salvaguardia del patrimonio cultural colombiano</t>
        </is>
      </c>
      <c r="F98" t="inlineStr">
        <is>
          <t>3302041</t>
        </is>
      </c>
      <c r="G98" t="inlineStr">
        <is>
          <t>Servicio de protección del patrimonio arqueologico, antropologico e historico</t>
        </is>
      </c>
      <c r="H98" t="inlineStr">
        <is>
          <t>Corresponde a la creación de actuaciones administrativas y a la aplicación de sanciones administrativas en los casos de violación del régimen especial de protección del patrimonio arqueológico, antropológico e histórico frente actuaciones de intervención, encuentro fortuito, exportación, registro e inventario de los bienes arqueológicos.</t>
        </is>
      </c>
      <c r="I98" t="inlineStr">
        <is>
          <t>202500000004007</t>
        </is>
      </c>
      <c r="J98" s="99">
        <v>21000000</v>
      </c>
      <c r="K98" s="99">
        <v>0</v>
      </c>
      <c r="L98" s="99">
        <v>6000000</v>
      </c>
      <c r="M98" s="99">
        <v>7000000</v>
      </c>
      <c r="N98" s="99">
        <v>8000000</v>
      </c>
      <c r="O98" s="99" t="inlineStr">
        <is>
          <t xml:space="preserve"> </t>
        </is>
      </c>
      <c r="P98" s="99" t="inlineStr">
        <is>
          <t xml:space="preserve"> </t>
        </is>
      </c>
      <c r="Q98" s="99" t="inlineStr">
        <is>
          <t xml:space="preserve"> </t>
        </is>
      </c>
      <c r="R98" s="100" t="inlineStr">
        <is>
          <t xml:space="preserve"> </t>
        </is>
      </c>
      <c r="S98" t="inlineStr">
        <is>
          <t>No se encontró ejecución en CUIPO</t>
        </is>
      </c>
      <c r="T98" s="101" t="inlineStr">
        <is>
          <t xml:space="preserve"> </t>
        </is>
      </c>
      <c r="U98" s="101" t="inlineStr">
        <is>
          <t xml:space="preserve"> </t>
        </is>
      </c>
      <c r="V98" s="101" t="inlineStr">
        <is>
          <t xml:space="preserve"> </t>
        </is>
      </c>
      <c r="W98" s="102" t="inlineStr">
        <is>
          <t xml:space="preserve"> </t>
        </is>
      </c>
      <c r="X98" t="inlineStr">
        <is>
          <t>No se encontró ejecución en CUIPO</t>
        </is>
      </c>
    </row>
    <row r="99">
      <c r="A99" t="inlineStr">
        <is>
          <t>IP-100</t>
        </is>
      </c>
      <c r="B99" t="inlineStr">
        <is>
          <t>19</t>
        </is>
      </c>
      <c r="C99" t="inlineStr">
        <is>
          <t>Salud y protección social</t>
        </is>
      </c>
      <c r="D99" t="inlineStr">
        <is>
          <t>1906</t>
        </is>
      </c>
      <c r="E99" t="inlineStr">
        <is>
          <t>Aseguramiento y prestación integral de servicios de salud</t>
        </is>
      </c>
      <c r="F99" t="inlineStr">
        <is>
          <t>1906039</t>
        </is>
      </c>
      <c r="G99" t="inlineStr">
        <is>
          <t>Documento de lineamientos técnicos</t>
        </is>
      </c>
      <c r="H99" t="inlineStr">
        <is>
          <t>Documentos cuyo objetivo es describir y explicar instrumentos, estándares, requisitos y condiciones necesarias para llevar a cabo un proceso o actividad.</t>
        </is>
      </c>
      <c r="I99" t="inlineStr">
        <is>
          <t>202400000006244</t>
        </is>
      </c>
      <c r="J99" s="99">
        <v>261493246</v>
      </c>
      <c r="K99" s="99">
        <v>228391996</v>
      </c>
      <c r="L99" s="99">
        <v>10500000</v>
      </c>
      <c r="M99" s="99">
        <v>11025000</v>
      </c>
      <c r="N99" s="99">
        <v>11576250</v>
      </c>
      <c r="O99" s="99" t="inlineStr">
        <is>
          <t xml:space="preserve"> </t>
        </is>
      </c>
      <c r="P99" s="99" t="inlineStr">
        <is>
          <t xml:space="preserve"> </t>
        </is>
      </c>
      <c r="Q99" s="99" t="inlineStr">
        <is>
          <t xml:space="preserve"> </t>
        </is>
      </c>
      <c r="R99" s="100" t="inlineStr">
        <is>
          <t xml:space="preserve"> </t>
        </is>
      </c>
      <c r="S99" t="inlineStr">
        <is>
          <t>No se encontró ejecución en CUIPO</t>
        </is>
      </c>
      <c r="T99" s="101">
        <v>242055066</v>
      </c>
      <c r="U99" s="101">
        <v>81485000</v>
      </c>
      <c r="V99" s="101">
        <v>81485000</v>
      </c>
      <c r="W99" s="102">
        <v>7.76047619047619</v>
      </c>
      <c r="X99" t="inlineStr">
        <is>
          <t>Hubo ejecución por encima de lo programado en SisPT</t>
        </is>
      </c>
    </row>
    <row r="100">
      <c r="A100" t="inlineStr">
        <is>
          <t>IP-101</t>
        </is>
      </c>
      <c r="B100" t="inlineStr">
        <is>
          <t>43</t>
        </is>
      </c>
      <c r="C100" t="inlineStr">
        <is>
          <t>Deporte y Recreación</t>
        </is>
      </c>
      <c r="D100" t="inlineStr">
        <is>
          <t>4302</t>
        </is>
      </c>
      <c r="E100" t="inlineStr">
        <is>
          <t>Formación y preparación de deportistas</t>
        </is>
      </c>
      <c r="F100" t="inlineStr">
        <is>
          <t>4302073</t>
        </is>
      </c>
      <c r="G100" t="inlineStr">
        <is>
          <t>Servicio de identificación de talentos deportivos</t>
        </is>
      </c>
      <c r="H100" t="inlineStr">
        <is>
          <t>Es el proceso a través del cual se individualizan personas dotadas de talento y actitudes favorables para el deporte con ayuda de entrenadores especializados y pruebas físicas, fisiológicas y de destrezas. </t>
        </is>
      </c>
      <c r="I100" t="inlineStr">
        <is>
          <t>2024258170019</t>
        </is>
      </c>
      <c r="J100" s="99">
        <v>430000000</v>
      </c>
      <c r="K100" s="99">
        <v>280000000</v>
      </c>
      <c r="L100" s="99">
        <v>45000000</v>
      </c>
      <c r="M100" s="99">
        <v>50000000</v>
      </c>
      <c r="N100" s="99">
        <v>55000000</v>
      </c>
      <c r="O100" s="99" t="inlineStr">
        <is>
          <t xml:space="preserve"> </t>
        </is>
      </c>
      <c r="P100" s="99" t="inlineStr">
        <is>
          <t xml:space="preserve"> </t>
        </is>
      </c>
      <c r="Q100" s="99" t="inlineStr">
        <is>
          <t xml:space="preserve"> </t>
        </is>
      </c>
      <c r="R100" s="100" t="inlineStr">
        <is>
          <t xml:space="preserve"> </t>
        </is>
      </c>
      <c r="S100" t="inlineStr">
        <is>
          <t>No se encontró ejecución en CUIPO</t>
        </is>
      </c>
      <c r="T100" s="101">
        <v>128340000</v>
      </c>
      <c r="U100" s="101">
        <v>91220000</v>
      </c>
      <c r="V100" s="101">
        <v>91220000</v>
      </c>
      <c r="W100" s="102">
        <v>2.02711111111111</v>
      </c>
      <c r="X100" t="inlineStr">
        <is>
          <t>Hubo ejecución por encima de lo programado en SisPT</t>
        </is>
      </c>
    </row>
    <row r="101">
      <c r="A101" t="inlineStr">
        <is>
          <t>IP-102</t>
        </is>
      </c>
      <c r="B101" t="inlineStr">
        <is>
          <t>32</t>
        </is>
      </c>
      <c r="C101" t="inlineStr">
        <is>
          <t>Ambiente y desarrollo sostenible</t>
        </is>
      </c>
      <c r="D101" t="inlineStr">
        <is>
          <t>3208</t>
        </is>
      </c>
      <c r="E101" t="inlineStr">
        <is>
          <t xml:space="preserve">Educación Ambiental </t>
        </is>
      </c>
      <c r="F101" t="inlineStr">
        <is>
          <t>3208009</t>
        </is>
      </c>
      <c r="G101" t="inlineStr">
        <is>
          <t>Documentos de lineamientos técnicos para el desarrollo de la política ambiental</t>
        </is>
      </c>
      <c r="H101" t="inlineStr">
        <is>
          <t>Documentos cuyo objetivo es describir y explicar instrumentos, estándares, requisitos y condiciones necesarias para llevar a cabo un proceso o actividad.</t>
        </is>
      </c>
      <c r="I101" t="inlineStr">
        <is>
          <t>2024258170053</t>
        </is>
      </c>
      <c r="J101" s="99">
        <v>50000000</v>
      </c>
      <c r="K101" s="99">
        <v>5000000</v>
      </c>
      <c r="L101" s="99">
        <v>45000000</v>
      </c>
      <c r="M101" s="99">
        <v>0</v>
      </c>
      <c r="N101" s="99">
        <v>0</v>
      </c>
      <c r="O101" s="99" t="inlineStr">
        <is>
          <t xml:space="preserve"> </t>
        </is>
      </c>
      <c r="P101" s="99" t="inlineStr">
        <is>
          <t xml:space="preserve"> </t>
        </is>
      </c>
      <c r="Q101" s="99" t="inlineStr">
        <is>
          <t xml:space="preserve"> </t>
        </is>
      </c>
      <c r="R101" s="100" t="inlineStr">
        <is>
          <t xml:space="preserve"> </t>
        </is>
      </c>
      <c r="S101" t="inlineStr">
        <is>
          <t>No se encontró ejecución en CUIPO</t>
        </is>
      </c>
      <c r="T101" s="101">
        <v>15000000</v>
      </c>
      <c r="U101" s="101">
        <v>7500000</v>
      </c>
      <c r="V101" s="101">
        <v>7500000</v>
      </c>
      <c r="W101" s="102">
        <v>0.166666666666667</v>
      </c>
      <c r="X101" t="inlineStr">
        <is>
          <t>Lo obligado está por debajo de lo programado en la vigencia</t>
        </is>
      </c>
    </row>
    <row r="102">
      <c r="A102" t="inlineStr">
        <is>
          <t>IP-103</t>
        </is>
      </c>
      <c r="B102" t="inlineStr">
        <is>
          <t>45</t>
        </is>
      </c>
      <c r="C102" t="inlineStr">
        <is>
          <t>Gobierno Territorial</t>
        </is>
      </c>
      <c r="D102" t="inlineStr">
        <is>
          <t>4501</t>
        </is>
      </c>
      <c r="E102" t="inlineStr">
        <is>
          <t>Fortalecimiento de la convivencia y la seguridad ciudadana</t>
        </is>
      </c>
      <c r="F102" t="inlineStr">
        <is>
          <t>4501049</t>
        </is>
      </c>
      <c r="G102" t="inlineStr">
        <is>
          <t>Servicio de educación informal</t>
        </is>
      </c>
      <c r="H102" t="inlineStr">
        <is>
          <t>Corresponde al diseño y desarrollo de estrategias educativas que tienen como objetivo brindar oportunidades para apropiar, complementar, actualizar, perfeccionar, renovar o profundizar conocimientos, habilidades, técnicas y prácticas de la prevención y la participación, como herramientas para la convivencia y la seguridad ciudadana. Este conocimiento libre y espontáneo adquirido por ciudadanos, puede provenir de personas, entidades, medios de comunicación masiva, medios impresos, tradiciones, costumbres, comportamientos sociales y otros no estructurados y su duración es inferior a 160 horas</t>
        </is>
      </c>
      <c r="I102" t="inlineStr">
        <is>
          <t>202400000007013</t>
        </is>
      </c>
      <c r="J102" s="99">
        <v>249137100</v>
      </c>
      <c r="K102" s="99">
        <v>75000000</v>
      </c>
      <c r="L102" s="99">
        <v>153000000</v>
      </c>
      <c r="M102" s="99">
        <v>11445600</v>
      </c>
      <c r="N102" s="99">
        <v>9691500</v>
      </c>
      <c r="O102" s="99" t="inlineStr">
        <is>
          <t xml:space="preserve"> </t>
        </is>
      </c>
      <c r="P102" s="99" t="inlineStr">
        <is>
          <t xml:space="preserve"> </t>
        </is>
      </c>
      <c r="Q102" s="99" t="inlineStr">
        <is>
          <t xml:space="preserve"> </t>
        </is>
      </c>
      <c r="R102" s="100" t="inlineStr">
        <is>
          <t xml:space="preserve"> </t>
        </is>
      </c>
      <c r="S102" t="inlineStr">
        <is>
          <t>No se encontró ejecución en CUIPO</t>
        </is>
      </c>
      <c r="T102" s="101">
        <v>22600176</v>
      </c>
      <c r="U102" s="101">
        <v>7771740</v>
      </c>
      <c r="V102" s="101">
        <v>7771740</v>
      </c>
      <c r="W102" s="102">
        <v>0.0507956862745098</v>
      </c>
      <c r="X102" t="inlineStr">
        <is>
          <t>Lo obligado está por debajo de lo programado en la vigencia</t>
        </is>
      </c>
    </row>
    <row r="103">
      <c r="A103" t="inlineStr">
        <is>
          <t>IP-104</t>
        </is>
      </c>
      <c r="B103" t="inlineStr">
        <is>
          <t>43</t>
        </is>
      </c>
      <c r="C103" t="inlineStr">
        <is>
          <t>Deporte y Recreación</t>
        </is>
      </c>
      <c r="D103" t="inlineStr">
        <is>
          <t>4301</t>
        </is>
      </c>
      <c r="E103" t="inlineStr">
        <is>
          <t>Fomento a la recreación, la actividad física y el deporte para desarrollar entornos de convivencia y paz</t>
        </is>
      </c>
      <c r="F103" t="inlineStr">
        <is>
          <t>4301009</t>
        </is>
      </c>
      <c r="G103" t="inlineStr">
        <is>
          <t>Parques recreativos construidos</t>
        </is>
      </c>
      <c r="H103" t="inlineStr">
        <is>
          <t xml:space="preserve">Construcción de instalaciones y espacios físicos que permiten el desarrollo de diferentes actividades de tipo lúdico  o recreativo para cuya práctica no se requieren reglas ni implementos especiales  . 
</t>
        </is>
      </c>
      <c r="I103" t="inlineStr">
        <is>
          <t>202400000005086</t>
        </is>
      </c>
      <c r="J103" s="99">
        <v>3250786404.2</v>
      </c>
      <c r="K103" s="99">
        <v>2970786404.2</v>
      </c>
      <c r="L103" s="99">
        <v>0</v>
      </c>
      <c r="M103" s="99">
        <v>200000000</v>
      </c>
      <c r="N103" s="99">
        <v>80000000</v>
      </c>
      <c r="O103" s="99" t="inlineStr">
        <is>
          <t xml:space="preserve"> </t>
        </is>
      </c>
      <c r="P103" s="99" t="inlineStr">
        <is>
          <t xml:space="preserve"> </t>
        </is>
      </c>
      <c r="Q103" s="99" t="inlineStr">
        <is>
          <t xml:space="preserve"> </t>
        </is>
      </c>
      <c r="R103" s="100" t="inlineStr">
        <is>
          <t xml:space="preserve"> </t>
        </is>
      </c>
      <c r="S103" t="inlineStr">
        <is>
          <t>No se encontró ejecución en CUIPO</t>
        </is>
      </c>
      <c r="T103" s="101" t="inlineStr">
        <is>
          <t xml:space="preserve"> </t>
        </is>
      </c>
      <c r="U103" s="101" t="inlineStr">
        <is>
          <t xml:space="preserve"> </t>
        </is>
      </c>
      <c r="V103" s="101" t="inlineStr">
        <is>
          <t xml:space="preserve"> </t>
        </is>
      </c>
      <c r="W103" s="102" t="inlineStr">
        <is>
          <t xml:space="preserve"> </t>
        </is>
      </c>
      <c r="X103" t="inlineStr">
        <is>
          <t>No se encontró ejecución en CUIPO</t>
        </is>
      </c>
    </row>
    <row r="104">
      <c r="A104" t="inlineStr">
        <is>
          <t>IP-105</t>
        </is>
      </c>
      <c r="B104" t="inlineStr">
        <is>
          <t>33</t>
        </is>
      </c>
      <c r="C104" t="inlineStr">
        <is>
          <t>Cultura</t>
        </is>
      </c>
      <c r="D104" t="inlineStr">
        <is>
          <t>3301</t>
        </is>
      </c>
      <c r="E104" t="inlineStr">
        <is>
          <t>Promoción y acceso efectivo a procesos culturales y artísticos</t>
        </is>
      </c>
      <c r="F104" t="inlineStr">
        <is>
          <t>3301098</t>
        </is>
      </c>
      <c r="G104" t="inlineStr">
        <is>
          <t>Servicio de acceso a materiales de lectura</t>
        </is>
      </c>
      <c r="H104" t="inlineStr">
        <is>
          <t>Dotación de las bibliotecas públicas con actualizaciones, suscripciones a periódicos y revistas, publicaciones digitales, entre otros materiales de lectura adquiridos para el acceso del público.</t>
        </is>
      </c>
      <c r="I104" t="inlineStr">
        <is>
          <t>2024258170016</t>
        </is>
      </c>
      <c r="J104" s="99">
        <v>71019055.7</v>
      </c>
      <c r="K104" s="99">
        <v>0</v>
      </c>
      <c r="L104" s="99">
        <v>23417857.5</v>
      </c>
      <c r="M104" s="99">
        <v>23670693.2</v>
      </c>
      <c r="N104" s="99">
        <v>23930505</v>
      </c>
      <c r="O104" s="99" t="inlineStr">
        <is>
          <t xml:space="preserve"> </t>
        </is>
      </c>
      <c r="P104" s="99" t="inlineStr">
        <is>
          <t xml:space="preserve"> </t>
        </is>
      </c>
      <c r="Q104" s="99" t="inlineStr">
        <is>
          <t xml:space="preserve"> </t>
        </is>
      </c>
      <c r="R104" s="100" t="inlineStr">
        <is>
          <t xml:space="preserve"> </t>
        </is>
      </c>
      <c r="S104" t="inlineStr">
        <is>
          <t>No se encontró ejecución en CUIPO</t>
        </is>
      </c>
      <c r="T104" s="101" t="inlineStr">
        <is>
          <t xml:space="preserve"> </t>
        </is>
      </c>
      <c r="U104" s="101" t="inlineStr">
        <is>
          <t xml:space="preserve"> </t>
        </is>
      </c>
      <c r="V104" s="101" t="inlineStr">
        <is>
          <t xml:space="preserve"> </t>
        </is>
      </c>
      <c r="W104" s="102" t="inlineStr">
        <is>
          <t xml:space="preserve"> </t>
        </is>
      </c>
      <c r="X104" t="inlineStr">
        <is>
          <t>No se encontró ejecución en CUIPO</t>
        </is>
      </c>
    </row>
    <row r="105">
      <c r="A105" t="inlineStr">
        <is>
          <t>IP-106</t>
        </is>
      </c>
      <c r="B105" t="inlineStr">
        <is>
          <t>45</t>
        </is>
      </c>
      <c r="C105" t="inlineStr">
        <is>
          <t>Gobierno Territorial</t>
        </is>
      </c>
      <c r="D105" t="inlineStr">
        <is>
          <t>4599</t>
        </is>
      </c>
      <c r="E105" t="inlineStr">
        <is>
          <t>Fortalecimiento a la gestión y dirección de la administración pública territorial</t>
        </is>
      </c>
      <c r="F105" t="inlineStr">
        <is>
          <t>4599036</t>
        </is>
      </c>
      <c r="G105" t="inlineStr">
        <is>
          <t>Servicio de gestión documental actualizado</t>
        </is>
      </c>
      <c r="H105" t="inlineStr">
        <is>
          <t>Contempla el conjunto de actividades administrativas y técnicas tendientes a la actualización de los procesos, procedimientos de la planificación, manejo y organización de la documentación producida y recibida por las entidades, desde su origen hasta su destino final, con el objeto de facilitar su utilización y conservación.</t>
        </is>
      </c>
      <c r="I105" t="inlineStr">
        <is>
          <t>202400000006673</t>
        </is>
      </c>
      <c r="J105" s="99">
        <v>856500000</v>
      </c>
      <c r="K105" s="99">
        <v>75000000</v>
      </c>
      <c r="L105" s="99">
        <v>723500000</v>
      </c>
      <c r="M105" s="99">
        <v>18100000</v>
      </c>
      <c r="N105" s="99">
        <v>39900000</v>
      </c>
      <c r="O105" s="99" t="inlineStr">
        <is>
          <t xml:space="preserve"> </t>
        </is>
      </c>
      <c r="P105" s="99" t="inlineStr">
        <is>
          <t xml:space="preserve"> </t>
        </is>
      </c>
      <c r="Q105" s="99" t="inlineStr">
        <is>
          <t xml:space="preserve"> </t>
        </is>
      </c>
      <c r="R105" s="100" t="inlineStr">
        <is>
          <t xml:space="preserve"> </t>
        </is>
      </c>
      <c r="S105" t="inlineStr">
        <is>
          <t>No se encontró ejecución en CUIPO</t>
        </is>
      </c>
      <c r="T105" s="101">
        <v>163219320</v>
      </c>
      <c r="U105" s="101">
        <v>100423458</v>
      </c>
      <c r="V105" s="101">
        <v>100423458</v>
      </c>
      <c r="W105" s="102">
        <v>0.138802291637871</v>
      </c>
      <c r="X105" t="inlineStr">
        <is>
          <t>Lo obligado está por debajo de lo programado en la vigencia</t>
        </is>
      </c>
    </row>
    <row r="106">
      <c r="A106" t="inlineStr">
        <is>
          <t>IP-107</t>
        </is>
      </c>
      <c r="B106" t="inlineStr">
        <is>
          <t>33</t>
        </is>
      </c>
      <c r="C106" t="inlineStr">
        <is>
          <t>Cultura</t>
        </is>
      </c>
      <c r="D106" t="inlineStr">
        <is>
          <t>3301</t>
        </is>
      </c>
      <c r="E106" t="inlineStr">
        <is>
          <t>Promoción y acceso efectivo a procesos culturales y artísticos</t>
        </is>
      </c>
      <c r="F106" t="inlineStr">
        <is>
          <t>3301074</t>
        </is>
      </c>
      <c r="G106" t="inlineStr">
        <is>
          <t>Servicio de apoyo para la organización y la participación del sector artístico, cultural y la ciudadanía</t>
        </is>
      </c>
      <c r="H106" t="inlineStr">
        <is>
          <t>Generar los mecanismos para la participación de los agentes culturales, artísticos y la ciudadanía en las instancias de participación en cultura (Encuentros Sectoriales, Consejos de Áreas Artísticas y Consejos Nacionales de Cultura) para que hagan parte de los procesos de orientación, construcción y evaluación de políticas y organización sectorial.</t>
        </is>
      </c>
      <c r="I106" t="inlineStr">
        <is>
          <t>2024258170016</t>
        </is>
      </c>
      <c r="J106" s="99">
        <v>0</v>
      </c>
      <c r="K106" s="99">
        <v>0</v>
      </c>
      <c r="L106" s="99">
        <v>0</v>
      </c>
      <c r="M106" s="99">
        <v>0</v>
      </c>
      <c r="N106" s="99">
        <v>0</v>
      </c>
      <c r="O106" s="99" t="inlineStr">
        <is>
          <t xml:space="preserve"> </t>
        </is>
      </c>
      <c r="P106" s="99" t="inlineStr">
        <is>
          <t xml:space="preserve"> </t>
        </is>
      </c>
      <c r="Q106" s="99" t="inlineStr">
        <is>
          <t xml:space="preserve"> </t>
        </is>
      </c>
      <c r="R106" s="100" t="inlineStr">
        <is>
          <t xml:space="preserve"> </t>
        </is>
      </c>
      <c r="S106" t="inlineStr">
        <is>
          <t>No se encontró ejecución en CUIPO</t>
        </is>
      </c>
      <c r="T106" s="101" t="inlineStr">
        <is>
          <t xml:space="preserve"> </t>
        </is>
      </c>
      <c r="U106" s="101" t="inlineStr">
        <is>
          <t xml:space="preserve"> </t>
        </is>
      </c>
      <c r="V106" s="101" t="inlineStr">
        <is>
          <t xml:space="preserve"> </t>
        </is>
      </c>
      <c r="W106" s="102" t="inlineStr">
        <is>
          <t xml:space="preserve"> </t>
        </is>
      </c>
      <c r="X106" t="inlineStr">
        <is>
          <t>No se encontró ejecución en CUIPO</t>
        </is>
      </c>
    </row>
    <row r="107">
      <c r="A107" t="inlineStr">
        <is>
          <t>IP-108</t>
        </is>
      </c>
      <c r="B107" t="inlineStr">
        <is>
          <t>45</t>
        </is>
      </c>
      <c r="C107" t="inlineStr">
        <is>
          <t>Gobierno Territorial</t>
        </is>
      </c>
      <c r="D107" t="inlineStr">
        <is>
          <t>4501</t>
        </is>
      </c>
      <c r="E107" t="inlineStr">
        <is>
          <t>Fortalecimiento de la convivencia y la seguridad ciudadana</t>
        </is>
      </c>
      <c r="F107" t="inlineStr">
        <is>
          <t>4501004</t>
        </is>
      </c>
      <c r="G107" t="inlineStr">
        <is>
          <t>Servicio de promoción de convivencia y no repetición</t>
        </is>
      </c>
      <c r="H107" t="inlineStr">
        <is>
          <t>Incluye acciones e iniciativas de carácter institucional e interinstitucional que promuevan la desactivación de los patrones del conflicto armado interno, la construcción de la cultura de respeto y tolerancia en democracia, en perspectiva de crear y mejorar las condiciones de convivencia y de no repetición en los territorios.</t>
        </is>
      </c>
      <c r="I107" t="inlineStr">
        <is>
          <t>202400000007013</t>
        </is>
      </c>
      <c r="J107" s="99">
        <v>419351615</v>
      </c>
      <c r="K107" s="99">
        <v>85200000</v>
      </c>
      <c r="L107" s="99">
        <v>294377415</v>
      </c>
      <c r="M107" s="99">
        <v>20591200</v>
      </c>
      <c r="N107" s="99">
        <v>19183000</v>
      </c>
      <c r="O107" s="99" t="inlineStr">
        <is>
          <t xml:space="preserve"> </t>
        </is>
      </c>
      <c r="P107" s="99" t="inlineStr">
        <is>
          <t xml:space="preserve"> </t>
        </is>
      </c>
      <c r="Q107" s="99" t="inlineStr">
        <is>
          <t xml:space="preserve"> </t>
        </is>
      </c>
      <c r="R107" s="100" t="inlineStr">
        <is>
          <t xml:space="preserve"> </t>
        </is>
      </c>
      <c r="S107" t="inlineStr">
        <is>
          <t>No se encontró ejecución en CUIPO</t>
        </is>
      </c>
      <c r="T107" s="101">
        <v>76001959</v>
      </c>
      <c r="U107" s="101">
        <v>17924934</v>
      </c>
      <c r="V107" s="101">
        <v>17924934</v>
      </c>
      <c r="W107" s="102">
        <v>0.0608909960025296</v>
      </c>
      <c r="X107" t="inlineStr">
        <is>
          <t>Lo obligado está por debajo de lo programado en la vigencia</t>
        </is>
      </c>
    </row>
    <row r="108">
      <c r="A108" t="inlineStr">
        <is>
          <t>IP-109</t>
        </is>
      </c>
      <c r="B108" t="inlineStr">
        <is>
          <t>32</t>
        </is>
      </c>
      <c r="C108" t="inlineStr">
        <is>
          <t>Ambiente y desarrollo sostenible</t>
        </is>
      </c>
      <c r="D108" t="inlineStr">
        <is>
          <t>3208</t>
        </is>
      </c>
      <c r="E108" t="inlineStr">
        <is>
          <t xml:space="preserve">Educación Ambiental </t>
        </is>
      </c>
      <c r="F108" t="inlineStr">
        <is>
          <t>3208008</t>
        </is>
      </c>
      <c r="G108" t="inlineStr">
        <is>
          <t>Servicio de divulgación de la información de la política nacional de educación ambiental y participación</t>
        </is>
      </c>
      <c r="H108" t="inlineStr">
        <is>
          <t xml:space="preserve">Acciones orientadas a difundir la información ambiental en el marco de la educación ambiental </t>
        </is>
      </c>
      <c r="I108" t="inlineStr">
        <is>
          <t>2024258170053</t>
        </is>
      </c>
      <c r="J108" s="99">
        <v>30000000</v>
      </c>
      <c r="K108" s="99">
        <v>0</v>
      </c>
      <c r="L108" s="99">
        <v>30000000</v>
      </c>
      <c r="M108" s="99">
        <v>0</v>
      </c>
      <c r="N108" s="99">
        <v>0</v>
      </c>
      <c r="O108" s="99" t="inlineStr">
        <is>
          <t xml:space="preserve"> </t>
        </is>
      </c>
      <c r="P108" s="99" t="inlineStr">
        <is>
          <t xml:space="preserve"> </t>
        </is>
      </c>
      <c r="Q108" s="99" t="inlineStr">
        <is>
          <t xml:space="preserve"> </t>
        </is>
      </c>
      <c r="R108" s="100" t="inlineStr">
        <is>
          <t xml:space="preserve"> </t>
        </is>
      </c>
      <c r="S108" t="inlineStr">
        <is>
          <t>No se encontró ejecución en CUIPO</t>
        </is>
      </c>
      <c r="T108" s="101">
        <v>25768260</v>
      </c>
      <c r="U108" s="101">
        <v>0</v>
      </c>
      <c r="V108" s="101">
        <v>0</v>
      </c>
      <c r="W108" s="102">
        <v>0</v>
      </c>
      <c r="X108" t="inlineStr">
        <is>
          <t>No se ejecutó en la vigencia</t>
        </is>
      </c>
    </row>
    <row r="109">
      <c r="A109" t="inlineStr">
        <is>
          <t>IP-110</t>
        </is>
      </c>
      <c r="B109" t="inlineStr">
        <is>
          <t>41</t>
        </is>
      </c>
      <c r="C109" t="inlineStr">
        <is>
          <t xml:space="preserve">Inclusión social y reconciliación </t>
        </is>
      </c>
      <c r="D109" t="inlineStr">
        <is>
          <t>4102</t>
        </is>
      </c>
      <c r="E109" t="inlineStr">
        <is>
          <t>Desarrollo integral de la primera infancia a la juventud, y fortalecimiento de las capacidades de las familias de niñas, niños y adolescentes</t>
        </is>
      </c>
      <c r="F109" t="inlineStr">
        <is>
          <t>4102046</t>
        </is>
      </c>
      <c r="G109" t="inlineStr">
        <is>
          <t>Servicios de promoción de los derechos de los niños, niñas, adolescentes y jóvenes</t>
        </is>
      </c>
      <c r="H109" t="inlineStr">
        <is>
          <t>Estrategias mediante las cuales se difunde, motiva y sensibiliza a la sociedad en general acerca de la información de promoción y prevención de los derechos de los niños, niñas, adolescentes y jóvenes y se dan a conocer los mecanismos para su restablecimiento.  Incluye las acciones que se realizan para el intercambio de experiencias, con los agentes del Sistema Nacional de Bienestar Familiar.</t>
        </is>
      </c>
      <c r="I109" t="inlineStr">
        <is>
          <t>202400000006514</t>
        </is>
      </c>
      <c r="J109" s="99">
        <v>1734891311.4</v>
      </c>
      <c r="K109" s="99">
        <v>243750000</v>
      </c>
      <c r="L109" s="99">
        <v>1345050000</v>
      </c>
      <c r="M109" s="99">
        <v>72114631.5</v>
      </c>
      <c r="N109" s="99">
        <v>73976679.9</v>
      </c>
      <c r="O109" s="99" t="inlineStr">
        <is>
          <t xml:space="preserve"> </t>
        </is>
      </c>
      <c r="P109" s="99" t="inlineStr">
        <is>
          <t xml:space="preserve"> </t>
        </is>
      </c>
      <c r="Q109" s="99" t="inlineStr">
        <is>
          <t xml:space="preserve"> </t>
        </is>
      </c>
      <c r="R109" s="100" t="inlineStr">
        <is>
          <t xml:space="preserve"> </t>
        </is>
      </c>
      <c r="S109" t="inlineStr">
        <is>
          <t>No se encontró ejecución en CUIPO</t>
        </is>
      </c>
      <c r="T109" s="101" t="inlineStr">
        <is>
          <t xml:space="preserve"> </t>
        </is>
      </c>
      <c r="U109" s="101" t="inlineStr">
        <is>
          <t xml:space="preserve"> </t>
        </is>
      </c>
      <c r="V109" s="101" t="inlineStr">
        <is>
          <t xml:space="preserve"> </t>
        </is>
      </c>
      <c r="W109" s="102" t="inlineStr">
        <is>
          <t xml:space="preserve"> </t>
        </is>
      </c>
      <c r="X109" t="inlineStr">
        <is>
          <t>No se encontró ejecución en CUIPO</t>
        </is>
      </c>
    </row>
    <row r="110">
      <c r="A110" t="inlineStr">
        <is>
          <t>IP-111</t>
        </is>
      </c>
      <c r="B110" t="inlineStr">
        <is>
          <t>45</t>
        </is>
      </c>
      <c r="C110" t="inlineStr">
        <is>
          <t>Gobierno Territorial</t>
        </is>
      </c>
      <c r="D110" t="inlineStr">
        <is>
          <t>4502</t>
        </is>
      </c>
      <c r="E110" t="inlineStr">
        <is>
          <t>Fortalecimiento del buen gobierno para el respeto y garantía de los derechos humanos.</t>
        </is>
      </c>
      <c r="F110" t="inlineStr">
        <is>
          <t>4502022</t>
        </is>
      </c>
      <c r="G110" t="inlineStr">
        <is>
          <t>Servicio de asistencia técnica</t>
        </is>
      </c>
      <c r="H110"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110" t="inlineStr">
        <is>
          <t/>
        </is>
      </c>
      <c r="J110" s="99">
        <v>3600000</v>
      </c>
      <c r="K110" s="99">
        <v>0</v>
      </c>
      <c r="L110" s="99">
        <v>0</v>
      </c>
      <c r="M110" s="99">
        <v>1700000</v>
      </c>
      <c r="N110" s="99">
        <v>1900000</v>
      </c>
      <c r="O110" s="99" t="inlineStr">
        <is>
          <t xml:space="preserve"> </t>
        </is>
      </c>
      <c r="P110" s="99" t="inlineStr">
        <is>
          <t xml:space="preserve"> </t>
        </is>
      </c>
      <c r="Q110" s="99" t="inlineStr">
        <is>
          <t xml:space="preserve"> </t>
        </is>
      </c>
      <c r="R110" s="100" t="inlineStr">
        <is>
          <t xml:space="preserve"> </t>
        </is>
      </c>
      <c r="S110" t="inlineStr">
        <is>
          <t>Por falta de código BPIN, no se encontró ejecución en CUIPO</t>
        </is>
      </c>
      <c r="T110" s="101" t="inlineStr">
        <is>
          <t xml:space="preserve"> </t>
        </is>
      </c>
      <c r="U110" s="101" t="inlineStr">
        <is>
          <t xml:space="preserve"> </t>
        </is>
      </c>
      <c r="V110" s="101" t="inlineStr">
        <is>
          <t xml:space="preserve"> </t>
        </is>
      </c>
      <c r="W110" s="102" t="inlineStr">
        <is>
          <t xml:space="preserve"> </t>
        </is>
      </c>
      <c r="X110" t="inlineStr">
        <is>
          <t>Por falta de código BPIN, no se encontró ejecución en CUIPO</t>
        </is>
      </c>
    </row>
    <row r="111">
      <c r="A111" t="inlineStr">
        <is>
          <t>IP-112</t>
        </is>
      </c>
      <c r="B111" t="inlineStr">
        <is>
          <t>45</t>
        </is>
      </c>
      <c r="C111" t="inlineStr">
        <is>
          <t>Gobierno Territorial</t>
        </is>
      </c>
      <c r="D111" t="inlineStr">
        <is>
          <t>4501</t>
        </is>
      </c>
      <c r="E111" t="inlineStr">
        <is>
          <t>Fortalecimiento de la convivencia y la seguridad ciudadana</t>
        </is>
      </c>
      <c r="F111" t="inlineStr">
        <is>
          <t>4501007</t>
        </is>
      </c>
      <c r="G111" t="inlineStr">
        <is>
          <t>Servicio información implementado</t>
        </is>
      </c>
      <c r="H111" t="inlineStr">
        <is>
          <t>Diseño e implementación de las Tics orientadas a atender las necesidades de las dependencias de la entidad en Sistemas de Información, infraestructura computacional, y  redes, que apoyen los proceso de toma de decisiones y la accesibilidad a la ciudadanía.</t>
        </is>
      </c>
      <c r="I111" t="inlineStr">
        <is>
          <t>202400000007013</t>
        </is>
      </c>
      <c r="J111" s="99">
        <v>231963696.4</v>
      </c>
      <c r="K111" s="99">
        <v>50780696.4</v>
      </c>
      <c r="L111" s="99">
        <v>153000000</v>
      </c>
      <c r="M111" s="99">
        <v>14827500</v>
      </c>
      <c r="N111" s="99">
        <v>13355500</v>
      </c>
      <c r="O111" s="99" t="inlineStr">
        <is>
          <t xml:space="preserve"> </t>
        </is>
      </c>
      <c r="P111" s="99" t="inlineStr">
        <is>
          <t xml:space="preserve"> </t>
        </is>
      </c>
      <c r="Q111" s="99" t="inlineStr">
        <is>
          <t xml:space="preserve"> </t>
        </is>
      </c>
      <c r="R111" s="100" t="inlineStr">
        <is>
          <t xml:space="preserve"> </t>
        </is>
      </c>
      <c r="S111" t="inlineStr">
        <is>
          <t>No se encontró ejecución en CUIPO</t>
        </is>
      </c>
      <c r="T111" s="101">
        <v>50220000</v>
      </c>
      <c r="U111" s="101">
        <v>29160000</v>
      </c>
      <c r="V111" s="101">
        <v>29160000</v>
      </c>
      <c r="W111" s="102">
        <v>0.190588235294118</v>
      </c>
      <c r="X111" t="inlineStr">
        <is>
          <t>Lo obligado está por debajo de lo programado en la vigencia</t>
        </is>
      </c>
    </row>
    <row r="112">
      <c r="A112" t="inlineStr">
        <is>
          <t>IP-113</t>
        </is>
      </c>
      <c r="B112" t="inlineStr">
        <is>
          <t>45</t>
        </is>
      </c>
      <c r="C112" t="inlineStr">
        <is>
          <t>Gobierno Territorial</t>
        </is>
      </c>
      <c r="D112" t="inlineStr">
        <is>
          <t>4503</t>
        </is>
      </c>
      <c r="E112" t="inlineStr">
        <is>
          <t>Gestión del riesgo de desastres y emergencias</t>
        </is>
      </c>
      <c r="F112" t="inlineStr">
        <is>
          <t>4503028</t>
        </is>
      </c>
      <c r="G112" t="inlineStr">
        <is>
          <t>Servicios de apoyo para atención de  población afectada por situaciones de emergencia, desastre o declaratorias de calamidad pública</t>
        </is>
      </c>
      <c r="H112" t="inlineStr">
        <is>
          <t>Corresponde a la entrega de recursos en especie o monetarios dirigidos a la población afectada por situaciones  de emergencias sanitarias, naturales,  eventos catastróficos o calamidad pública declarada.</t>
        </is>
      </c>
      <c r="I112" t="inlineStr">
        <is>
          <t>202400000007122</t>
        </is>
      </c>
      <c r="J112" s="99">
        <v>164000000</v>
      </c>
      <c r="K112" s="99">
        <v>80000000</v>
      </c>
      <c r="L112" s="99">
        <v>80000000</v>
      </c>
      <c r="M112" s="99">
        <v>2250000</v>
      </c>
      <c r="N112" s="99">
        <v>1750000</v>
      </c>
      <c r="O112" s="99" t="inlineStr">
        <is>
          <t xml:space="preserve"> </t>
        </is>
      </c>
      <c r="P112" s="99" t="inlineStr">
        <is>
          <t xml:space="preserve"> </t>
        </is>
      </c>
      <c r="Q112" s="99" t="inlineStr">
        <is>
          <t xml:space="preserve"> </t>
        </is>
      </c>
      <c r="R112" s="100" t="inlineStr">
        <is>
          <t xml:space="preserve"> </t>
        </is>
      </c>
      <c r="S112" t="inlineStr">
        <is>
          <t>No se encontró ejecución en CUIPO</t>
        </is>
      </c>
      <c r="T112" s="101" t="inlineStr">
        <is>
          <t xml:space="preserve"> </t>
        </is>
      </c>
      <c r="U112" s="101" t="inlineStr">
        <is>
          <t xml:space="preserve"> </t>
        </is>
      </c>
      <c r="V112" s="101" t="inlineStr">
        <is>
          <t xml:space="preserve"> </t>
        </is>
      </c>
      <c r="W112" s="102" t="inlineStr">
        <is>
          <t xml:space="preserve"> </t>
        </is>
      </c>
      <c r="X112" t="inlineStr">
        <is>
          <t>No se encontró ejecución en CUIPO</t>
        </is>
      </c>
    </row>
    <row r="113">
      <c r="A113" t="inlineStr">
        <is>
          <t>IP-114</t>
        </is>
      </c>
      <c r="B113" t="inlineStr">
        <is>
          <t>45</t>
        </is>
      </c>
      <c r="C113" t="inlineStr">
        <is>
          <t>Gobierno Territorial</t>
        </is>
      </c>
      <c r="D113" t="inlineStr">
        <is>
          <t>4502</t>
        </is>
      </c>
      <c r="E113" t="inlineStr">
        <is>
          <t>Fortalecimiento del buen gobierno para el respeto y garantía de los derechos humanos.</t>
        </is>
      </c>
      <c r="F113" t="inlineStr">
        <is>
          <t>4502038</t>
        </is>
      </c>
      <c r="G113" t="inlineStr">
        <is>
          <t>Servicio de promoción de la garantía de derechos</t>
        </is>
      </c>
      <c r="H113" t="inlineStr">
        <is>
          <t>Incluye el desarrollo de acciones orientadas a divulgar y promover los mecanismos de atención, protección y ejercicio de los derechos de las mujeres, población LGTBI y personas y comunidades en riesgo así como la prevención de su vulneración.</t>
        </is>
      </c>
      <c r="I113" t="inlineStr">
        <is>
          <t/>
        </is>
      </c>
      <c r="J113" s="99">
        <v>1650000</v>
      </c>
      <c r="K113" s="99">
        <v>0</v>
      </c>
      <c r="L113" s="99">
        <v>0</v>
      </c>
      <c r="M113" s="99">
        <v>1650000</v>
      </c>
      <c r="N113" s="99">
        <v>0</v>
      </c>
      <c r="O113" s="99" t="inlineStr">
        <is>
          <t xml:space="preserve"> </t>
        </is>
      </c>
      <c r="P113" s="99" t="inlineStr">
        <is>
          <t xml:space="preserve"> </t>
        </is>
      </c>
      <c r="Q113" s="99" t="inlineStr">
        <is>
          <t xml:space="preserve"> </t>
        </is>
      </c>
      <c r="R113" s="100" t="inlineStr">
        <is>
          <t xml:space="preserve"> </t>
        </is>
      </c>
      <c r="S113" t="inlineStr">
        <is>
          <t>Por falta de código BPIN, no se encontró ejecución en CUIPO</t>
        </is>
      </c>
      <c r="T113" s="101" t="inlineStr">
        <is>
          <t xml:space="preserve"> </t>
        </is>
      </c>
      <c r="U113" s="101" t="inlineStr">
        <is>
          <t xml:space="preserve"> </t>
        </is>
      </c>
      <c r="V113" s="101" t="inlineStr">
        <is>
          <t xml:space="preserve"> </t>
        </is>
      </c>
      <c r="W113" s="102" t="inlineStr">
        <is>
          <t xml:space="preserve"> </t>
        </is>
      </c>
      <c r="X113" t="inlineStr">
        <is>
          <t>Por falta de código BPIN, no se encontró ejecución en CUIPO</t>
        </is>
      </c>
    </row>
    <row r="114">
      <c r="A114" t="inlineStr">
        <is>
          <t>IP-115</t>
        </is>
      </c>
      <c r="B114" t="inlineStr">
        <is>
          <t>32</t>
        </is>
      </c>
      <c r="C114" t="inlineStr">
        <is>
          <t>Ambiente y desarrollo sostenible</t>
        </is>
      </c>
      <c r="D114" t="inlineStr">
        <is>
          <t>3206</t>
        </is>
      </c>
      <c r="E114" t="inlineStr">
        <is>
          <t>Gestión del cambio climático para un desarrollo bajo en carbono y resiliente al clima</t>
        </is>
      </c>
      <c r="F114" t="inlineStr">
        <is>
          <t>3206003</t>
        </is>
      </c>
      <c r="G114" t="inlineStr">
        <is>
          <t>Servicio de apoyo técnico para la implementación de acciones de mitigación y adaptación al cambio climático</t>
        </is>
      </c>
      <c r="H114" t="inlineStr">
        <is>
          <t>Incluye la formulación e implementación de intervenciones locales orientadas a reducir las emisiones de gases efecto invernadero, aumento de sumideros de carbono, reducción de la vulnerabilidad, y aumento de la resiliencia a la variabilidad y al cambio climático. </t>
        </is>
      </c>
      <c r="I114" t="inlineStr">
        <is>
          <t>2024258170047</t>
        </is>
      </c>
      <c r="J114" s="99">
        <v>83982235</v>
      </c>
      <c r="K114" s="99">
        <v>0</v>
      </c>
      <c r="L114" s="99">
        <v>71982235</v>
      </c>
      <c r="M114" s="99">
        <v>10000000</v>
      </c>
      <c r="N114" s="99">
        <v>2000000</v>
      </c>
      <c r="O114" s="99" t="inlineStr">
        <is>
          <t xml:space="preserve"> </t>
        </is>
      </c>
      <c r="P114" s="99" t="inlineStr">
        <is>
          <t xml:space="preserve"> </t>
        </is>
      </c>
      <c r="Q114" s="99" t="inlineStr">
        <is>
          <t xml:space="preserve"> </t>
        </is>
      </c>
      <c r="R114" s="100" t="inlineStr">
        <is>
          <t xml:space="preserve"> </t>
        </is>
      </c>
      <c r="S114" t="inlineStr">
        <is>
          <t>No se encontró ejecución en CUIPO</t>
        </is>
      </c>
      <c r="T114" s="101">
        <v>68448902</v>
      </c>
      <c r="U114" s="101">
        <v>64962235</v>
      </c>
      <c r="V114" s="101">
        <v>64962235</v>
      </c>
      <c r="W114" s="102">
        <v>0.902475937292028</v>
      </c>
      <c r="X114" t="inlineStr">
        <is>
          <t>Lo obligado está por debajo de lo programado en la vigencia</t>
        </is>
      </c>
    </row>
    <row r="115">
      <c r="A115" t="inlineStr">
        <is>
          <t>IP-116</t>
        </is>
      </c>
      <c r="B115" t="inlineStr">
        <is>
          <t>45</t>
        </is>
      </c>
      <c r="C115" t="inlineStr">
        <is>
          <t>Gobierno Territorial</t>
        </is>
      </c>
      <c r="D115" t="inlineStr">
        <is>
          <t>4502</t>
        </is>
      </c>
      <c r="E115" t="inlineStr">
        <is>
          <t>Fortalecimiento del buen gobierno para el respeto y garantía de los derechos humanos.</t>
        </is>
      </c>
      <c r="F115" t="inlineStr">
        <is>
          <t>4502024</t>
        </is>
      </c>
      <c r="G115" t="inlineStr">
        <is>
          <t>Servicio de apoyo para la implementación de medidas en derechos humanos y derecho internacional humanitario</t>
        </is>
      </c>
      <c r="H115" t="inlineStr">
        <is>
          <t xml:space="preserve"> Implementar decisiones de instancias internacionales frente a violaciones de Derechos Humanos para el cumplimiento de las obligaciones que tiene el Estado colombiano.</t>
        </is>
      </c>
      <c r="I115" t="inlineStr">
        <is>
          <t>202400000006494</t>
        </is>
      </c>
      <c r="J115" s="99">
        <v>2173285196</v>
      </c>
      <c r="K115" s="99">
        <v>209000000</v>
      </c>
      <c r="L115" s="99">
        <v>1823759598</v>
      </c>
      <c r="M115" s="99">
        <v>69929718.7</v>
      </c>
      <c r="N115" s="99">
        <v>70595879.3</v>
      </c>
      <c r="O115" s="99" t="inlineStr">
        <is>
          <t xml:space="preserve"> </t>
        </is>
      </c>
      <c r="P115" s="99" t="inlineStr">
        <is>
          <t xml:space="preserve"> </t>
        </is>
      </c>
      <c r="Q115" s="99" t="inlineStr">
        <is>
          <t xml:space="preserve"> </t>
        </is>
      </c>
      <c r="R115" s="100" t="inlineStr">
        <is>
          <t xml:space="preserve"> </t>
        </is>
      </c>
      <c r="S115" t="inlineStr">
        <is>
          <t>No se encontró ejecución en CUIPO</t>
        </is>
      </c>
      <c r="T115" s="101" t="inlineStr">
        <is>
          <t xml:space="preserve"> </t>
        </is>
      </c>
      <c r="U115" s="101" t="inlineStr">
        <is>
          <t xml:space="preserve"> </t>
        </is>
      </c>
      <c r="V115" s="101" t="inlineStr">
        <is>
          <t xml:space="preserve"> </t>
        </is>
      </c>
      <c r="W115" s="102" t="inlineStr">
        <is>
          <t xml:space="preserve"> </t>
        </is>
      </c>
      <c r="X115" t="inlineStr">
        <is>
          <t>No se encontró ejecución en CUIPO</t>
        </is>
      </c>
    </row>
    <row r="116">
      <c r="A116" t="inlineStr">
        <is>
          <t>IP-117</t>
        </is>
      </c>
      <c r="B116" t="inlineStr">
        <is>
          <t>23</t>
        </is>
      </c>
      <c r="C116" t="inlineStr">
        <is>
          <t>Tecnologías de la información y las comunicaciones</t>
        </is>
      </c>
      <c r="D116" t="inlineStr">
        <is>
          <t>2301</t>
        </is>
      </c>
      <c r="E116" t="inlineStr">
        <is>
          <t>Facilitar el acceso y uso de las Tecnologías de la Información y las Comunicaciones (TIC) en todo el territorio nacional</t>
        </is>
      </c>
      <c r="F116" t="inlineStr">
        <is>
          <t>2301034</t>
        </is>
      </c>
      <c r="G116" t="inlineStr">
        <is>
          <t>Servicio de educación para el trabajo en tecnologías de la información y las comunicaciones</t>
        </is>
      </c>
      <c r="H116" t="inlineStr">
        <is>
          <t>Capacitación en conceptos básicos de informática e Internet aproximado 3 horas</t>
        </is>
      </c>
      <c r="I116" t="inlineStr">
        <is>
          <t>202500000000022</t>
        </is>
      </c>
      <c r="J116" s="99">
        <v>44000000</v>
      </c>
      <c r="K116" s="99">
        <v>20000000</v>
      </c>
      <c r="L116" s="99">
        <v>20000000</v>
      </c>
      <c r="M116" s="99">
        <v>2000000</v>
      </c>
      <c r="N116" s="99">
        <v>2000000</v>
      </c>
      <c r="O116" s="99" t="inlineStr">
        <is>
          <t xml:space="preserve"> </t>
        </is>
      </c>
      <c r="P116" s="99" t="inlineStr">
        <is>
          <t xml:space="preserve"> </t>
        </is>
      </c>
      <c r="Q116" s="99" t="inlineStr">
        <is>
          <t xml:space="preserve"> </t>
        </is>
      </c>
      <c r="R116" s="100" t="inlineStr">
        <is>
          <t xml:space="preserve"> </t>
        </is>
      </c>
      <c r="S116" t="inlineStr">
        <is>
          <t>No se encontró ejecución en CUIPO</t>
        </is>
      </c>
      <c r="T116" s="101" t="inlineStr">
        <is>
          <t xml:space="preserve"> </t>
        </is>
      </c>
      <c r="U116" s="101" t="inlineStr">
        <is>
          <t xml:space="preserve"> </t>
        </is>
      </c>
      <c r="V116" s="101" t="inlineStr">
        <is>
          <t xml:space="preserve"> </t>
        </is>
      </c>
      <c r="W116" s="102" t="inlineStr">
        <is>
          <t xml:space="preserve"> </t>
        </is>
      </c>
      <c r="X116" t="inlineStr">
        <is>
          <t>No se encontró ejecución en CUIPO</t>
        </is>
      </c>
    </row>
    <row r="117">
      <c r="A117" t="inlineStr">
        <is>
          <t>IP-118</t>
        </is>
      </c>
      <c r="B117" t="inlineStr">
        <is>
          <t>43</t>
        </is>
      </c>
      <c r="C117" t="inlineStr">
        <is>
          <t>Deporte y Recreación</t>
        </is>
      </c>
      <c r="D117" t="inlineStr">
        <is>
          <t>4301</t>
        </is>
      </c>
      <c r="E117" t="inlineStr">
        <is>
          <t>Fomento a la recreación, la actividad física y el deporte para desarrollar entornos de convivencia y paz</t>
        </is>
      </c>
      <c r="F117" t="inlineStr">
        <is>
          <t>4301007</t>
        </is>
      </c>
      <c r="G117" t="inlineStr">
        <is>
          <t>Servicio de Escuelas Deportivas</t>
        </is>
      </c>
      <c r="H117" t="inlineStr">
        <is>
          <t>Corresponde a los procesos de iniciación, fundamentación y perfeccionamiento deportivos a partir de  las clases donde se practica la actividad física, la recreación y/o el deporte.</t>
        </is>
      </c>
      <c r="I117" t="inlineStr">
        <is>
          <t>2024258170020</t>
        </is>
      </c>
      <c r="J117" s="99">
        <v>8460887988.2</v>
      </c>
      <c r="K117" s="99">
        <v>2908944211</v>
      </c>
      <c r="L117" s="99">
        <v>243373777.2</v>
      </c>
      <c r="M117" s="99">
        <v>2556879000</v>
      </c>
      <c r="N117" s="99">
        <v>2751691000</v>
      </c>
      <c r="O117" s="99" t="inlineStr">
        <is>
          <t xml:space="preserve"> </t>
        </is>
      </c>
      <c r="P117" s="99" t="inlineStr">
        <is>
          <t xml:space="preserve"> </t>
        </is>
      </c>
      <c r="Q117" s="99" t="inlineStr">
        <is>
          <t xml:space="preserve"> </t>
        </is>
      </c>
      <c r="R117" s="100" t="inlineStr">
        <is>
          <t xml:space="preserve"> </t>
        </is>
      </c>
      <c r="S117" t="inlineStr">
        <is>
          <t>No se encontró ejecución en CUIPO</t>
        </is>
      </c>
      <c r="T117" s="101">
        <v>3463892891</v>
      </c>
      <c r="U117" s="101">
        <v>2525887921</v>
      </c>
      <c r="V117" s="101">
        <v>2525887921</v>
      </c>
      <c r="W117" s="102">
        <v>10.3786363102064</v>
      </c>
      <c r="X117" t="inlineStr">
        <is>
          <t>Hubo ejecución por encima de lo programado en SisPT</t>
        </is>
      </c>
    </row>
    <row r="118">
      <c r="A118" t="inlineStr">
        <is>
          <t>IP-119</t>
        </is>
      </c>
      <c r="B118" t="inlineStr">
        <is>
          <t>41</t>
        </is>
      </c>
      <c r="C118" t="inlineStr">
        <is>
          <t xml:space="preserve">Inclusión social y reconciliación </t>
        </is>
      </c>
      <c r="D118" t="inlineStr">
        <is>
          <t>4103</t>
        </is>
      </c>
      <c r="E118" t="inlineStr">
        <is>
          <t>Inclusión social y productiva para la población en situación de vulnerabilidad</t>
        </is>
      </c>
      <c r="F118" t="inlineStr">
        <is>
          <t>4103031</t>
        </is>
      </c>
      <c r="G118" t="inlineStr">
        <is>
          <t>Centros comunitarios dotados</t>
        </is>
      </c>
      <c r="H118" t="inlineStr">
        <is>
          <t xml:space="preserve">Dotación de infraestructura dispuesta a la comunidad para que pueda desarrollar actividades culturales, sociales y de formación. </t>
        </is>
      </c>
      <c r="I118" t="inlineStr">
        <is>
          <t>202400000006486</t>
        </is>
      </c>
      <c r="J118" s="99">
        <v>5092751537</v>
      </c>
      <c r="K118" s="99">
        <v>0</v>
      </c>
      <c r="L118" s="99">
        <v>4591354537</v>
      </c>
      <c r="M118" s="99">
        <v>131397000</v>
      </c>
      <c r="N118" s="99">
        <v>370000000</v>
      </c>
      <c r="O118" s="99" t="inlineStr">
        <is>
          <t xml:space="preserve"> </t>
        </is>
      </c>
      <c r="P118" s="99" t="inlineStr">
        <is>
          <t xml:space="preserve"> </t>
        </is>
      </c>
      <c r="Q118" s="99" t="inlineStr">
        <is>
          <t xml:space="preserve"> </t>
        </is>
      </c>
      <c r="R118" s="100" t="inlineStr">
        <is>
          <t xml:space="preserve"> </t>
        </is>
      </c>
      <c r="S118" t="inlineStr">
        <is>
          <t>No se encontró ejecución en CUIPO</t>
        </is>
      </c>
      <c r="T118" s="101">
        <v>24279761</v>
      </c>
      <c r="U118" s="101">
        <v>9000000</v>
      </c>
      <c r="V118" s="101">
        <v>9000000</v>
      </c>
      <c r="W118" s="102">
        <v>0.00196020584502294</v>
      </c>
      <c r="X118" t="inlineStr">
        <is>
          <t>Lo obligado está por debajo de lo programado en la vigencia</t>
        </is>
      </c>
    </row>
    <row r="119">
      <c r="A119" t="inlineStr">
        <is>
          <t>IP-120</t>
        </is>
      </c>
      <c r="B119" t="inlineStr">
        <is>
          <t>41</t>
        </is>
      </c>
      <c r="C119" t="inlineStr">
        <is>
          <t xml:space="preserve">Inclusión social y reconciliación </t>
        </is>
      </c>
      <c r="D119" t="inlineStr">
        <is>
          <t>4103</t>
        </is>
      </c>
      <c r="E119" t="inlineStr">
        <is>
          <t>Inclusión social y productiva para la población en situación de vulnerabilidad</t>
        </is>
      </c>
      <c r="F119" t="inlineStr">
        <is>
          <t>4103050</t>
        </is>
      </c>
      <c r="G119" t="inlineStr">
        <is>
          <t>Servicio de acompañamiento familiar y comunitario para la superación de la pobreza</t>
        </is>
      </c>
      <c r="H119" t="inlineStr">
        <is>
          <t>Incluye el desarrollo de acciones mediante las cuales se busca fortalecer la capacidad de autogestión y el tejido social en los hogares que se encuentran en situación de pobreza y en las comunidades focalizadas, para mejorar sus condiciones de vida. Tiene componentes de acompañamiento familiar y comunitario y de gestión de oferta institucional.</t>
        </is>
      </c>
      <c r="I119" t="inlineStr">
        <is>
          <t>202400000006709</t>
        </is>
      </c>
      <c r="J119" s="99">
        <v>480547057.6</v>
      </c>
      <c r="K119" s="99">
        <v>124000000</v>
      </c>
      <c r="L119" s="99">
        <v>354842400</v>
      </c>
      <c r="M119" s="99">
        <v>852328.8</v>
      </c>
      <c r="N119" s="99">
        <v>852328.8</v>
      </c>
      <c r="O119" s="99" t="inlineStr">
        <is>
          <t xml:space="preserve"> </t>
        </is>
      </c>
      <c r="P119" s="99" t="inlineStr">
        <is>
          <t xml:space="preserve"> </t>
        </is>
      </c>
      <c r="Q119" s="99" t="inlineStr">
        <is>
          <t xml:space="preserve"> </t>
        </is>
      </c>
      <c r="R119" s="100" t="inlineStr">
        <is>
          <t xml:space="preserve"> </t>
        </is>
      </c>
      <c r="S119" t="inlineStr">
        <is>
          <t>No se encontró ejecución en CUIPO</t>
        </is>
      </c>
      <c r="T119" s="101">
        <v>241866800</v>
      </c>
      <c r="U119" s="101">
        <v>114902000</v>
      </c>
      <c r="V119" s="101">
        <v>114902000</v>
      </c>
      <c r="W119" s="102">
        <v>0.323811359634587</v>
      </c>
      <c r="X119" t="inlineStr">
        <is>
          <t>Lo obligado está por debajo de lo programado en la vigencia</t>
        </is>
      </c>
    </row>
    <row r="120">
      <c r="A120" t="inlineStr">
        <is>
          <t>IP-121</t>
        </is>
      </c>
      <c r="B120" t="inlineStr">
        <is>
          <t>40</t>
        </is>
      </c>
      <c r="C120" t="inlineStr">
        <is>
          <t>Vivienda, ciudad y territorio</t>
        </is>
      </c>
      <c r="D120" t="inlineStr">
        <is>
          <t>4003</t>
        </is>
      </c>
      <c r="E120" t="inlineStr">
        <is>
          <t>Acceso de la población a los servicios de agua potable y saneamiento básico</t>
        </is>
      </c>
      <c r="F120" t="inlineStr">
        <is>
          <t>4003019</t>
        </is>
      </c>
      <c r="G120" t="inlineStr">
        <is>
          <t>Alcantarillados ampliados</t>
        </is>
      </c>
      <c r="H120" t="inlineStr">
        <is>
          <t>Conjunto de acciones y obras requeridas para aumentar la capacidad del alcantarillado en una misma área de cobertura.</t>
        </is>
      </c>
      <c r="I120" t="inlineStr">
        <is>
          <t>202400000006996</t>
        </is>
      </c>
      <c r="J120" s="99">
        <v>921815851.8</v>
      </c>
      <c r="K120" s="99">
        <v>74588451.8</v>
      </c>
      <c r="L120" s="99">
        <v>400000000</v>
      </c>
      <c r="M120" s="99">
        <v>197227400</v>
      </c>
      <c r="N120" s="99">
        <v>250000000</v>
      </c>
      <c r="O120" s="99" t="inlineStr">
        <is>
          <t xml:space="preserve"> </t>
        </is>
      </c>
      <c r="P120" s="99" t="inlineStr">
        <is>
          <t xml:space="preserve"> </t>
        </is>
      </c>
      <c r="Q120" s="99" t="inlineStr">
        <is>
          <t xml:space="preserve"> </t>
        </is>
      </c>
      <c r="R120" s="100" t="inlineStr">
        <is>
          <t xml:space="preserve"> </t>
        </is>
      </c>
      <c r="S120" t="inlineStr">
        <is>
          <t>No se encontró ejecución en CUIPO</t>
        </is>
      </c>
      <c r="T120" s="101" t="inlineStr">
        <is>
          <t xml:space="preserve"> </t>
        </is>
      </c>
      <c r="U120" s="101" t="inlineStr">
        <is>
          <t xml:space="preserve"> </t>
        </is>
      </c>
      <c r="V120" s="101" t="inlineStr">
        <is>
          <t xml:space="preserve"> </t>
        </is>
      </c>
      <c r="W120" s="102" t="inlineStr">
        <is>
          <t xml:space="preserve"> </t>
        </is>
      </c>
      <c r="X120" t="inlineStr">
        <is>
          <t>No se encontró ejecución en CUIPO</t>
        </is>
      </c>
    </row>
    <row r="121">
      <c r="A121" t="inlineStr">
        <is>
          <t>IP-122</t>
        </is>
      </c>
      <c r="B121" t="inlineStr">
        <is>
          <t>41</t>
        </is>
      </c>
      <c r="C121" t="inlineStr">
        <is>
          <t xml:space="preserve">Inclusión social y reconciliación </t>
        </is>
      </c>
      <c r="D121" t="inlineStr">
        <is>
          <t>4102</t>
        </is>
      </c>
      <c r="E121" t="inlineStr">
        <is>
          <t>Desarrollo integral de la primera infancia a la juventud, y fortalecimiento de las capacidades de las familias de niñas, niños y adolescentes</t>
        </is>
      </c>
      <c r="F121" t="inlineStr">
        <is>
          <t>4102002</t>
        </is>
      </c>
      <c r="G121" t="inlineStr">
        <is>
          <t>Servicio de atención tradicional a la primera infancia</t>
        </is>
      </c>
      <c r="H121" t="inlineStr">
        <is>
          <t xml:space="preserve">
Servicio dispuestos para atender a los niños y niñas en primera infancia, en los Hogares Comunitarios que brindan  cuidado, nutrición y protección.</t>
        </is>
      </c>
      <c r="I121" t="inlineStr">
        <is>
          <t>202400000006514</t>
        </is>
      </c>
      <c r="J121" s="99">
        <v>2938705845.2</v>
      </c>
      <c r="K121" s="99">
        <v>1069047880</v>
      </c>
      <c r="L121" s="99">
        <v>1469712563</v>
      </c>
      <c r="M121" s="99">
        <v>199274487</v>
      </c>
      <c r="N121" s="99">
        <v>200670915.2</v>
      </c>
      <c r="O121" s="99" t="inlineStr">
        <is>
          <t xml:space="preserve"> </t>
        </is>
      </c>
      <c r="P121" s="99" t="inlineStr">
        <is>
          <t xml:space="preserve"> </t>
        </is>
      </c>
      <c r="Q121" s="99" t="inlineStr">
        <is>
          <t xml:space="preserve"> </t>
        </is>
      </c>
      <c r="R121" s="100" t="inlineStr">
        <is>
          <t xml:space="preserve"> </t>
        </is>
      </c>
      <c r="S121" t="inlineStr">
        <is>
          <t>No se encontró ejecución en CUIPO</t>
        </is>
      </c>
      <c r="T121" s="101" t="inlineStr">
        <is>
          <t xml:space="preserve"> </t>
        </is>
      </c>
      <c r="U121" s="101" t="inlineStr">
        <is>
          <t xml:space="preserve"> </t>
        </is>
      </c>
      <c r="V121" s="101" t="inlineStr">
        <is>
          <t xml:space="preserve"> </t>
        </is>
      </c>
      <c r="W121" s="102" t="inlineStr">
        <is>
          <t xml:space="preserve"> </t>
        </is>
      </c>
      <c r="X121" t="inlineStr">
        <is>
          <t>No se encontró ejecución en CUIPO</t>
        </is>
      </c>
    </row>
    <row r="122">
      <c r="A122" t="inlineStr">
        <is>
          <t>IP-123</t>
        </is>
      </c>
      <c r="B122" t="inlineStr">
        <is>
          <t>41</t>
        </is>
      </c>
      <c r="C122" t="inlineStr">
        <is>
          <t xml:space="preserve">Inclusión social y reconciliación </t>
        </is>
      </c>
      <c r="D122" t="inlineStr">
        <is>
          <t>4102</t>
        </is>
      </c>
      <c r="E122" t="inlineStr">
        <is>
          <t>Desarrollo integral de la primera infancia a la juventud, y fortalecimiento de las capacidades de las familias de niñas, niños y adolescentes</t>
        </is>
      </c>
      <c r="F122" t="inlineStr">
        <is>
          <t>4102001</t>
        </is>
      </c>
      <c r="G122" t="inlineStr">
        <is>
          <t>Servicio de atención integral a la primera infancia</t>
        </is>
      </c>
      <c r="H122" t="inlineStr">
        <is>
          <t xml:space="preserve">
Servicio dispuestos para atender a los niños y niñas en primera infancia, con el fin de promover su desarrollo integral a través de la atención en educación inicial, cuidado calificado, salud, nutrición, protección y acompañamiento familiar.
</t>
        </is>
      </c>
      <c r="I122" t="inlineStr">
        <is>
          <t>202400000006514</t>
        </is>
      </c>
      <c r="J122" s="99">
        <v>3914439716.2</v>
      </c>
      <c r="K122" s="99">
        <v>938591526</v>
      </c>
      <c r="L122" s="99">
        <v>2575902788</v>
      </c>
      <c r="M122" s="99">
        <v>199274487</v>
      </c>
      <c r="N122" s="99">
        <v>200670915.2</v>
      </c>
      <c r="O122" s="99" t="inlineStr">
        <is>
          <t xml:space="preserve"> </t>
        </is>
      </c>
      <c r="P122" s="99" t="inlineStr">
        <is>
          <t xml:space="preserve"> </t>
        </is>
      </c>
      <c r="Q122" s="99" t="inlineStr">
        <is>
          <t xml:space="preserve"> </t>
        </is>
      </c>
      <c r="R122" s="100" t="inlineStr">
        <is>
          <t xml:space="preserve"> </t>
        </is>
      </c>
      <c r="S122" t="inlineStr">
        <is>
          <t>No se encontró ejecución en CUIPO</t>
        </is>
      </c>
      <c r="T122" s="101">
        <v>4811114642</v>
      </c>
      <c r="U122" s="101">
        <v>2992672661</v>
      </c>
      <c r="V122" s="101">
        <v>2981093473</v>
      </c>
      <c r="W122" s="102">
        <v>1.16179565274806</v>
      </c>
      <c r="X122" t="inlineStr">
        <is>
          <t>Hubo ejecución por encima de lo programado en SisPT</t>
        </is>
      </c>
    </row>
    <row r="123">
      <c r="A123" t="inlineStr">
        <is>
          <t>IP-124</t>
        </is>
      </c>
      <c r="B123" t="inlineStr">
        <is>
          <t>23</t>
        </is>
      </c>
      <c r="C123" t="inlineStr">
        <is>
          <t>Tecnologías de la información y las comunicaciones</t>
        </is>
      </c>
      <c r="D123" t="inlineStr">
        <is>
          <t>2302</t>
        </is>
      </c>
      <c r="E123" t="inlineStr">
        <is>
          <t>Fomento del desarrollo de aplicaciones, software y contenidos para impulsar la apropiación de las Tecnologías de la Información y las Comunicaciones (TIC)</t>
        </is>
      </c>
      <c r="F123" t="inlineStr">
        <is>
          <t>2302013</t>
        </is>
      </c>
      <c r="G123" t="inlineStr">
        <is>
          <t>Servicio de apoyo financiero para el desarrollo de programas de formación inicial y contínua en nuevas tecnologías</t>
        </is>
      </c>
      <c r="H123" t="inlineStr">
        <is>
          <t xml:space="preserve">hace referencia a los modelos desarrollados para la formación de colombianos en tecnologías avanzadas.  De igual manera mide el  numero de profesionales colombianos formados en programas iniciales  y continuos en nuevas tecnologías.   </t>
        </is>
      </c>
      <c r="I123" t="inlineStr">
        <is>
          <t>202400000007305</t>
        </is>
      </c>
      <c r="J123" s="99">
        <v>73000000</v>
      </c>
      <c r="K123" s="99">
        <v>20000000</v>
      </c>
      <c r="L123" s="99">
        <v>45000000</v>
      </c>
      <c r="M123" s="99">
        <v>4000000</v>
      </c>
      <c r="N123" s="99">
        <v>4000000</v>
      </c>
      <c r="O123" s="99" t="inlineStr">
        <is>
          <t xml:space="preserve"> </t>
        </is>
      </c>
      <c r="P123" s="99" t="inlineStr">
        <is>
          <t xml:space="preserve"> </t>
        </is>
      </c>
      <c r="Q123" s="99" t="inlineStr">
        <is>
          <t xml:space="preserve"> </t>
        </is>
      </c>
      <c r="R123" s="100" t="inlineStr">
        <is>
          <t xml:space="preserve"> </t>
        </is>
      </c>
      <c r="S123" t="inlineStr">
        <is>
          <t>No se encontró ejecución en CUIPO</t>
        </is>
      </c>
      <c r="T123" s="101" t="inlineStr">
        <is>
          <t xml:space="preserve"> </t>
        </is>
      </c>
      <c r="U123" s="101" t="inlineStr">
        <is>
          <t xml:space="preserve"> </t>
        </is>
      </c>
      <c r="V123" s="101" t="inlineStr">
        <is>
          <t xml:space="preserve"> </t>
        </is>
      </c>
      <c r="W123" s="102" t="inlineStr">
        <is>
          <t xml:space="preserve"> </t>
        </is>
      </c>
      <c r="X123" t="inlineStr">
        <is>
          <t>No se encontró ejecución en CUIPO</t>
        </is>
      </c>
    </row>
    <row r="124">
      <c r="A124" t="inlineStr">
        <is>
          <t>IP-125</t>
        </is>
      </c>
      <c r="B124" t="inlineStr">
        <is>
          <t>19</t>
        </is>
      </c>
      <c r="C124" t="inlineStr">
        <is>
          <t>Salud y protección social</t>
        </is>
      </c>
      <c r="D124" t="inlineStr">
        <is>
          <t>1906</t>
        </is>
      </c>
      <c r="E124" t="inlineStr">
        <is>
          <t>Aseguramiento y prestación integral de servicios de salud</t>
        </is>
      </c>
      <c r="F124" t="inlineStr">
        <is>
          <t>1906044</t>
        </is>
      </c>
      <c r="G124" t="inlineStr">
        <is>
          <t>Servicio de afiliaciones al régimen subsidiado del Sistema General de Seguridad Social</t>
        </is>
      </c>
      <c r="H124" t="inlineStr">
        <is>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is>
      </c>
      <c r="I124" t="inlineStr">
        <is>
          <t>202400000006244</t>
        </is>
      </c>
      <c r="J124" s="99">
        <v>18419204947.4</v>
      </c>
      <c r="K124" s="99">
        <v>14609953933</v>
      </c>
      <c r="L124" s="99">
        <v>1208327046.6</v>
      </c>
      <c r="M124" s="99">
        <v>1268743398.9</v>
      </c>
      <c r="N124" s="99">
        <v>1332180568.9</v>
      </c>
      <c r="O124" s="99" t="inlineStr">
        <is>
          <t xml:space="preserve"> </t>
        </is>
      </c>
      <c r="P124" s="99" t="inlineStr">
        <is>
          <t xml:space="preserve"> </t>
        </is>
      </c>
      <c r="Q124" s="99" t="inlineStr">
        <is>
          <t xml:space="preserve"> </t>
        </is>
      </c>
      <c r="R124" s="100" t="inlineStr">
        <is>
          <t xml:space="preserve"> </t>
        </is>
      </c>
      <c r="S124" t="inlineStr">
        <is>
          <t>No se encontró ejecución en CUIPO</t>
        </is>
      </c>
      <c r="T124" s="101">
        <v>10928162914</v>
      </c>
      <c r="U124" s="101">
        <v>10928162914</v>
      </c>
      <c r="V124" s="101">
        <v>10928162914</v>
      </c>
      <c r="W124" s="102">
        <v>9.04404394882143</v>
      </c>
      <c r="X124" t="inlineStr">
        <is>
          <t>Hubo ejecución por encima de lo programado en SisPT</t>
        </is>
      </c>
    </row>
    <row r="125">
      <c r="A125" t="inlineStr">
        <is>
          <t>IP-126</t>
        </is>
      </c>
      <c r="B125" t="inlineStr">
        <is>
          <t>36</t>
        </is>
      </c>
      <c r="C125" t="inlineStr">
        <is>
          <t>Trabajo</t>
        </is>
      </c>
      <c r="D125" t="inlineStr">
        <is>
          <t>3602</t>
        </is>
      </c>
      <c r="E125" t="inlineStr">
        <is>
          <t>Generación y formalización del empleo</t>
        </is>
      </c>
      <c r="F125" t="inlineStr">
        <is>
          <t>3602006</t>
        </is>
      </c>
      <c r="G125" t="inlineStr">
        <is>
          <t>Servicio de registro laboral</t>
        </is>
      </c>
      <c r="H125" t="inlineStr">
        <is>
          <t>Es la inscripción de hojas de vida de las personas en los centros de Atención, con la asistencia de un facilitador.</t>
        </is>
      </c>
      <c r="I125" t="inlineStr">
        <is>
          <t>202400000006204</t>
        </is>
      </c>
      <c r="J125" s="99">
        <v>140000000</v>
      </c>
      <c r="K125" s="99">
        <v>70000000</v>
      </c>
      <c r="L125" s="99">
        <v>60000000</v>
      </c>
      <c r="M125" s="99">
        <v>5000000</v>
      </c>
      <c r="N125" s="99">
        <v>5000000</v>
      </c>
      <c r="O125" s="99" t="inlineStr">
        <is>
          <t xml:space="preserve"> </t>
        </is>
      </c>
      <c r="P125" s="99" t="inlineStr">
        <is>
          <t xml:space="preserve"> </t>
        </is>
      </c>
      <c r="Q125" s="99" t="inlineStr">
        <is>
          <t xml:space="preserve"> </t>
        </is>
      </c>
      <c r="R125" s="100" t="inlineStr">
        <is>
          <t xml:space="preserve"> </t>
        </is>
      </c>
      <c r="S125" t="inlineStr">
        <is>
          <t>No se encontró ejecución en CUIPO</t>
        </is>
      </c>
      <c r="T125" s="101">
        <v>47320000</v>
      </c>
      <c r="U125" s="101">
        <v>21924000</v>
      </c>
      <c r="V125" s="101">
        <v>18792000</v>
      </c>
      <c r="W125" s="102">
        <v>0.3654</v>
      </c>
      <c r="X125" t="inlineStr">
        <is>
          <t>Lo obligado está por debajo de lo programado en la vigencia</t>
        </is>
      </c>
    </row>
    <row r="126">
      <c r="A126" t="inlineStr">
        <is>
          <t>IP-127</t>
        </is>
      </c>
      <c r="B126" t="inlineStr">
        <is>
          <t>45</t>
        </is>
      </c>
      <c r="C126" t="inlineStr">
        <is>
          <t>Gobierno Territorial</t>
        </is>
      </c>
      <c r="D126" t="inlineStr">
        <is>
          <t>4502</t>
        </is>
      </c>
      <c r="E126" t="inlineStr">
        <is>
          <t>Fortalecimiento del buen gobierno para el respeto y garantía de los derechos humanos.</t>
        </is>
      </c>
      <c r="F126" t="inlineStr">
        <is>
          <t>4502001</t>
        </is>
      </c>
      <c r="G126" t="inlineStr">
        <is>
          <t>Servicio de promoción a la participación ciudadana</t>
        </is>
      </c>
      <c r="H126" t="inlineStr">
        <is>
          <t>Corresponde al diseño e implementación de acciones y estrategias que promuevan el ejercicio de la participación ciudadana para el respeto y garantía de los derechos humanos</t>
        </is>
      </c>
      <c r="I126" t="inlineStr">
        <is>
          <t>2024258170036</t>
        </is>
      </c>
      <c r="J126" s="99">
        <v>2285892500</v>
      </c>
      <c r="K126" s="99">
        <v>337500000</v>
      </c>
      <c r="L126" s="99">
        <v>1901440000</v>
      </c>
      <c r="M126" s="99">
        <v>22825000</v>
      </c>
      <c r="N126" s="99">
        <v>24127500</v>
      </c>
      <c r="O126" s="99" t="inlineStr">
        <is>
          <t xml:space="preserve"> </t>
        </is>
      </c>
      <c r="P126" s="99" t="inlineStr">
        <is>
          <t xml:space="preserve"> </t>
        </is>
      </c>
      <c r="Q126" s="99" t="inlineStr">
        <is>
          <t xml:space="preserve"> </t>
        </is>
      </c>
      <c r="R126" s="100" t="inlineStr">
        <is>
          <t xml:space="preserve"> </t>
        </is>
      </c>
      <c r="S126" t="inlineStr">
        <is>
          <t>No se encontró ejecución en CUIPO</t>
        </is>
      </c>
      <c r="T126" s="101">
        <v>394582991</v>
      </c>
      <c r="U126" s="101">
        <v>31500000</v>
      </c>
      <c r="V126" s="101">
        <v>31500000</v>
      </c>
      <c r="W126" s="102">
        <v>0.016566391787277</v>
      </c>
      <c r="X126" t="inlineStr">
        <is>
          <t>Lo obligado está por debajo de lo programado en la vigencia</t>
        </is>
      </c>
    </row>
    <row r="127">
      <c r="A127" t="inlineStr">
        <is>
          <t>IP-128</t>
        </is>
      </c>
      <c r="B127" t="inlineStr">
        <is>
          <t>45</t>
        </is>
      </c>
      <c r="C127" t="inlineStr">
        <is>
          <t>Gobierno Territorial</t>
        </is>
      </c>
      <c r="D127" t="inlineStr">
        <is>
          <t>4502</t>
        </is>
      </c>
      <c r="E127" t="inlineStr">
        <is>
          <t>Fortalecimiento del buen gobierno para el respeto y garantía de los derechos humanos.</t>
        </is>
      </c>
      <c r="F127" t="inlineStr">
        <is>
          <t>4502021</t>
        </is>
      </c>
      <c r="G127" t="inlineStr">
        <is>
          <t>Servicio de apoyo financiero para la implementación de proyectos en materia de derechos humanos</t>
        </is>
      </c>
      <c r="H127" t="inlineStr">
        <is>
          <t>Contempla la asignación de recursos financieros a iniciativas en temas relacionados con derechos humanos y el Derecho Internacional Humanitario.</t>
        </is>
      </c>
      <c r="I127" t="inlineStr">
        <is>
          <t>202500000005069</t>
        </is>
      </c>
      <c r="J127" s="99">
        <v>10000000</v>
      </c>
      <c r="K127" s="99">
        <v>0</v>
      </c>
      <c r="L127" s="99">
        <v>10000000</v>
      </c>
      <c r="M127" s="99">
        <v>0</v>
      </c>
      <c r="N127" s="99">
        <v>0</v>
      </c>
      <c r="O127" s="99" t="inlineStr">
        <is>
          <t xml:space="preserve"> </t>
        </is>
      </c>
      <c r="P127" s="99" t="inlineStr">
        <is>
          <t xml:space="preserve"> </t>
        </is>
      </c>
      <c r="Q127" s="99" t="inlineStr">
        <is>
          <t xml:space="preserve"> </t>
        </is>
      </c>
      <c r="R127" s="100" t="inlineStr">
        <is>
          <t xml:space="preserve"> </t>
        </is>
      </c>
      <c r="S127" t="inlineStr">
        <is>
          <t>No se encontró ejecución en CUIPO</t>
        </is>
      </c>
      <c r="T127" s="101" t="inlineStr">
        <is>
          <t xml:space="preserve"> </t>
        </is>
      </c>
      <c r="U127" s="101" t="inlineStr">
        <is>
          <t xml:space="preserve"> </t>
        </is>
      </c>
      <c r="V127" s="101" t="inlineStr">
        <is>
          <t xml:space="preserve"> </t>
        </is>
      </c>
      <c r="W127" s="102" t="inlineStr">
        <is>
          <t xml:space="preserve"> </t>
        </is>
      </c>
      <c r="X127" t="inlineStr">
        <is>
          <t>No se encontró ejecución en CUIPO</t>
        </is>
      </c>
    </row>
    <row r="128">
      <c r="A128" t="inlineStr">
        <is>
          <t>IP-129</t>
        </is>
      </c>
      <c r="B128" t="inlineStr">
        <is>
          <t>41</t>
        </is>
      </c>
      <c r="C128" t="inlineStr">
        <is>
          <t xml:space="preserve">Inclusión social y reconciliación </t>
        </is>
      </c>
      <c r="D128" t="inlineStr">
        <is>
          <t>4101</t>
        </is>
      </c>
      <c r="E128" t="inlineStr">
        <is>
          <t>Atención, asistencia y reparación integral a las víctimas</t>
        </is>
      </c>
      <c r="F128" t="inlineStr">
        <is>
          <t>4101038</t>
        </is>
      </c>
      <c r="G128" t="inlineStr">
        <is>
          <t>Servicio de asistencia técnica para la participación de las víctimas</t>
        </is>
      </c>
      <c r="H128" t="inlineStr">
        <is>
          <t>Orientados a generar mecanismos mediante los cuales las víctimas tengan participación conjunta y activa en la determinación de las medidas y programas que se desarrollan en su proceso de atención y reparación.</t>
        </is>
      </c>
      <c r="I128" t="inlineStr">
        <is>
          <t>202400000006511</t>
        </is>
      </c>
      <c r="J128" s="99">
        <v>49500000</v>
      </c>
      <c r="K128" s="99">
        <v>18000000</v>
      </c>
      <c r="L128" s="99">
        <v>25000000</v>
      </c>
      <c r="M128" s="99">
        <v>3000000</v>
      </c>
      <c r="N128" s="99">
        <v>3500000</v>
      </c>
      <c r="O128" s="99" t="inlineStr">
        <is>
          <t xml:space="preserve"> </t>
        </is>
      </c>
      <c r="P128" s="99" t="inlineStr">
        <is>
          <t xml:space="preserve"> </t>
        </is>
      </c>
      <c r="Q128" s="99" t="inlineStr">
        <is>
          <t xml:space="preserve"> </t>
        </is>
      </c>
      <c r="R128" s="100" t="inlineStr">
        <is>
          <t xml:space="preserve"> </t>
        </is>
      </c>
      <c r="S128" t="inlineStr">
        <is>
          <t>No se encontró ejecución en CUIPO</t>
        </is>
      </c>
      <c r="T128" s="101">
        <v>14379637</v>
      </c>
      <c r="U128" s="101">
        <v>3386350</v>
      </c>
      <c r="V128" s="101">
        <v>3386350</v>
      </c>
      <c r="W128" s="102">
        <v>0.135454</v>
      </c>
      <c r="X128" t="inlineStr">
        <is>
          <t>Lo obligado está por debajo de lo programado en la vigencia</t>
        </is>
      </c>
    </row>
    <row r="129">
      <c r="A129" t="inlineStr">
        <is>
          <t>IP-131</t>
        </is>
      </c>
      <c r="B129" t="inlineStr">
        <is>
          <t>33</t>
        </is>
      </c>
      <c r="C129" t="inlineStr">
        <is>
          <t>Cultura</t>
        </is>
      </c>
      <c r="D129" t="inlineStr">
        <is>
          <t>3301</t>
        </is>
      </c>
      <c r="E129" t="inlineStr">
        <is>
          <t>Promoción y acceso efectivo a procesos culturales y artísticos</t>
        </is>
      </c>
      <c r="F129" t="inlineStr">
        <is>
          <t>3301054</t>
        </is>
      </c>
      <c r="G129" t="inlineStr">
        <is>
          <t>Servicio de apoyo financiero al sector artístico y cultural</t>
        </is>
      </c>
      <c r="H129" t="inlineStr">
        <is>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is>
      </c>
      <c r="I129" t="inlineStr">
        <is>
          <t>2024258170016</t>
        </is>
      </c>
      <c r="J129" s="99">
        <v>210000000</v>
      </c>
      <c r="K129" s="99">
        <v>150000000</v>
      </c>
      <c r="L129" s="99">
        <v>15000000</v>
      </c>
      <c r="M129" s="99">
        <v>20000000</v>
      </c>
      <c r="N129" s="99">
        <v>25000000</v>
      </c>
      <c r="O129" s="99" t="inlineStr">
        <is>
          <t xml:space="preserve"> </t>
        </is>
      </c>
      <c r="P129" s="99" t="inlineStr">
        <is>
          <t xml:space="preserve"> </t>
        </is>
      </c>
      <c r="Q129" s="99" t="inlineStr">
        <is>
          <t xml:space="preserve"> </t>
        </is>
      </c>
      <c r="R129" s="100" t="inlineStr">
        <is>
          <t xml:space="preserve"> </t>
        </is>
      </c>
      <c r="S129" t="inlineStr">
        <is>
          <t>No se encontró ejecución en CUIPO</t>
        </is>
      </c>
      <c r="T129" s="101" t="inlineStr">
        <is>
          <t xml:space="preserve"> </t>
        </is>
      </c>
      <c r="U129" s="101" t="inlineStr">
        <is>
          <t xml:space="preserve"> </t>
        </is>
      </c>
      <c r="V129" s="101" t="inlineStr">
        <is>
          <t xml:space="preserve"> </t>
        </is>
      </c>
      <c r="W129" s="102" t="inlineStr">
        <is>
          <t xml:space="preserve"> </t>
        </is>
      </c>
      <c r="X129" t="inlineStr">
        <is>
          <t>No se encontró ejecución en CUIPO</t>
        </is>
      </c>
    </row>
    <row r="130">
      <c r="A130" t="inlineStr">
        <is>
          <t>IP-133</t>
        </is>
      </c>
      <c r="B130" t="inlineStr">
        <is>
          <t>40</t>
        </is>
      </c>
      <c r="C130" t="inlineStr">
        <is>
          <t>Vivienda, ciudad y territorio</t>
        </is>
      </c>
      <c r="D130" t="inlineStr">
        <is>
          <t>4001</t>
        </is>
      </c>
      <c r="E130" t="inlineStr">
        <is>
          <t>Acceso a soluciones de vivienda</t>
        </is>
      </c>
      <c r="F130" t="inlineStr">
        <is>
          <t>4001001</t>
        </is>
      </c>
      <c r="G130" t="inlineStr">
        <is>
          <t>Servicio de asistencia técnica y jurídica en saneamiento y titulación de predios</t>
        </is>
      </c>
      <c r="H130" t="inlineStr">
        <is>
          <t>Corresponde al conjunto de acciones de acompañamiento, asesoría, apoyo técnico y jurídico que se deben adelantar para la procesos de saneamiento, titulación  y legalización urbanística de cuerdo establecido en la normativa vigente</t>
        </is>
      </c>
      <c r="I130" t="inlineStr">
        <is>
          <t>2024258170043</t>
        </is>
      </c>
      <c r="J130" s="99">
        <v>206000000</v>
      </c>
      <c r="K130" s="99">
        <v>0</v>
      </c>
      <c r="L130" s="99">
        <v>180000000</v>
      </c>
      <c r="M130" s="99">
        <v>13000000</v>
      </c>
      <c r="N130" s="99">
        <v>13000000</v>
      </c>
      <c r="O130" s="99" t="inlineStr">
        <is>
          <t xml:space="preserve"> </t>
        </is>
      </c>
      <c r="P130" s="99" t="inlineStr">
        <is>
          <t xml:space="preserve"> </t>
        </is>
      </c>
      <c r="Q130" s="99" t="inlineStr">
        <is>
          <t xml:space="preserve"> </t>
        </is>
      </c>
      <c r="R130" s="100" t="inlineStr">
        <is>
          <t xml:space="preserve"> </t>
        </is>
      </c>
      <c r="S130" t="inlineStr">
        <is>
          <t>No se encontró ejecución en CUIPO</t>
        </is>
      </c>
      <c r="T130" s="101">
        <v>107100000</v>
      </c>
      <c r="U130" s="101">
        <v>64800000</v>
      </c>
      <c r="V130" s="101">
        <v>64800000</v>
      </c>
      <c r="W130" s="102">
        <v>0.36</v>
      </c>
      <c r="X130" t="inlineStr">
        <is>
          <t>Lo obligado está por debajo de lo programado en la vigencia</t>
        </is>
      </c>
    </row>
    <row r="131">
      <c r="A131" t="inlineStr">
        <is>
          <t>IP-134</t>
        </is>
      </c>
      <c r="B131" t="inlineStr">
        <is>
          <t>32</t>
        </is>
      </c>
      <c r="C131" t="inlineStr">
        <is>
          <t>Ambiente y desarrollo sostenible</t>
        </is>
      </c>
      <c r="D131" t="inlineStr">
        <is>
          <t>3202</t>
        </is>
      </c>
      <c r="E131" t="inlineStr">
        <is>
          <t>Conservación de la biodiversidad y sus servicios ecosistémicos</t>
        </is>
      </c>
      <c r="F131" t="inlineStr">
        <is>
          <t>3202041</t>
        </is>
      </c>
      <c r="G131" t="inlineStr">
        <is>
          <t>Servicio de establecimiento de especies vegetales</t>
        </is>
      </c>
      <c r="H131" t="inlineStr">
        <is>
          <t>Acciones orientadas a la siembra de especies vegetales escogidas con criterios de selección según condiciones ecosistemicas de las zonas a establecer.</t>
        </is>
      </c>
      <c r="I131" t="inlineStr">
        <is>
          <t>2024258170026</t>
        </is>
      </c>
      <c r="J131" s="99">
        <v>394707875</v>
      </c>
      <c r="K131" s="99">
        <v>86767875</v>
      </c>
      <c r="L131" s="99">
        <v>256440000</v>
      </c>
      <c r="M131" s="99">
        <v>25000000</v>
      </c>
      <c r="N131" s="99">
        <v>26500000</v>
      </c>
      <c r="O131" s="99" t="inlineStr">
        <is>
          <t xml:space="preserve"> </t>
        </is>
      </c>
      <c r="P131" s="99" t="inlineStr">
        <is>
          <t xml:space="preserve"> </t>
        </is>
      </c>
      <c r="Q131" s="99" t="inlineStr">
        <is>
          <t xml:space="preserve"> </t>
        </is>
      </c>
      <c r="R131" s="100" t="inlineStr">
        <is>
          <t xml:space="preserve"> </t>
        </is>
      </c>
      <c r="S131" t="inlineStr">
        <is>
          <t>No se encontró ejecución en CUIPO</t>
        </is>
      </c>
      <c r="T131" s="101">
        <v>125306847</v>
      </c>
      <c r="U131" s="101">
        <v>77692799</v>
      </c>
      <c r="V131" s="101">
        <v>76267799</v>
      </c>
      <c r="W131" s="102">
        <v>0.302966771954453</v>
      </c>
      <c r="X131" t="inlineStr">
        <is>
          <t>Lo obligado está por debajo de lo programado en la vigencia</t>
        </is>
      </c>
    </row>
    <row r="132">
      <c r="A132" t="inlineStr">
        <is>
          <t>IP-135</t>
        </is>
      </c>
      <c r="B132" t="inlineStr">
        <is>
          <t>41</t>
        </is>
      </c>
      <c r="C132" t="inlineStr">
        <is>
          <t xml:space="preserve">Inclusión social y reconciliación </t>
        </is>
      </c>
      <c r="D132" t="inlineStr">
        <is>
          <t>4101</t>
        </is>
      </c>
      <c r="E132" t="inlineStr">
        <is>
          <t>Atención, asistencia y reparación integral a las víctimas</t>
        </is>
      </c>
      <c r="F132" t="inlineStr">
        <is>
          <t>4101031</t>
        </is>
      </c>
      <c r="G132" t="inlineStr">
        <is>
          <t>Servicios de implementaciónde medidas de satisfacción y acompañamiento a las víctimas del conflicto armado</t>
        </is>
      </c>
      <c r="H132" t="inlineStr">
        <is>
          <t>Acciones concertadas de dignificación, reconocimiento y conmemoración a víctimas del conflicto armado. Incluye reconocimiento de víctima ante la comunidad y el ofensor; reconocimiento de responsabilidad de los hechos y solicitudes de perdón; homenajes y actos conmemorativos; monumentos; apoyo a reconstrucción del movimiento y tejido social; difusión del relato de víctimas;  apoyo psicosocial en entrega de restos a familiares de víctimas de desaparición forzada</t>
        </is>
      </c>
      <c r="I132" t="inlineStr">
        <is>
          <t>202400000006511</t>
        </is>
      </c>
      <c r="J132" s="99">
        <v>173000000</v>
      </c>
      <c r="K132" s="99">
        <v>58000000</v>
      </c>
      <c r="L132" s="99">
        <v>100000000</v>
      </c>
      <c r="M132" s="99">
        <v>7000000</v>
      </c>
      <c r="N132" s="99">
        <v>8000000</v>
      </c>
      <c r="O132" s="99" t="inlineStr">
        <is>
          <t xml:space="preserve"> </t>
        </is>
      </c>
      <c r="P132" s="99" t="inlineStr">
        <is>
          <t xml:space="preserve"> </t>
        </is>
      </c>
      <c r="Q132" s="99" t="inlineStr">
        <is>
          <t xml:space="preserve"> </t>
        </is>
      </c>
      <c r="R132" s="100" t="inlineStr">
        <is>
          <t xml:space="preserve"> </t>
        </is>
      </c>
      <c r="S132" t="inlineStr">
        <is>
          <t>No se encontró ejecución en CUIPO</t>
        </is>
      </c>
      <c r="T132" s="101">
        <v>100000000</v>
      </c>
      <c r="U132" s="101">
        <v>0</v>
      </c>
      <c r="V132" s="101">
        <v>0</v>
      </c>
      <c r="W132" s="102">
        <v>0</v>
      </c>
      <c r="X132" t="inlineStr">
        <is>
          <t>No se ejecutó en la vigencia</t>
        </is>
      </c>
    </row>
    <row r="133">
      <c r="A133" t="inlineStr">
        <is>
          <t>IP-136</t>
        </is>
      </c>
      <c r="B133" t="inlineStr">
        <is>
          <t>41</t>
        </is>
      </c>
      <c r="C133" t="inlineStr">
        <is>
          <t xml:space="preserve">Inclusión social y reconciliación </t>
        </is>
      </c>
      <c r="D133" t="inlineStr">
        <is>
          <t>4103</t>
        </is>
      </c>
      <c r="E133" t="inlineStr">
        <is>
          <t>Inclusión social y productiva para la población en situación de vulnerabilidad</t>
        </is>
      </c>
      <c r="F133" t="inlineStr">
        <is>
          <t>4103052</t>
        </is>
      </c>
      <c r="G133" t="inlineStr">
        <is>
          <t>Servicio de gestión de oferta social para la población vulnerable</t>
        </is>
      </c>
      <c r="H133" t="inlineStr">
        <is>
          <t>Incluye el desarrollo de acciones encaminadas a generar dinámicas de atención conjunta, articulada y eficiente entre las instituciones del estado hacia la población vulnerable.</t>
        </is>
      </c>
      <c r="I133" t="inlineStr">
        <is>
          <t>202400000006709</t>
        </is>
      </c>
      <c r="J133" s="99">
        <v>184545521.5</v>
      </c>
      <c r="K133" s="99">
        <v>60000000</v>
      </c>
      <c r="L133" s="99">
        <v>96095000</v>
      </c>
      <c r="M133" s="99">
        <v>16319500</v>
      </c>
      <c r="N133" s="99">
        <v>12131021.5</v>
      </c>
      <c r="O133" s="99" t="inlineStr">
        <is>
          <t xml:space="preserve"> </t>
        </is>
      </c>
      <c r="P133" s="99" t="inlineStr">
        <is>
          <t xml:space="preserve"> </t>
        </is>
      </c>
      <c r="Q133" s="99" t="inlineStr">
        <is>
          <t xml:space="preserve"> </t>
        </is>
      </c>
      <c r="R133" s="100" t="inlineStr">
        <is>
          <t xml:space="preserve"> </t>
        </is>
      </c>
      <c r="S133" t="inlineStr">
        <is>
          <t>No se encontró ejecución en CUIPO</t>
        </is>
      </c>
      <c r="T133" s="101">
        <v>46156666</v>
      </c>
      <c r="U133" s="101">
        <v>26540000</v>
      </c>
      <c r="V133" s="101">
        <v>26540000</v>
      </c>
      <c r="W133" s="102">
        <v>0.276185025235444</v>
      </c>
      <c r="X133" t="inlineStr">
        <is>
          <t>Lo obligado está por debajo de lo programado en la vigencia</t>
        </is>
      </c>
    </row>
    <row r="134">
      <c r="A134" t="inlineStr">
        <is>
          <t>IP-137</t>
        </is>
      </c>
      <c r="B134" t="inlineStr">
        <is>
          <t>21</t>
        </is>
      </c>
      <c r="C134" t="inlineStr">
        <is>
          <t>Minas y Energía</t>
        </is>
      </c>
      <c r="D134" t="inlineStr">
        <is>
          <t>2102</t>
        </is>
      </c>
      <c r="E134" t="inlineStr">
        <is>
          <t>Consolidación productiva del sector de energía eléctrica</t>
        </is>
      </c>
      <c r="F134" t="inlineStr">
        <is>
          <t>2102011</t>
        </is>
      </c>
      <c r="G134" t="inlineStr">
        <is>
          <t>Redes de alumbrado público con mantenimiento</t>
        </is>
      </c>
      <c r="H134" t="inlineStr">
        <is>
          <t>Mantenimiento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is>
      </c>
      <c r="I134" t="inlineStr">
        <is>
          <t>2024258170056</t>
        </is>
      </c>
      <c r="J134" s="99">
        <v>10486271834</v>
      </c>
      <c r="K134" s="99">
        <v>4486271834</v>
      </c>
      <c r="L134" s="99">
        <v>5000000000</v>
      </c>
      <c r="M134" s="99">
        <v>500000000</v>
      </c>
      <c r="N134" s="99">
        <v>500000000</v>
      </c>
      <c r="O134" s="99" t="inlineStr">
        <is>
          <t xml:space="preserve"> </t>
        </is>
      </c>
      <c r="P134" s="99" t="inlineStr">
        <is>
          <t xml:space="preserve"> </t>
        </is>
      </c>
      <c r="Q134" s="99" t="inlineStr">
        <is>
          <t xml:space="preserve"> </t>
        </is>
      </c>
      <c r="R134" s="100" t="inlineStr">
        <is>
          <t xml:space="preserve"> </t>
        </is>
      </c>
      <c r="S134" t="inlineStr">
        <is>
          <t>No se encontró ejecución en CUIPO</t>
        </is>
      </c>
      <c r="T134" s="101">
        <v>558819972</v>
      </c>
      <c r="U134" s="101">
        <v>558819972</v>
      </c>
      <c r="V134" s="101">
        <v>558819972</v>
      </c>
      <c r="W134" s="102">
        <v>0.1117639944</v>
      </c>
      <c r="X134" t="inlineStr">
        <is>
          <t>Lo obligado está por debajo de lo programado en la vigencia</t>
        </is>
      </c>
    </row>
    <row r="135">
      <c r="A135" t="inlineStr">
        <is>
          <t>IP-138</t>
        </is>
      </c>
      <c r="B135" t="inlineStr">
        <is>
          <t>24</t>
        </is>
      </c>
      <c r="C135" t="inlineStr">
        <is>
          <t>Transporte</t>
        </is>
      </c>
      <c r="D135" t="inlineStr">
        <is>
          <t>2409</t>
        </is>
      </c>
      <c r="E135" t="inlineStr">
        <is>
          <t>Seguridad de transporte</t>
        </is>
      </c>
      <c r="F135" t="inlineStr">
        <is>
          <t>2409033</t>
        </is>
      </c>
      <c r="G135" t="inlineStr">
        <is>
          <t>Servicio de control y seguimiento a recomendaciones emanadas de investigaciones de accidentes e incidentes</t>
        </is>
      </c>
      <c r="H135" t="inlineStr">
        <is>
          <t>Incluye las acciones requeridas con el propósito de que los proveedores de servicios implementen las recomendaciones emanadas de la investigación de accidentes e incidentes.</t>
        </is>
      </c>
      <c r="I135" t="inlineStr">
        <is>
          <t>202500000004852</t>
        </is>
      </c>
      <c r="J135" s="99">
        <v>333015000</v>
      </c>
      <c r="K135" s="99">
        <v>76000000</v>
      </c>
      <c r="L135" s="99">
        <v>257015000</v>
      </c>
      <c r="M135" s="99">
        <v>0</v>
      </c>
      <c r="N135" s="99">
        <v>0</v>
      </c>
      <c r="O135" s="99" t="inlineStr">
        <is>
          <t xml:space="preserve"> </t>
        </is>
      </c>
      <c r="P135" s="99" t="inlineStr">
        <is>
          <t xml:space="preserve"> </t>
        </is>
      </c>
      <c r="Q135" s="99" t="inlineStr">
        <is>
          <t xml:space="preserve"> </t>
        </is>
      </c>
      <c r="R135" s="100" t="inlineStr">
        <is>
          <t xml:space="preserve"> </t>
        </is>
      </c>
      <c r="S135" t="inlineStr">
        <is>
          <t>No se encontró ejecución en CUIPO</t>
        </is>
      </c>
      <c r="T135" s="101">
        <v>231544000</v>
      </c>
      <c r="U135" s="101">
        <v>121728000</v>
      </c>
      <c r="V135" s="101">
        <v>115728000</v>
      </c>
      <c r="W135" s="102">
        <v>0.473622162130615</v>
      </c>
      <c r="X135" t="inlineStr">
        <is>
          <t>Lo obligado está por debajo de lo programado en la vigencia</t>
        </is>
      </c>
    </row>
    <row r="136">
      <c r="A136" t="inlineStr">
        <is>
          <t>IP-139</t>
        </is>
      </c>
      <c r="B136" t="inlineStr">
        <is>
          <t>24</t>
        </is>
      </c>
      <c r="C136" t="inlineStr">
        <is>
          <t>Transporte</t>
        </is>
      </c>
      <c r="D136" t="inlineStr">
        <is>
          <t>2408</t>
        </is>
      </c>
      <c r="E136" t="inlineStr">
        <is>
          <t>Prestación de servicios de transporte público de pasajeros</t>
        </is>
      </c>
      <c r="F136" t="inlineStr">
        <is>
          <t>2408053</t>
        </is>
      </c>
      <c r="G136" t="inlineStr">
        <is>
          <t>Documentos de estudios técnicos</t>
        </is>
      </c>
      <c r="H136" t="inlineStr">
        <is>
          <t>Documentos cuyo objetivo es la elaboración de informes de base que analizan situaciones, estudios de caso y de una temática específica.</t>
        </is>
      </c>
      <c r="I136" t="inlineStr">
        <is>
          <t>202500000016491</t>
        </is>
      </c>
      <c r="J136" s="99">
        <v>500000000</v>
      </c>
      <c r="K136" s="99">
        <v>250000000</v>
      </c>
      <c r="L136" s="99">
        <v>250000000</v>
      </c>
      <c r="M136" s="99">
        <v>0</v>
      </c>
      <c r="N136" s="99">
        <v>0</v>
      </c>
      <c r="O136" s="99" t="inlineStr">
        <is>
          <t xml:space="preserve"> </t>
        </is>
      </c>
      <c r="P136" s="99" t="inlineStr">
        <is>
          <t xml:space="preserve"> </t>
        </is>
      </c>
      <c r="Q136" s="99" t="inlineStr">
        <is>
          <t xml:space="preserve"> </t>
        </is>
      </c>
      <c r="R136" s="100" t="inlineStr">
        <is>
          <t xml:space="preserve"> </t>
        </is>
      </c>
      <c r="S136" t="inlineStr">
        <is>
          <t>No se encontró ejecución en CUIPO</t>
        </is>
      </c>
      <c r="T136" s="101" t="inlineStr">
        <is>
          <t xml:space="preserve"> </t>
        </is>
      </c>
      <c r="U136" s="101" t="inlineStr">
        <is>
          <t xml:space="preserve"> </t>
        </is>
      </c>
      <c r="V136" s="101" t="inlineStr">
        <is>
          <t xml:space="preserve"> </t>
        </is>
      </c>
      <c r="W136" s="102" t="inlineStr">
        <is>
          <t xml:space="preserve"> </t>
        </is>
      </c>
      <c r="X136" t="inlineStr">
        <is>
          <t>No se encontró ejecución en CUIPO</t>
        </is>
      </c>
    </row>
    <row r="137">
      <c r="A137" t="inlineStr">
        <is>
          <t>IP-140</t>
        </is>
      </c>
      <c r="B137" t="inlineStr">
        <is>
          <t>35</t>
        </is>
      </c>
      <c r="C137" t="inlineStr">
        <is>
          <t>Comercio, industria y turismo</t>
        </is>
      </c>
      <c r="D137" t="inlineStr">
        <is>
          <t>3502</t>
        </is>
      </c>
      <c r="E137" t="inlineStr">
        <is>
          <t>Productividad y competitividad de las empresas colombianas</t>
        </is>
      </c>
      <c r="F137" t="inlineStr">
        <is>
          <t>3502045</t>
        </is>
      </c>
      <c r="G137" t="inlineStr">
        <is>
          <t>Servicio de educación informal en asuntos turísticos</t>
        </is>
      </c>
      <c r="H137" t="inlineStr">
        <is>
          <t>Consiste en la capacitación y entrenamiento a personas interesadas en trabajar en el sector turismo. Incluye fortalecimiento de atención al cliente, de conocimientos históricos, entre otros.</t>
        </is>
      </c>
      <c r="I137" t="inlineStr">
        <is>
          <t>2024258170013</t>
        </is>
      </c>
      <c r="J137" s="99">
        <v>104000000</v>
      </c>
      <c r="K137" s="99">
        <v>40000000</v>
      </c>
      <c r="L137" s="99">
        <v>50000000</v>
      </c>
      <c r="M137" s="99">
        <v>7000000</v>
      </c>
      <c r="N137" s="99">
        <v>7000000</v>
      </c>
      <c r="O137" s="99" t="inlineStr">
        <is>
          <t xml:space="preserve"> </t>
        </is>
      </c>
      <c r="P137" s="99" t="inlineStr">
        <is>
          <t xml:space="preserve"> </t>
        </is>
      </c>
      <c r="Q137" s="99" t="inlineStr">
        <is>
          <t xml:space="preserve"> </t>
        </is>
      </c>
      <c r="R137" s="100" t="inlineStr">
        <is>
          <t xml:space="preserve"> </t>
        </is>
      </c>
      <c r="S137" t="inlineStr">
        <is>
          <t>No se encontró ejecución en CUIPO</t>
        </is>
      </c>
      <c r="T137" s="101" t="inlineStr">
        <is>
          <t xml:space="preserve"> </t>
        </is>
      </c>
      <c r="U137" s="101" t="inlineStr">
        <is>
          <t xml:space="preserve"> </t>
        </is>
      </c>
      <c r="V137" s="101" t="inlineStr">
        <is>
          <t xml:space="preserve"> </t>
        </is>
      </c>
      <c r="W137" s="102" t="inlineStr">
        <is>
          <t xml:space="preserve"> </t>
        </is>
      </c>
      <c r="X137" t="inlineStr">
        <is>
          <t>No se encontró ejecución en CUIPO</t>
        </is>
      </c>
    </row>
    <row r="138">
      <c r="A138" t="inlineStr">
        <is>
          <t>IP-141</t>
        </is>
      </c>
      <c r="B138" t="inlineStr">
        <is>
          <t>33</t>
        </is>
      </c>
      <c r="C138" t="inlineStr">
        <is>
          <t>Cultura</t>
        </is>
      </c>
      <c r="D138" t="inlineStr">
        <is>
          <t>3302</t>
        </is>
      </c>
      <c r="E138" t="inlineStr">
        <is>
          <t>Gestión, protección y salvaguardia del patrimonio cultural colombiano</t>
        </is>
      </c>
      <c r="F138" t="inlineStr">
        <is>
          <t>3302049</t>
        </is>
      </c>
      <c r="G138" t="inlineStr">
        <is>
          <t>Servicio de salvaguardia al patrimonio inmaterial</t>
        </is>
      </c>
      <c r="H138" t="inlineStr">
        <is>
          <t>Hace referencia a las estrategias orientadas a promover medidas efectivas para garantizar la viabilidad del patrimonio cultural inmaterial, comprendidas la identificación, documentación, investigación, recuperación, preservación, protección, promoción, valoración, transmisión y revitalización integral del mismo</t>
        </is>
      </c>
      <c r="I138" t="inlineStr">
        <is>
          <t>202500000004007</t>
        </is>
      </c>
      <c r="J138" s="99">
        <v>27000000</v>
      </c>
      <c r="K138" s="99">
        <v>0</v>
      </c>
      <c r="L138" s="99">
        <v>8000000</v>
      </c>
      <c r="M138" s="99">
        <v>9000000</v>
      </c>
      <c r="N138" s="99">
        <v>10000000</v>
      </c>
      <c r="O138" s="99" t="inlineStr">
        <is>
          <t xml:space="preserve"> </t>
        </is>
      </c>
      <c r="P138" s="99" t="inlineStr">
        <is>
          <t xml:space="preserve"> </t>
        </is>
      </c>
      <c r="Q138" s="99" t="inlineStr">
        <is>
          <t xml:space="preserve"> </t>
        </is>
      </c>
      <c r="R138" s="100" t="inlineStr">
        <is>
          <t xml:space="preserve"> </t>
        </is>
      </c>
      <c r="S138" t="inlineStr">
        <is>
          <t>No se encontró ejecución en CUIPO</t>
        </is>
      </c>
      <c r="T138" s="101">
        <v>38000000</v>
      </c>
      <c r="U138" s="101">
        <v>24000000</v>
      </c>
      <c r="V138" s="101">
        <v>24000000</v>
      </c>
      <c r="W138" s="102">
        <v>3</v>
      </c>
      <c r="X138" t="inlineStr">
        <is>
          <t>Hubo ejecución por encima de lo programado en SisPT</t>
        </is>
      </c>
    </row>
    <row r="139">
      <c r="A139" t="inlineStr">
        <is>
          <t>IP-142</t>
        </is>
      </c>
      <c r="B139" t="inlineStr">
        <is>
          <t>33</t>
        </is>
      </c>
      <c r="C139" t="inlineStr">
        <is>
          <t>Cultura</t>
        </is>
      </c>
      <c r="D139" t="inlineStr">
        <is>
          <t>3301</t>
        </is>
      </c>
      <c r="E139" t="inlineStr">
        <is>
          <t>Promoción y acceso efectivo a procesos culturales y artísticos</t>
        </is>
      </c>
      <c r="F139" t="inlineStr">
        <is>
          <t>3301122</t>
        </is>
      </c>
      <c r="G139" t="inlineStr">
        <is>
          <t>Servicio de fomento para el acceso de la oferta cultural</t>
        </is>
      </c>
      <c r="H139" t="inlineStr">
        <is>
          <t>Beneficios otorgados para que la ciudadanía acceda a la oferta cultural, entre ellos cine.</t>
        </is>
      </c>
      <c r="I139" t="inlineStr">
        <is>
          <t>2024258170016</t>
        </is>
      </c>
      <c r="J139" s="99">
        <v>5352751630.4</v>
      </c>
      <c r="K139" s="99">
        <v>4126732971</v>
      </c>
      <c r="L139" s="99">
        <v>408417923.4</v>
      </c>
      <c r="M139" s="99">
        <v>408670161.1</v>
      </c>
      <c r="N139" s="99">
        <v>408930574.9</v>
      </c>
      <c r="O139" s="99" t="inlineStr">
        <is>
          <t xml:space="preserve"> </t>
        </is>
      </c>
      <c r="P139" s="99" t="inlineStr">
        <is>
          <t xml:space="preserve"> </t>
        </is>
      </c>
      <c r="Q139" s="99" t="inlineStr">
        <is>
          <t xml:space="preserve"> </t>
        </is>
      </c>
      <c r="R139" s="100" t="inlineStr">
        <is>
          <t xml:space="preserve"> </t>
        </is>
      </c>
      <c r="S139" t="inlineStr">
        <is>
          <t>No se encontró ejecución en CUIPO</t>
        </is>
      </c>
      <c r="T139" s="101">
        <v>3677966664</v>
      </c>
      <c r="U139" s="101">
        <v>2045596000</v>
      </c>
      <c r="V139" s="101">
        <v>2015716000</v>
      </c>
      <c r="W139" s="102">
        <v>5.00858528188677</v>
      </c>
      <c r="X139" t="inlineStr">
        <is>
          <t>Hubo ejecución por encima de lo programado en SisPT</t>
        </is>
      </c>
    </row>
    <row r="140">
      <c r="A140" t="inlineStr">
        <is>
          <t>IP-143</t>
        </is>
      </c>
      <c r="B140" t="inlineStr">
        <is>
          <t>45</t>
        </is>
      </c>
      <c r="C140" t="inlineStr">
        <is>
          <t>Gobierno Territorial</t>
        </is>
      </c>
      <c r="D140" t="inlineStr">
        <is>
          <t>4502</t>
        </is>
      </c>
      <c r="E140" t="inlineStr">
        <is>
          <t>Fortalecimiento del buen gobierno para el respeto y garantía de los derechos humanos.</t>
        </is>
      </c>
      <c r="F140" t="inlineStr">
        <is>
          <t>4502022</t>
        </is>
      </c>
      <c r="G140" t="inlineStr">
        <is>
          <t>Servicio de asistencia técnica</t>
        </is>
      </c>
      <c r="H140"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140" t="inlineStr">
        <is>
          <t>202400000006494</t>
        </is>
      </c>
      <c r="J140" s="99">
        <v>191606077</v>
      </c>
      <c r="K140" s="99">
        <v>58181790</v>
      </c>
      <c r="L140" s="99">
        <v>133424287</v>
      </c>
      <c r="M140" s="99">
        <v>0</v>
      </c>
      <c r="N140" s="99">
        <v>0</v>
      </c>
      <c r="O140" s="99" t="inlineStr">
        <is>
          <t xml:space="preserve"> </t>
        </is>
      </c>
      <c r="P140" s="99" t="inlineStr">
        <is>
          <t xml:space="preserve"> </t>
        </is>
      </c>
      <c r="Q140" s="99" t="inlineStr">
        <is>
          <t xml:space="preserve"> </t>
        </is>
      </c>
      <c r="R140" s="100" t="inlineStr">
        <is>
          <t xml:space="preserve"> </t>
        </is>
      </c>
      <c r="S140" t="inlineStr">
        <is>
          <t>No se encontró ejecución en CUIPO</t>
        </is>
      </c>
      <c r="T140" s="101" t="inlineStr">
        <is>
          <t xml:space="preserve"> </t>
        </is>
      </c>
      <c r="U140" s="101" t="inlineStr">
        <is>
          <t xml:space="preserve"> </t>
        </is>
      </c>
      <c r="V140" s="101" t="inlineStr">
        <is>
          <t xml:space="preserve"> </t>
        </is>
      </c>
      <c r="W140" s="102" t="inlineStr">
        <is>
          <t xml:space="preserve"> </t>
        </is>
      </c>
      <c r="X140" t="inlineStr">
        <is>
          <t>No se encontró ejecución en CUIPO</t>
        </is>
      </c>
    </row>
    <row r="141">
      <c r="A141" t="inlineStr">
        <is>
          <t>IP-144</t>
        </is>
      </c>
      <c r="B141" t="inlineStr">
        <is>
          <t>40</t>
        </is>
      </c>
      <c r="C141" t="inlineStr">
        <is>
          <t>Vivienda, ciudad y territorio</t>
        </is>
      </c>
      <c r="D141" t="inlineStr">
        <is>
          <t>4002</t>
        </is>
      </c>
      <c r="E141" t="inlineStr">
        <is>
          <t>Ordenamiento territorial y desarrollo urbano</t>
        </is>
      </c>
      <c r="F141" t="inlineStr">
        <is>
          <t>4002001</t>
        </is>
      </c>
      <c r="G141" t="inlineStr">
        <is>
          <t>Servicios de asistencia técnica en planificación urbana y ordenamiento territorial</t>
        </is>
      </c>
      <c r="H141" t="inlineStr">
        <is>
          <t>Asistencia técnica realizada por Nación o Departamentos  ,en formulación, revisión, ajuste, evaluación y/o implementación de planes de ordenamiento territorial (Para municipios: POT, PBOT y EOT), plan de ordenamiento Departamental o plan Metropolitano de ordenamiento territorial.</t>
        </is>
      </c>
      <c r="I141" t="inlineStr">
        <is>
          <t>202400000006237</t>
        </is>
      </c>
      <c r="J141" s="99">
        <v>56000000</v>
      </c>
      <c r="K141" s="99">
        <v>10000000</v>
      </c>
      <c r="L141" s="99">
        <v>35000000</v>
      </c>
      <c r="M141" s="99">
        <v>5500000</v>
      </c>
      <c r="N141" s="99">
        <v>5500000</v>
      </c>
      <c r="O141" s="99" t="inlineStr">
        <is>
          <t xml:space="preserve"> </t>
        </is>
      </c>
      <c r="P141" s="99" t="inlineStr">
        <is>
          <t xml:space="preserve"> </t>
        </is>
      </c>
      <c r="Q141" s="99" t="inlineStr">
        <is>
          <t xml:space="preserve"> </t>
        </is>
      </c>
      <c r="R141" s="100" t="inlineStr">
        <is>
          <t xml:space="preserve"> </t>
        </is>
      </c>
      <c r="S141" t="inlineStr">
        <is>
          <t>No se encontró ejecución en CUIPO</t>
        </is>
      </c>
      <c r="T141" s="101">
        <v>18613800</v>
      </c>
      <c r="U141" s="101">
        <v>8272800</v>
      </c>
      <c r="V141" s="101">
        <v>8272800</v>
      </c>
      <c r="W141" s="102">
        <v>0.236365714285714</v>
      </c>
      <c r="X141" t="inlineStr">
        <is>
          <t>Lo obligado está por debajo de lo programado en la vigencia</t>
        </is>
      </c>
    </row>
    <row r="142">
      <c r="A142" t="inlineStr">
        <is>
          <t>IP-145</t>
        </is>
      </c>
      <c r="B142" t="inlineStr">
        <is>
          <t>41</t>
        </is>
      </c>
      <c r="C142" t="inlineStr">
        <is>
          <t xml:space="preserve">Inclusión social y reconciliación </t>
        </is>
      </c>
      <c r="D142" t="inlineStr">
        <is>
          <t>4104</t>
        </is>
      </c>
      <c r="E142" t="inlineStr">
        <is>
          <t>Atención integral de población en situación permanente de desprotección social y/o familiar</t>
        </is>
      </c>
      <c r="F142" t="inlineStr">
        <is>
          <t>4104009</t>
        </is>
      </c>
      <c r="G142" t="inlineStr">
        <is>
          <t>Centros de protección social de día para el adulto mayor adecuados</t>
        </is>
      </c>
      <c r="H142" t="inlineStr">
        <is>
          <t>Corresponde a la adecuación de infraestructura destinada a brindar servicios diurnos para el cuidado, bienestar integral y asistencia social de los adultos mayores en condicionesde descuido, abandono o víctimas de violencia intrafamiliar.</t>
        </is>
      </c>
      <c r="I142" t="inlineStr">
        <is>
          <t>202500000003385</t>
        </is>
      </c>
      <c r="J142" s="99">
        <v>11452347826.67</v>
      </c>
      <c r="K142" s="99">
        <v>4423459759.67</v>
      </c>
      <c r="L142" s="99">
        <v>2366250000</v>
      </c>
      <c r="M142" s="99">
        <v>2317045709</v>
      </c>
      <c r="N142" s="99">
        <v>2345592358</v>
      </c>
      <c r="O142" s="99" t="inlineStr">
        <is>
          <t xml:space="preserve"> </t>
        </is>
      </c>
      <c r="P142" s="99" t="inlineStr">
        <is>
          <t xml:space="preserve"> </t>
        </is>
      </c>
      <c r="Q142" s="99" t="inlineStr">
        <is>
          <t xml:space="preserve"> </t>
        </is>
      </c>
      <c r="R142" s="100" t="inlineStr">
        <is>
          <t xml:space="preserve"> </t>
        </is>
      </c>
      <c r="S142" t="inlineStr">
        <is>
          <t>No se encontró ejecución en CUIPO</t>
        </is>
      </c>
      <c r="T142" s="101" t="inlineStr">
        <is>
          <t xml:space="preserve"> </t>
        </is>
      </c>
      <c r="U142" s="101" t="inlineStr">
        <is>
          <t xml:space="preserve"> </t>
        </is>
      </c>
      <c r="V142" s="101" t="inlineStr">
        <is>
          <t xml:space="preserve"> </t>
        </is>
      </c>
      <c r="W142" s="102" t="inlineStr">
        <is>
          <t xml:space="preserve"> </t>
        </is>
      </c>
      <c r="X142" t="inlineStr">
        <is>
          <t>No se encontró ejecución en CUIPO</t>
        </is>
      </c>
    </row>
    <row r="143">
      <c r="A143" t="inlineStr">
        <is>
          <t>IP-146</t>
        </is>
      </c>
      <c r="B143" t="inlineStr">
        <is>
          <t>32</t>
        </is>
      </c>
      <c r="C143" t="inlineStr">
        <is>
          <t>Ambiente y desarrollo sostenible</t>
        </is>
      </c>
      <c r="D143" t="inlineStr">
        <is>
          <t>3201</t>
        </is>
      </c>
      <c r="E143" t="inlineStr">
        <is>
          <t>Fortalecimiento del desempeño ambiental de los sectores productivos</t>
        </is>
      </c>
      <c r="F143" t="inlineStr">
        <is>
          <t>3201004</t>
        </is>
      </c>
      <c r="G143" t="inlineStr">
        <is>
          <t>Servicio de asistencia técnica en el marco de la formulación e implementación de proyectos demostrativos para la reducción de impactos ambientales de la minería</t>
        </is>
      </c>
      <c r="H143" t="inlineStr">
        <is>
          <t xml:space="preserve">Acciones orientadas a brindar asistencia técnica en la formulación e implementación de proyectos demostrativos para la reducción de impactos ambientales de la minería </t>
        </is>
      </c>
      <c r="I143" t="inlineStr">
        <is>
          <t>2024258170055</t>
        </is>
      </c>
      <c r="J143" s="99">
        <v>320000000</v>
      </c>
      <c r="K143" s="99">
        <v>165000000</v>
      </c>
      <c r="L143" s="99">
        <v>105000000</v>
      </c>
      <c r="M143" s="99">
        <v>35000000</v>
      </c>
      <c r="N143" s="99">
        <v>15000000</v>
      </c>
      <c r="O143" s="99" t="inlineStr">
        <is>
          <t xml:space="preserve"> </t>
        </is>
      </c>
      <c r="P143" s="99" t="inlineStr">
        <is>
          <t xml:space="preserve"> </t>
        </is>
      </c>
      <c r="Q143" s="99" t="inlineStr">
        <is>
          <t xml:space="preserve"> </t>
        </is>
      </c>
      <c r="R143" s="100" t="inlineStr">
        <is>
          <t xml:space="preserve"> </t>
        </is>
      </c>
      <c r="S143" t="inlineStr">
        <is>
          <t>No se encontró ejecución en CUIPO</t>
        </is>
      </c>
      <c r="T143" s="101">
        <v>37198560</v>
      </c>
      <c r="U143" s="101">
        <v>0</v>
      </c>
      <c r="V143" s="101">
        <v>0</v>
      </c>
      <c r="W143" s="102">
        <v>0</v>
      </c>
      <c r="X143" t="inlineStr">
        <is>
          <t>No se ejecutó en la vigencia</t>
        </is>
      </c>
    </row>
    <row r="144">
      <c r="A144" t="inlineStr">
        <is>
          <t>IP-147</t>
        </is>
      </c>
      <c r="B144" t="inlineStr">
        <is>
          <t>19</t>
        </is>
      </c>
      <c r="C144" t="inlineStr">
        <is>
          <t>Salud y protección social</t>
        </is>
      </c>
      <c r="D144" t="inlineStr">
        <is>
          <t>1906</t>
        </is>
      </c>
      <c r="E144" t="inlineStr">
        <is>
          <t>Aseguramiento y prestación integral de servicios de salud</t>
        </is>
      </c>
      <c r="F144" t="inlineStr">
        <is>
          <t>1906041</t>
        </is>
      </c>
      <c r="G144" t="inlineStr">
        <is>
          <t>Servicio de asistencia técnica</t>
        </is>
      </c>
      <c r="H144" t="inlineStr">
        <is>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is>
      </c>
      <c r="I144" t="inlineStr">
        <is>
          <t>202400000006244</t>
        </is>
      </c>
      <c r="J144" s="99">
        <v>316765528.9</v>
      </c>
      <c r="K144" s="99">
        <v>256341262</v>
      </c>
      <c r="L144" s="99">
        <v>19167095</v>
      </c>
      <c r="M144" s="99">
        <v>20125449.7</v>
      </c>
      <c r="N144" s="99">
        <v>21131722.2</v>
      </c>
      <c r="O144" s="99" t="inlineStr">
        <is>
          <t xml:space="preserve"> </t>
        </is>
      </c>
      <c r="P144" s="99" t="inlineStr">
        <is>
          <t xml:space="preserve"> </t>
        </is>
      </c>
      <c r="Q144" s="99" t="inlineStr">
        <is>
          <t xml:space="preserve"> </t>
        </is>
      </c>
      <c r="R144" s="100" t="inlineStr">
        <is>
          <t xml:space="preserve"> </t>
        </is>
      </c>
      <c r="S144" t="inlineStr">
        <is>
          <t>No se encontró ejecución en CUIPO</t>
        </is>
      </c>
      <c r="T144" s="101">
        <v>221125920</v>
      </c>
      <c r="U144" s="101">
        <v>141969930</v>
      </c>
      <c r="V144" s="101">
        <v>141969930</v>
      </c>
      <c r="W144" s="102">
        <v>7.40696125312678</v>
      </c>
      <c r="X144" t="inlineStr">
        <is>
          <t>Hubo ejecución por encima de lo programado en SisPT</t>
        </is>
      </c>
    </row>
    <row r="145">
      <c r="A145" t="inlineStr">
        <is>
          <t>IP-148</t>
        </is>
      </c>
      <c r="B145" t="inlineStr">
        <is>
          <t>22</t>
        </is>
      </c>
      <c r="C145" t="inlineStr">
        <is>
          <t>Educación</t>
        </is>
      </c>
      <c r="D145" t="inlineStr">
        <is>
          <t>2202</t>
        </is>
      </c>
      <c r="E145" t="inlineStr">
        <is>
          <t>Calidad y fomento de la educación superior</t>
        </is>
      </c>
      <c r="F145" t="inlineStr">
        <is>
          <t>2202071</t>
        </is>
      </c>
      <c r="G145" t="inlineStr">
        <is>
          <t>Sedes de instituciones de educación superior  construidas</t>
        </is>
      </c>
      <c r="H145" t="inlineStr">
        <is>
          <t>Infraestructura educativa nueva para la prestación del servicio de educación  superior en cualquiera de sus modalidades de conformidad con los lineamientos técnicos del sector</t>
        </is>
      </c>
      <c r="I145" t="inlineStr">
        <is>
          <t>202400000005768</t>
        </is>
      </c>
      <c r="J145" s="99">
        <v>1470000000</v>
      </c>
      <c r="K145" s="99">
        <v>0</v>
      </c>
      <c r="L145" s="99">
        <v>300000000</v>
      </c>
      <c r="M145" s="99">
        <v>170000000</v>
      </c>
      <c r="N145" s="99">
        <v>1000000000</v>
      </c>
      <c r="O145" s="99" t="inlineStr">
        <is>
          <t xml:space="preserve"> </t>
        </is>
      </c>
      <c r="P145" s="99" t="inlineStr">
        <is>
          <t xml:space="preserve"> </t>
        </is>
      </c>
      <c r="Q145" s="99" t="inlineStr">
        <is>
          <t xml:space="preserve"> </t>
        </is>
      </c>
      <c r="R145" s="100" t="inlineStr">
        <is>
          <t xml:space="preserve"> </t>
        </is>
      </c>
      <c r="S145" t="inlineStr">
        <is>
          <t>No se encontró ejecución en CUIPO</t>
        </is>
      </c>
      <c r="T145" s="101" t="inlineStr">
        <is>
          <t xml:space="preserve"> </t>
        </is>
      </c>
      <c r="U145" s="101" t="inlineStr">
        <is>
          <t xml:space="preserve"> </t>
        </is>
      </c>
      <c r="V145" s="101" t="inlineStr">
        <is>
          <t xml:space="preserve"> </t>
        </is>
      </c>
      <c r="W145" s="102" t="inlineStr">
        <is>
          <t xml:space="preserve"> </t>
        </is>
      </c>
      <c r="X145" t="inlineStr">
        <is>
          <t>No se encontró ejecución en CUIPO</t>
        </is>
      </c>
    </row>
    <row r="146">
      <c r="A146" t="inlineStr">
        <is>
          <t>IP-149</t>
        </is>
      </c>
      <c r="B146" t="inlineStr">
        <is>
          <t>12</t>
        </is>
      </c>
      <c r="C146" t="inlineStr">
        <is>
          <t>Justicia y del derecho</t>
        </is>
      </c>
      <c r="D146" t="inlineStr">
        <is>
          <t>1202</t>
        </is>
      </c>
      <c r="E146" t="inlineStr">
        <is>
          <t>Promoción al acceso a la justicia</t>
        </is>
      </c>
      <c r="F146" t="inlineStr">
        <is>
          <t>1202002</t>
        </is>
      </c>
      <c r="G146" t="inlineStr">
        <is>
          <t>Servicio de justicia a los ciudadanos</t>
        </is>
      </c>
      <c r="H146" t="inlineStr">
        <is>
          <t>Hace referencia a servicios de información y orientación sobre herramientas y mecanismos legales, formales y no formales, para el reconocimiento y protección de los derechos de los ciudadanos</t>
        </is>
      </c>
      <c r="I146" t="inlineStr">
        <is>
          <t>2024258170009</t>
        </is>
      </c>
      <c r="J146" s="99">
        <v>37900000</v>
      </c>
      <c r="K146" s="99">
        <v>14400000</v>
      </c>
      <c r="L146" s="99">
        <v>20000000</v>
      </c>
      <c r="M146" s="99">
        <v>2500000</v>
      </c>
      <c r="N146" s="99">
        <v>1000000</v>
      </c>
      <c r="O146" s="99" t="inlineStr">
        <is>
          <t xml:space="preserve"> </t>
        </is>
      </c>
      <c r="P146" s="99" t="inlineStr">
        <is>
          <t xml:space="preserve"> </t>
        </is>
      </c>
      <c r="Q146" s="99" t="inlineStr">
        <is>
          <t xml:space="preserve"> </t>
        </is>
      </c>
      <c r="R146" s="100" t="inlineStr">
        <is>
          <t xml:space="preserve"> </t>
        </is>
      </c>
      <c r="S146" t="inlineStr">
        <is>
          <t>No se encontró ejecución en CUIPO</t>
        </is>
      </c>
      <c r="T146" s="101" t="inlineStr">
        <is>
          <t xml:space="preserve"> </t>
        </is>
      </c>
      <c r="U146" s="101" t="inlineStr">
        <is>
          <t xml:space="preserve"> </t>
        </is>
      </c>
      <c r="V146" s="101" t="inlineStr">
        <is>
          <t xml:space="preserve"> </t>
        </is>
      </c>
      <c r="W146" s="102" t="inlineStr">
        <is>
          <t xml:space="preserve"> </t>
        </is>
      </c>
      <c r="X146" t="inlineStr">
        <is>
          <t>No se encontró ejecución en CUIPO</t>
        </is>
      </c>
    </row>
    <row r="147">
      <c r="A147" t="inlineStr">
        <is>
          <t>IP-150</t>
        </is>
      </c>
      <c r="B147" t="inlineStr">
        <is>
          <t>35</t>
        </is>
      </c>
      <c r="C147" t="inlineStr">
        <is>
          <t>Comercio, industria y turismo</t>
        </is>
      </c>
      <c r="D147" t="inlineStr">
        <is>
          <t>3502</t>
        </is>
      </c>
      <c r="E147" t="inlineStr">
        <is>
          <t>Productividad y competitividad de las empresas colombianas</t>
        </is>
      </c>
      <c r="F147" t="inlineStr">
        <is>
          <t>3502017</t>
        </is>
      </c>
      <c r="G147" t="inlineStr">
        <is>
          <t>Servicio de asistencia técnica para emprendedores y/o empresas en edad temprana</t>
        </is>
      </c>
      <c r="H147" t="inlineStr">
        <is>
          <t>Asistencia técnica dirigida a emprendedores con empresas en etapa temprana (menores de 5 años).</t>
        </is>
      </c>
      <c r="I147" t="inlineStr">
        <is>
          <t>202400000006193</t>
        </is>
      </c>
      <c r="J147" s="99">
        <v>52000000</v>
      </c>
      <c r="K147" s="99">
        <v>2000000</v>
      </c>
      <c r="L147" s="99">
        <v>40000000</v>
      </c>
      <c r="M147" s="99">
        <v>5000000</v>
      </c>
      <c r="N147" s="99">
        <v>5000000</v>
      </c>
      <c r="O147" s="99" t="inlineStr">
        <is>
          <t xml:space="preserve"> </t>
        </is>
      </c>
      <c r="P147" s="99" t="inlineStr">
        <is>
          <t xml:space="preserve"> </t>
        </is>
      </c>
      <c r="Q147" s="99" t="inlineStr">
        <is>
          <t xml:space="preserve"> </t>
        </is>
      </c>
      <c r="R147" s="100" t="inlineStr">
        <is>
          <t xml:space="preserve"> </t>
        </is>
      </c>
      <c r="S147" t="inlineStr">
        <is>
          <t>No se encontró ejecución en CUIPO</t>
        </is>
      </c>
      <c r="T147" s="101">
        <v>34776000</v>
      </c>
      <c r="U147" s="101">
        <v>18630000</v>
      </c>
      <c r="V147" s="101">
        <v>18630000</v>
      </c>
      <c r="W147" s="102">
        <v>0.46575</v>
      </c>
      <c r="X147" t="inlineStr">
        <is>
          <t>Lo obligado está por debajo de lo programado en la vigencia</t>
        </is>
      </c>
    </row>
    <row r="148">
      <c r="A148" t="inlineStr">
        <is>
          <t>IP-151</t>
        </is>
      </c>
      <c r="B148" t="inlineStr">
        <is>
          <t>22</t>
        </is>
      </c>
      <c r="C148" t="inlineStr">
        <is>
          <t>Educación</t>
        </is>
      </c>
      <c r="D148" t="inlineStr">
        <is>
          <t>2201</t>
        </is>
      </c>
      <c r="E148" t="inlineStr">
        <is>
          <t>Calidad, cobertura y fortalecimiento de la educación inicial, prescolar, básica y media</t>
        </is>
      </c>
      <c r="F148" t="inlineStr">
        <is>
          <t>2201028</t>
        </is>
      </c>
      <c r="G148" t="inlineStr">
        <is>
          <t>Servicio de apoyo a la permanencia con alimentación escolar</t>
        </is>
      </c>
      <c r="H148" t="inlineStr">
        <is>
          <t>Incluye la implementación de estrategias de alimentación escolar para fortalecer las acciones de retención estudiantil.</t>
        </is>
      </c>
      <c r="I148" t="inlineStr">
        <is>
          <t>202400000005692</t>
        </is>
      </c>
      <c r="J148" s="99">
        <v>141495482335.01</v>
      </c>
      <c r="K148" s="99">
        <v>139266900582.91</v>
      </c>
      <c r="L148" s="99">
        <v>700000000</v>
      </c>
      <c r="M148" s="99">
        <v>741751358.5</v>
      </c>
      <c r="N148" s="99">
        <v>786830393.6</v>
      </c>
      <c r="O148" s="99" t="inlineStr">
        <is>
          <t xml:space="preserve"> </t>
        </is>
      </c>
      <c r="P148" s="99" t="inlineStr">
        <is>
          <t xml:space="preserve"> </t>
        </is>
      </c>
      <c r="Q148" s="99" t="inlineStr">
        <is>
          <t xml:space="preserve"> </t>
        </is>
      </c>
      <c r="R148" s="100" t="inlineStr">
        <is>
          <t xml:space="preserve"> </t>
        </is>
      </c>
      <c r="S148" t="inlineStr">
        <is>
          <t>No se encontró ejecución en CUIPO</t>
        </is>
      </c>
      <c r="T148" s="101" t="inlineStr">
        <is>
          <t xml:space="preserve"> </t>
        </is>
      </c>
      <c r="U148" s="101" t="inlineStr">
        <is>
          <t xml:space="preserve"> </t>
        </is>
      </c>
      <c r="V148" s="101" t="inlineStr">
        <is>
          <t xml:space="preserve"> </t>
        </is>
      </c>
      <c r="W148" s="102" t="inlineStr">
        <is>
          <t xml:space="preserve"> </t>
        </is>
      </c>
      <c r="X148" t="inlineStr">
        <is>
          <t>No se encontró ejecución en CUIPO</t>
        </is>
      </c>
    </row>
    <row r="149">
      <c r="A149" t="inlineStr">
        <is>
          <t>IP-152</t>
        </is>
      </c>
      <c r="B149" t="inlineStr">
        <is>
          <t>40</t>
        </is>
      </c>
      <c r="C149" t="inlineStr">
        <is>
          <t>Vivienda, ciudad y territorio</t>
        </is>
      </c>
      <c r="D149" t="inlineStr">
        <is>
          <t>4002</t>
        </is>
      </c>
      <c r="E149" t="inlineStr">
        <is>
          <t>Ordenamiento territorial y desarrollo urbano</t>
        </is>
      </c>
      <c r="F149" t="inlineStr">
        <is>
          <t>4002012</t>
        </is>
      </c>
      <c r="G149" t="inlineStr">
        <is>
          <t>Servicio de apoyo financiero en planes de desarrollo urbano y ordenamiento territorial</t>
        </is>
      </c>
      <c r="H149" t="inlineStr">
        <is>
          <t>Financiación o cofinanciación nacional o departamental para la formulación, revisión, ajuste, evaluación y/o implementación de planes de ordenamiento territorial (Para municipios: POT, PBOT y esquema de ordenamiento territorial), plan de ordenamiento departamental o plan metropolitano de ordenamiento territorial.</t>
        </is>
      </c>
      <c r="I149" t="inlineStr">
        <is>
          <t>202400000006237</t>
        </is>
      </c>
      <c r="J149" s="99">
        <v>851600000</v>
      </c>
      <c r="K149" s="99">
        <v>30000000</v>
      </c>
      <c r="L149" s="99">
        <v>700000000</v>
      </c>
      <c r="M149" s="99">
        <v>81800000</v>
      </c>
      <c r="N149" s="99">
        <v>39800000</v>
      </c>
      <c r="O149" s="99" t="inlineStr">
        <is>
          <t xml:space="preserve"> </t>
        </is>
      </c>
      <c r="P149" s="99" t="inlineStr">
        <is>
          <t xml:space="preserve"> </t>
        </is>
      </c>
      <c r="Q149" s="99" t="inlineStr">
        <is>
          <t xml:space="preserve"> </t>
        </is>
      </c>
      <c r="R149" s="100" t="inlineStr">
        <is>
          <t xml:space="preserve"> </t>
        </is>
      </c>
      <c r="S149" t="inlineStr">
        <is>
          <t>No se encontró ejecución en CUIPO</t>
        </is>
      </c>
      <c r="T149" s="101">
        <v>487420000</v>
      </c>
      <c r="U149" s="101">
        <v>244700000</v>
      </c>
      <c r="V149" s="101">
        <v>244700000</v>
      </c>
      <c r="W149" s="102">
        <v>0.349571428571429</v>
      </c>
      <c r="X149" t="inlineStr">
        <is>
          <t>Lo obligado está por debajo de lo programado en la vigencia</t>
        </is>
      </c>
    </row>
    <row r="150">
      <c r="A150" t="inlineStr">
        <is>
          <t>IP-153</t>
        </is>
      </c>
      <c r="B150" t="inlineStr">
        <is>
          <t>43</t>
        </is>
      </c>
      <c r="C150" t="inlineStr">
        <is>
          <t>Deporte y Recreación</t>
        </is>
      </c>
      <c r="D150" t="inlineStr">
        <is>
          <t>4302</t>
        </is>
      </c>
      <c r="E150" t="inlineStr">
        <is>
          <t>Formación y preparación de deportistas</t>
        </is>
      </c>
      <c r="F150" t="inlineStr">
        <is>
          <t>4302083</t>
        </is>
      </c>
      <c r="G150" t="inlineStr">
        <is>
          <t>Complejo deportivo de alto rendimiento construido y dotado</t>
        </is>
      </c>
      <c r="H150" t="inlineStr">
        <is>
          <t>Infraestructura construida y dotada con los instrumentos necesarios para la óptima realización del deporte.</t>
        </is>
      </c>
      <c r="I150" t="inlineStr">
        <is>
          <t>202500000016367</t>
        </is>
      </c>
      <c r="J150" s="99">
        <v>5761871836</v>
      </c>
      <c r="K150" s="99">
        <v>0</v>
      </c>
      <c r="L150" s="99">
        <v>1181071836</v>
      </c>
      <c r="M150" s="99">
        <v>1400000000</v>
      </c>
      <c r="N150" s="99">
        <v>3180800000</v>
      </c>
      <c r="O150" s="99" t="inlineStr">
        <is>
          <t xml:space="preserve"> </t>
        </is>
      </c>
      <c r="P150" s="99" t="inlineStr">
        <is>
          <t xml:space="preserve"> </t>
        </is>
      </c>
      <c r="Q150" s="99" t="inlineStr">
        <is>
          <t xml:space="preserve"> </t>
        </is>
      </c>
      <c r="R150" s="100" t="inlineStr">
        <is>
          <t xml:space="preserve"> </t>
        </is>
      </c>
      <c r="S150" t="inlineStr">
        <is>
          <t>No se encontró ejecución en CUIPO</t>
        </is>
      </c>
      <c r="T150" s="101" t="inlineStr">
        <is>
          <t xml:space="preserve"> </t>
        </is>
      </c>
      <c r="U150" s="101" t="inlineStr">
        <is>
          <t xml:space="preserve"> </t>
        </is>
      </c>
      <c r="V150" s="101" t="inlineStr">
        <is>
          <t xml:space="preserve"> </t>
        </is>
      </c>
      <c r="W150" s="102" t="inlineStr">
        <is>
          <t xml:space="preserve"> </t>
        </is>
      </c>
      <c r="X150" t="inlineStr">
        <is>
          <t>No se encontró ejecución en CUIPO</t>
        </is>
      </c>
    </row>
    <row r="151">
      <c r="A151" t="inlineStr">
        <is>
          <t>IP-154, IP-69</t>
        </is>
      </c>
      <c r="B151" t="inlineStr">
        <is>
          <t>40</t>
        </is>
      </c>
      <c r="C151" t="inlineStr">
        <is>
          <t>Vivienda, ciudad y territorio</t>
        </is>
      </c>
      <c r="D151" t="inlineStr">
        <is>
          <t>4003</t>
        </is>
      </c>
      <c r="E151" t="inlineStr">
        <is>
          <t>Acceso de la población a los servicios de agua potable y saneamiento básico</t>
        </is>
      </c>
      <c r="F151" t="inlineStr">
        <is>
          <t>4003017</t>
        </is>
      </c>
      <c r="G151" t="inlineStr">
        <is>
          <t>Acueductos optimizados</t>
        </is>
      </c>
      <c r="H151" t="inlineStr">
        <is>
          <t>Conjunto de acciones encaminadas a mejorar la capacidad, eficiencia y eficacia de la infraestructura componente del sistema de acueducto mediante su intervención parcial o total.</t>
        </is>
      </c>
      <c r="I151" t="inlineStr">
        <is>
          <t>202400000007000</t>
        </is>
      </c>
      <c r="J151" s="99">
        <v>1983000000</v>
      </c>
      <c r="K151" s="99">
        <v>100000000</v>
      </c>
      <c r="L151" s="99">
        <v>1883000000</v>
      </c>
      <c r="M151" s="99">
        <v>0</v>
      </c>
      <c r="N151" s="99">
        <v>0</v>
      </c>
      <c r="O151" s="99" t="inlineStr">
        <is>
          <t xml:space="preserve"> </t>
        </is>
      </c>
      <c r="P151" s="99" t="inlineStr">
        <is>
          <t xml:space="preserve"> </t>
        </is>
      </c>
      <c r="Q151" s="99" t="inlineStr">
        <is>
          <t xml:space="preserve"> </t>
        </is>
      </c>
      <c r="R151" s="100" t="inlineStr">
        <is>
          <t xml:space="preserve"> </t>
        </is>
      </c>
      <c r="S151" t="inlineStr">
        <is>
          <t>No se encontró ejecución en CUIPO</t>
        </is>
      </c>
      <c r="T151" s="101" t="inlineStr">
        <is>
          <t xml:space="preserve"> </t>
        </is>
      </c>
      <c r="U151" s="101" t="inlineStr">
        <is>
          <t xml:space="preserve"> </t>
        </is>
      </c>
      <c r="V151" s="101" t="inlineStr">
        <is>
          <t xml:space="preserve"> </t>
        </is>
      </c>
      <c r="W151" s="102" t="inlineStr">
        <is>
          <t xml:space="preserve"> </t>
        </is>
      </c>
      <c r="X151" t="inlineStr">
        <is>
          <t>No se encontró ejecución en CUIPO</t>
        </is>
      </c>
    </row>
    <row r="152">
      <c r="A152" t="inlineStr">
        <is>
          <t>IP-155</t>
        </is>
      </c>
      <c r="B152" t="inlineStr">
        <is>
          <t>24</t>
        </is>
      </c>
      <c r="C152" t="inlineStr">
        <is>
          <t>Transporte</t>
        </is>
      </c>
      <c r="D152" t="inlineStr">
        <is>
          <t>2409</t>
        </is>
      </c>
      <c r="E152" t="inlineStr">
        <is>
          <t>Seguridad de transporte</t>
        </is>
      </c>
      <c r="F152" t="inlineStr">
        <is>
          <t>2409023</t>
        </is>
      </c>
      <c r="G152" t="inlineStr">
        <is>
          <t>Servicio de sensibilización a los actores viales</t>
        </is>
      </c>
      <c r="H152" t="inlineStr">
        <is>
          <t xml:space="preserve">Incluye las acciones que permitan sensibilizar a los actores viales sobre seguridad vial. </t>
        </is>
      </c>
      <c r="I152" t="inlineStr">
        <is>
          <t/>
        </is>
      </c>
      <c r="J152" s="99">
        <v>62580000</v>
      </c>
      <c r="K152" s="99">
        <v>0</v>
      </c>
      <c r="L152" s="99">
        <v>0</v>
      </c>
      <c r="M152" s="99">
        <v>31290000</v>
      </c>
      <c r="N152" s="99">
        <v>31290000</v>
      </c>
      <c r="O152" s="99" t="inlineStr">
        <is>
          <t xml:space="preserve"> </t>
        </is>
      </c>
      <c r="P152" s="99" t="inlineStr">
        <is>
          <t xml:space="preserve"> </t>
        </is>
      </c>
      <c r="Q152" s="99" t="inlineStr">
        <is>
          <t xml:space="preserve"> </t>
        </is>
      </c>
      <c r="R152" s="100" t="inlineStr">
        <is>
          <t xml:space="preserve"> </t>
        </is>
      </c>
      <c r="S152" t="inlineStr">
        <is>
          <t>Por falta de código BPIN, no se encontró ejecución en CUIPO</t>
        </is>
      </c>
      <c r="T152" s="101" t="inlineStr">
        <is>
          <t xml:space="preserve"> </t>
        </is>
      </c>
      <c r="U152" s="101" t="inlineStr">
        <is>
          <t xml:space="preserve"> </t>
        </is>
      </c>
      <c r="V152" s="101" t="inlineStr">
        <is>
          <t xml:space="preserve"> </t>
        </is>
      </c>
      <c r="W152" s="102" t="inlineStr">
        <is>
          <t xml:space="preserve"> </t>
        </is>
      </c>
      <c r="X152" t="inlineStr">
        <is>
          <t>Por falta de código BPIN, no se encontró ejecución en CUIPO</t>
        </is>
      </c>
    </row>
    <row r="153">
      <c r="A153" t="inlineStr">
        <is>
          <t>IP-156</t>
        </is>
      </c>
      <c r="B153" t="inlineStr">
        <is>
          <t>45</t>
        </is>
      </c>
      <c r="C153" t="inlineStr">
        <is>
          <t>Gobierno Territorial</t>
        </is>
      </c>
      <c r="D153" t="inlineStr">
        <is>
          <t>4501</t>
        </is>
      </c>
      <c r="E153" t="inlineStr">
        <is>
          <t>Fortalecimiento de la convivencia y la seguridad ciudadana</t>
        </is>
      </c>
      <c r="F153" t="inlineStr">
        <is>
          <t>4501057</t>
        </is>
      </c>
      <c r="G153" t="inlineStr">
        <is>
          <t>Servicio de apoyo financiero para dotar a miembros de la fuerza publica</t>
        </is>
      </c>
      <c r="H153" t="inlineStr">
        <is>
          <t xml:space="preserve">Corresponde a los recursos del Fondos de Seguridad de las Entidades Territoriales (FONSET) destinados a la adquisición de dotación para nuevos policias, soldados y auxiliares en tanto se inicia la nueva vigencia.
</t>
        </is>
      </c>
      <c r="I153" t="inlineStr">
        <is>
          <t>202400000007013</t>
        </is>
      </c>
      <c r="J153" s="99">
        <v>9570384185.11</v>
      </c>
      <c r="K153" s="99">
        <v>1128930370.11</v>
      </c>
      <c r="L153" s="99">
        <v>4250079889</v>
      </c>
      <c r="M153" s="99">
        <v>1229373926</v>
      </c>
      <c r="N153" s="99">
        <v>2962000000</v>
      </c>
      <c r="O153" s="99" t="inlineStr">
        <is>
          <t xml:space="preserve"> </t>
        </is>
      </c>
      <c r="P153" s="99" t="inlineStr">
        <is>
          <t xml:space="preserve"> </t>
        </is>
      </c>
      <c r="Q153" s="99" t="inlineStr">
        <is>
          <t xml:space="preserve"> </t>
        </is>
      </c>
      <c r="R153" s="100" t="inlineStr">
        <is>
          <t xml:space="preserve"> </t>
        </is>
      </c>
      <c r="S153" t="inlineStr">
        <is>
          <t>No se encontró ejecución en CUIPO</t>
        </is>
      </c>
      <c r="T153" s="101">
        <v>1415806840</v>
      </c>
      <c r="U153" s="101">
        <v>764013989</v>
      </c>
      <c r="V153" s="101">
        <v>764013989</v>
      </c>
      <c r="W153" s="102">
        <v>0.179764618302214</v>
      </c>
      <c r="X153" t="inlineStr">
        <is>
          <t>Lo obligado está por debajo de lo programado en la vigencia</t>
        </is>
      </c>
    </row>
    <row r="154">
      <c r="A154" t="inlineStr">
        <is>
          <t>IP-157</t>
        </is>
      </c>
      <c r="B154" t="inlineStr">
        <is>
          <t>45</t>
        </is>
      </c>
      <c r="C154" t="inlineStr">
        <is>
          <t>Gobierno Territorial</t>
        </is>
      </c>
      <c r="D154" t="inlineStr">
        <is>
          <t>4501</t>
        </is>
      </c>
      <c r="E154" t="inlineStr">
        <is>
          <t>Fortalecimiento de la convivencia y la seguridad ciudadana</t>
        </is>
      </c>
      <c r="F154" t="inlineStr">
        <is>
          <t>4501032</t>
        </is>
      </c>
      <c r="G154" t="inlineStr">
        <is>
          <t>Servicio de atención de seguridad y emergencias de los Centros de Información Estratégica Policía Seccional</t>
        </is>
      </c>
      <c r="H154" t="inlineStr">
        <is>
          <t>Incluye la instalaciòn y dotación de Centros de Información Estratégica Policial Seccional – CIEPS los cuales son el espacio estratégico del orden operacional de la estación de policía, en el cual se desarrolla el análisis de la información para la planeación, orientación, evaluación y retroalimentación del servicio de policía, dirigido a la solución de las problemáticas que afectan la convivencia y seguridad de la jurisdicción.</t>
        </is>
      </c>
      <c r="I154" t="inlineStr">
        <is>
          <t>202400000007013</t>
        </is>
      </c>
      <c r="J154" s="99">
        <v>3917920914</v>
      </c>
      <c r="K154" s="99">
        <v>424766068</v>
      </c>
      <c r="L154" s="99">
        <v>2973978646</v>
      </c>
      <c r="M154" s="99">
        <v>250552200</v>
      </c>
      <c r="N154" s="99">
        <v>268624000</v>
      </c>
      <c r="O154" s="99" t="inlineStr">
        <is>
          <t xml:space="preserve"> </t>
        </is>
      </c>
      <c r="P154" s="99" t="inlineStr">
        <is>
          <t xml:space="preserve"> </t>
        </is>
      </c>
      <c r="Q154" s="99" t="inlineStr">
        <is>
          <t xml:space="preserve"> </t>
        </is>
      </c>
      <c r="R154" s="100" t="inlineStr">
        <is>
          <t xml:space="preserve"> </t>
        </is>
      </c>
      <c r="S154" t="inlineStr">
        <is>
          <t>No se encontró ejecución en CUIPO</t>
        </is>
      </c>
      <c r="T154" s="101">
        <v>3023003925</v>
      </c>
      <c r="U154" s="101">
        <v>1635012434</v>
      </c>
      <c r="V154" s="101">
        <v>1635012434</v>
      </c>
      <c r="W154" s="102">
        <v>0.549772755160529</v>
      </c>
      <c r="X154" t="inlineStr">
        <is>
          <t>Lo obligado está por debajo de lo programado en la vigencia</t>
        </is>
      </c>
    </row>
    <row r="155">
      <c r="A155" t="inlineStr">
        <is>
          <t>IP-158</t>
        </is>
      </c>
      <c r="B155" t="inlineStr">
        <is>
          <t>32</t>
        </is>
      </c>
      <c r="C155" t="inlineStr">
        <is>
          <t>Ambiente y desarrollo sostenible</t>
        </is>
      </c>
      <c r="D155" t="inlineStr">
        <is>
          <t>3202</t>
        </is>
      </c>
      <c r="E155" t="inlineStr">
        <is>
          <t>Conservación de la biodiversidad y sus servicios ecosistémicos</t>
        </is>
      </c>
      <c r="F155" t="inlineStr">
        <is>
          <t>3202037</t>
        </is>
      </c>
      <c r="G155" t="inlineStr">
        <is>
          <t>Servicio de recuperación de cuerpos de agua lénticos y lóticos</t>
        </is>
      </c>
      <c r="H155" t="inlineStr">
        <is>
          <t xml:space="preserve">Incluye las actividades para recuperar la capacidad hidráulica de cuerpos de agua con miras a recuperar sus servicios ecosistémicos, entre ellos, prevención de inudaciones, oferta de agua,  la capacidad de almacenamiento de agua, conectividad hidráulica, hábitat para especies acuáticas </t>
        </is>
      </c>
      <c r="I155" t="inlineStr">
        <is>
          <t>2024258170026</t>
        </is>
      </c>
      <c r="J155" s="99">
        <v>672950000</v>
      </c>
      <c r="K155" s="99">
        <v>102500000</v>
      </c>
      <c r="L155" s="99">
        <v>520450000</v>
      </c>
      <c r="M155" s="99">
        <v>25000000</v>
      </c>
      <c r="N155" s="99">
        <v>25000000</v>
      </c>
      <c r="O155" s="99" t="inlineStr">
        <is>
          <t xml:space="preserve"> </t>
        </is>
      </c>
      <c r="P155" s="99" t="inlineStr">
        <is>
          <t xml:space="preserve"> </t>
        </is>
      </c>
      <c r="Q155" s="99" t="inlineStr">
        <is>
          <t xml:space="preserve"> </t>
        </is>
      </c>
      <c r="R155" s="100" t="inlineStr">
        <is>
          <t xml:space="preserve"> </t>
        </is>
      </c>
      <c r="S155" t="inlineStr">
        <is>
          <t>No se encontró ejecución en CUIPO</t>
        </is>
      </c>
      <c r="T155" s="101">
        <v>294124432</v>
      </c>
      <c r="U155" s="101">
        <v>266857765</v>
      </c>
      <c r="V155" s="101">
        <v>266857765</v>
      </c>
      <c r="W155" s="102">
        <v>0.512744288596407</v>
      </c>
      <c r="X155" t="inlineStr">
        <is>
          <t>Lo obligado está por debajo de lo programado en la vigencia</t>
        </is>
      </c>
    </row>
    <row r="156">
      <c r="A156" t="inlineStr">
        <is>
          <t>IP-159</t>
        </is>
      </c>
      <c r="B156" t="inlineStr">
        <is>
          <t>23</t>
        </is>
      </c>
      <c r="C156" t="inlineStr">
        <is>
          <t>Tecnologías de la información y las comunicaciones</t>
        </is>
      </c>
      <c r="D156" t="inlineStr">
        <is>
          <t>2302</t>
        </is>
      </c>
      <c r="E156" t="inlineStr">
        <is>
          <t>Fomento del desarrollo de aplicaciones, software y contenidos para impulsar la apropiación de las Tecnologías de la Información y las Comunicaciones (TIC)</t>
        </is>
      </c>
      <c r="F156" t="inlineStr">
        <is>
          <t>2302059</t>
        </is>
      </c>
      <c r="G156" t="inlineStr">
        <is>
          <t>Servicio de educación informal en uso responsable y seguro de las Tecnologías de la Información y las Comunicaciones</t>
        </is>
      </c>
      <c r="H156" t="inlineStr">
        <is>
          <t>Indica la sensibilización de la comunidad y la creación de cursos que buscan tratar el tema de uso responsable de las TIC tanto virtual como presencialmente para todo público.</t>
        </is>
      </c>
      <c r="I156" t="inlineStr">
        <is>
          <t>202500000000022</t>
        </is>
      </c>
      <c r="J156" s="99">
        <v>68000000</v>
      </c>
      <c r="K156" s="99">
        <v>40000000</v>
      </c>
      <c r="L156" s="99">
        <v>20000000</v>
      </c>
      <c r="M156" s="99">
        <v>4000000</v>
      </c>
      <c r="N156" s="99">
        <v>4000000</v>
      </c>
      <c r="O156" s="99" t="inlineStr">
        <is>
          <t xml:space="preserve"> </t>
        </is>
      </c>
      <c r="P156" s="99" t="inlineStr">
        <is>
          <t xml:space="preserve"> </t>
        </is>
      </c>
      <c r="Q156" s="99" t="inlineStr">
        <is>
          <t xml:space="preserve"> </t>
        </is>
      </c>
      <c r="R156" s="100" t="inlineStr">
        <is>
          <t xml:space="preserve"> </t>
        </is>
      </c>
      <c r="S156" t="inlineStr">
        <is>
          <t>No se encontró ejecución en CUIPO</t>
        </is>
      </c>
      <c r="T156" s="101">
        <v>28000000</v>
      </c>
      <c r="U156" s="101">
        <v>0</v>
      </c>
      <c r="V156" s="101">
        <v>0</v>
      </c>
      <c r="W156" s="102">
        <v>0</v>
      </c>
      <c r="X156" t="inlineStr">
        <is>
          <t>No se ejecutó en la vigencia</t>
        </is>
      </c>
    </row>
    <row r="157">
      <c r="A157" t="inlineStr">
        <is>
          <t>IP-160</t>
        </is>
      </c>
      <c r="B157" t="inlineStr">
        <is>
          <t>24</t>
        </is>
      </c>
      <c r="C157" t="inlineStr">
        <is>
          <t>Transporte</t>
        </is>
      </c>
      <c r="D157" t="inlineStr">
        <is>
          <t>2402</t>
        </is>
      </c>
      <c r="E157" t="inlineStr">
        <is>
          <t>Infraestructura red vial regional</t>
        </is>
      </c>
      <c r="F157" t="inlineStr">
        <is>
          <t>2402039</t>
        </is>
      </c>
      <c r="G157" t="inlineStr">
        <is>
          <t>Vía terciaria construida</t>
        </is>
      </c>
      <c r="H157" t="inlineStr">
        <is>
          <t>Incluye la construcción de vías nuevas en zonas sin comunicación vial</t>
        </is>
      </c>
      <c r="I157" t="inlineStr">
        <is>
          <t>202400000006693</t>
        </is>
      </c>
      <c r="J157" s="99">
        <v>12381440000</v>
      </c>
      <c r="K157" s="99">
        <v>2381440000</v>
      </c>
      <c r="L157" s="99">
        <v>0</v>
      </c>
      <c r="M157" s="99">
        <v>0</v>
      </c>
      <c r="N157" s="99">
        <v>10000000000</v>
      </c>
      <c r="O157" s="99" t="inlineStr">
        <is>
          <t xml:space="preserve"> </t>
        </is>
      </c>
      <c r="P157" s="99" t="inlineStr">
        <is>
          <t xml:space="preserve"> </t>
        </is>
      </c>
      <c r="Q157" s="99" t="inlineStr">
        <is>
          <t xml:space="preserve"> </t>
        </is>
      </c>
      <c r="R157" s="100" t="inlineStr">
        <is>
          <t xml:space="preserve"> </t>
        </is>
      </c>
      <c r="S157" t="inlineStr">
        <is>
          <t>No se encontró ejecución en CUIPO</t>
        </is>
      </c>
      <c r="T157" s="101" t="inlineStr">
        <is>
          <t xml:space="preserve"> </t>
        </is>
      </c>
      <c r="U157" s="101" t="inlineStr">
        <is>
          <t xml:space="preserve"> </t>
        </is>
      </c>
      <c r="V157" s="101" t="inlineStr">
        <is>
          <t xml:space="preserve"> </t>
        </is>
      </c>
      <c r="W157" s="102" t="inlineStr">
        <is>
          <t xml:space="preserve"> </t>
        </is>
      </c>
      <c r="X157" t="inlineStr">
        <is>
          <t>No se encontró ejecución en CUIPO</t>
        </is>
      </c>
    </row>
    <row r="158">
      <c r="A158" t="inlineStr">
        <is>
          <t>IP-161</t>
        </is>
      </c>
      <c r="B158" t="inlineStr">
        <is>
          <t>04</t>
        </is>
      </c>
      <c r="C158" t="inlineStr">
        <is>
          <t>Información Estadística</t>
        </is>
      </c>
      <c r="D158" t="inlineStr">
        <is>
          <t>0401</t>
        </is>
      </c>
      <c r="E158" t="inlineStr">
        <is>
          <t>Levantamiento y actualización de información estadística de calidad</t>
        </is>
      </c>
      <c r="F158" t="inlineStr">
        <is>
          <t>0401105</t>
        </is>
      </c>
      <c r="G158" t="inlineStr">
        <is>
          <t>Servicio de estratificación socioeconómica</t>
        </is>
      </c>
      <c r="H158" t="inlineStr">
        <is>
          <t>Acciones orientadas a establecer la clasificación de los inmuebles residenciales de un municipio, que se hace en atención al Régimen de los Servicios Públicos Domiciliarios en Colombia.</t>
        </is>
      </c>
      <c r="I158" t="inlineStr">
        <is>
          <t>2024258170030</t>
        </is>
      </c>
      <c r="J158" s="99">
        <v>665078473.15</v>
      </c>
      <c r="K158" s="99">
        <v>98688317.15</v>
      </c>
      <c r="L158" s="99">
        <v>258390156</v>
      </c>
      <c r="M158" s="99">
        <v>154000000</v>
      </c>
      <c r="N158" s="99">
        <v>154000000</v>
      </c>
      <c r="O158" s="99" t="inlineStr">
        <is>
          <t xml:space="preserve"> </t>
        </is>
      </c>
      <c r="P158" s="99" t="inlineStr">
        <is>
          <t xml:space="preserve"> </t>
        </is>
      </c>
      <c r="Q158" s="99" t="inlineStr">
        <is>
          <t xml:space="preserve"> </t>
        </is>
      </c>
      <c r="R158" s="100" t="inlineStr">
        <is>
          <t xml:space="preserve"> </t>
        </is>
      </c>
      <c r="S158" t="inlineStr">
        <is>
          <t>No se encontró ejecución en CUIPO</t>
        </is>
      </c>
      <c r="T158" s="101" t="inlineStr">
        <is>
          <t xml:space="preserve"> </t>
        </is>
      </c>
      <c r="U158" s="101" t="inlineStr">
        <is>
          <t xml:space="preserve"> </t>
        </is>
      </c>
      <c r="V158" s="101" t="inlineStr">
        <is>
          <t xml:space="preserve"> </t>
        </is>
      </c>
      <c r="W158" s="102" t="inlineStr">
        <is>
          <t xml:space="preserve"> </t>
        </is>
      </c>
      <c r="X158" t="inlineStr">
        <is>
          <t>No se encontró ejecución en CUIPO</t>
        </is>
      </c>
    </row>
    <row r="159">
      <c r="A159" t="inlineStr">
        <is>
          <t>IP-162</t>
        </is>
      </c>
      <c r="B159" t="inlineStr">
        <is>
          <t>23</t>
        </is>
      </c>
      <c r="C159" t="inlineStr">
        <is>
          <t>Tecnologías de la información y las comunicaciones</t>
        </is>
      </c>
      <c r="D159" t="inlineStr">
        <is>
          <t>2302</t>
        </is>
      </c>
      <c r="E159" t="inlineStr">
        <is>
          <t>Fomento del desarrollo de aplicaciones, software y contenidos para impulsar la apropiación de las Tecnologías de la Información y las Comunicaciones (TIC)</t>
        </is>
      </c>
      <c r="F159" t="inlineStr">
        <is>
          <t>2302041</t>
        </is>
      </c>
      <c r="G159" t="inlineStr">
        <is>
          <t>Servicio de promoción de la participación ciudadana para el fomento del diálogo con el Estado</t>
        </is>
      </c>
      <c r="H159" t="inlineStr">
        <is>
          <t>Corresponde a los ejercicios de consulta y participación ciudadana que fomentan el dialogo y la transparencia del Gobierno Colombiano.</t>
        </is>
      </c>
      <c r="I159" t="inlineStr">
        <is>
          <t>202400000005461</t>
        </is>
      </c>
      <c r="J159" s="99">
        <v>96340020</v>
      </c>
      <c r="K159" s="99">
        <v>11340020</v>
      </c>
      <c r="L159" s="99">
        <v>70000000</v>
      </c>
      <c r="M159" s="99">
        <v>7000000</v>
      </c>
      <c r="N159" s="99">
        <v>8000000</v>
      </c>
      <c r="O159" s="99" t="inlineStr">
        <is>
          <t xml:space="preserve"> </t>
        </is>
      </c>
      <c r="P159" s="99" t="inlineStr">
        <is>
          <t xml:space="preserve"> </t>
        </is>
      </c>
      <c r="Q159" s="99" t="inlineStr">
        <is>
          <t xml:space="preserve"> </t>
        </is>
      </c>
      <c r="R159" s="100" t="inlineStr">
        <is>
          <t xml:space="preserve"> </t>
        </is>
      </c>
      <c r="S159" t="inlineStr">
        <is>
          <t>No se encontró ejecución en CUIPO</t>
        </is>
      </c>
      <c r="T159" s="101">
        <v>69997338</v>
      </c>
      <c r="U159" s="101">
        <v>69997338</v>
      </c>
      <c r="V159" s="101">
        <v>69997338</v>
      </c>
      <c r="W159" s="102">
        <v>0.999961971428571</v>
      </c>
      <c r="X159" t="inlineStr">
        <is>
          <t>Lo obligado está por debajo de lo programado en la vigencia</t>
        </is>
      </c>
    </row>
    <row r="160">
      <c r="A160" t="inlineStr">
        <is>
          <t>IP-163</t>
        </is>
      </c>
      <c r="B160" t="inlineStr">
        <is>
          <t>45</t>
        </is>
      </c>
      <c r="C160" t="inlineStr">
        <is>
          <t>Gobierno Territorial</t>
        </is>
      </c>
      <c r="D160" t="inlineStr">
        <is>
          <t>4501</t>
        </is>
      </c>
      <c r="E160" t="inlineStr">
        <is>
          <t>Fortalecimiento de la convivencia y la seguridad ciudadana</t>
        </is>
      </c>
      <c r="F160" t="inlineStr">
        <is>
          <t>4501061</t>
        </is>
      </c>
      <c r="G160" t="inlineStr">
        <is>
          <t>Servicio de atención integral a la fauna</t>
        </is>
      </c>
      <c r="H160" t="inlineStr">
        <is>
          <t>Corresponde a la atención médica y de urgencias médico veterinarias para el bienestar animal para prevenir, diagnosticar y curar las enfermedades de los animales domésticos,  silvestres y  de producción recuperados por el ente territorial, que se encuentren en condición de abandono, pérdida, desatención estatal o de  tenencia irresponsable o en situación de vulnerabilidad y aprehendidos por la policía o en riesgo que ello suceda. Para tal efecto, incluye también los programas de adopción, custodia, atención del maltrato animal, comportamiento animal, registro e identificacion y las demas que garanticen la atención integral a la Fauna en el cumplimiento de la normatividad vigente</t>
        </is>
      </c>
      <c r="I160" t="inlineStr">
        <is>
          <t>2024258170023</t>
        </is>
      </c>
      <c r="J160" s="99">
        <v>674325000</v>
      </c>
      <c r="K160" s="99">
        <v>254000000</v>
      </c>
      <c r="L160" s="99">
        <v>414325000</v>
      </c>
      <c r="M160" s="99">
        <v>3000000</v>
      </c>
      <c r="N160" s="99">
        <v>3000000</v>
      </c>
      <c r="O160" s="99" t="inlineStr">
        <is>
          <t xml:space="preserve"> </t>
        </is>
      </c>
      <c r="P160" s="99" t="inlineStr">
        <is>
          <t xml:space="preserve"> </t>
        </is>
      </c>
      <c r="Q160" s="99" t="inlineStr">
        <is>
          <t xml:space="preserve"> </t>
        </is>
      </c>
      <c r="R160" s="100" t="inlineStr">
        <is>
          <t xml:space="preserve"> </t>
        </is>
      </c>
      <c r="S160" t="inlineStr">
        <is>
          <t>No se encontró ejecución en CUIPO</t>
        </is>
      </c>
      <c r="T160" s="101">
        <v>149275280</v>
      </c>
      <c r="U160" s="101">
        <v>22482318</v>
      </c>
      <c r="V160" s="101">
        <v>22482318</v>
      </c>
      <c r="W160" s="102">
        <v>0.054262518554275</v>
      </c>
      <c r="X160" t="inlineStr">
        <is>
          <t>Lo obligado está por debajo de lo programado en la vigencia</t>
        </is>
      </c>
    </row>
    <row r="161">
      <c r="A161" t="inlineStr">
        <is>
          <t>IP-164</t>
        </is>
      </c>
      <c r="B161" t="inlineStr">
        <is>
          <t>23</t>
        </is>
      </c>
      <c r="C161" t="inlineStr">
        <is>
          <t>Tecnologías de la información y las comunicaciones</t>
        </is>
      </c>
      <c r="D161" t="inlineStr">
        <is>
          <t>2302</t>
        </is>
      </c>
      <c r="E161" t="inlineStr">
        <is>
          <t>Fomento del desarrollo de aplicaciones, software y contenidos para impulsar la apropiación de las Tecnologías de la Información y las Comunicaciones (TIC)</t>
        </is>
      </c>
      <c r="F161" t="inlineStr">
        <is>
          <t>2302020</t>
        </is>
      </c>
      <c r="G161" t="inlineStr">
        <is>
          <t>Servicio de asistencia técnica para el emprendimiento de base tecnológica</t>
        </is>
      </c>
      <c r="H161" t="inlineStr">
        <is>
          <t>Acompañamiento técnico  realizadas para apoyar y desarrollar los proyectos y equipos de emprendedores potenciales de contenidos digitales en etapa temprana y avanzada</t>
        </is>
      </c>
      <c r="I161" t="inlineStr">
        <is>
          <t>202400000007305</t>
        </is>
      </c>
      <c r="J161" s="99">
        <v>40000000</v>
      </c>
      <c r="K161" s="99">
        <v>10000000</v>
      </c>
      <c r="L161" s="99">
        <v>25000000</v>
      </c>
      <c r="M161" s="99">
        <v>2500000</v>
      </c>
      <c r="N161" s="99">
        <v>2500000</v>
      </c>
      <c r="O161" s="99" t="inlineStr">
        <is>
          <t xml:space="preserve"> </t>
        </is>
      </c>
      <c r="P161" s="99" t="inlineStr">
        <is>
          <t xml:space="preserve"> </t>
        </is>
      </c>
      <c r="Q161" s="99" t="inlineStr">
        <is>
          <t xml:space="preserve"> </t>
        </is>
      </c>
      <c r="R161" s="100" t="inlineStr">
        <is>
          <t xml:space="preserve"> </t>
        </is>
      </c>
      <c r="S161" t="inlineStr">
        <is>
          <t>No se encontró ejecución en CUIPO</t>
        </is>
      </c>
      <c r="T161" s="101" t="inlineStr">
        <is>
          <t xml:space="preserve"> </t>
        </is>
      </c>
      <c r="U161" s="101" t="inlineStr">
        <is>
          <t xml:space="preserve"> </t>
        </is>
      </c>
      <c r="V161" s="101" t="inlineStr">
        <is>
          <t xml:space="preserve"> </t>
        </is>
      </c>
      <c r="W161" s="102" t="inlineStr">
        <is>
          <t xml:space="preserve"> </t>
        </is>
      </c>
      <c r="X161" t="inlineStr">
        <is>
          <t>No se encontró ejecución en CUIPO</t>
        </is>
      </c>
    </row>
    <row r="162">
      <c r="A162" t="inlineStr">
        <is>
          <t>IP-169</t>
        </is>
      </c>
      <c r="B162" t="inlineStr">
        <is>
          <t>45</t>
        </is>
      </c>
      <c r="C162" t="inlineStr">
        <is>
          <t>Gobierno Territorial</t>
        </is>
      </c>
      <c r="D162" t="inlineStr">
        <is>
          <t>4501</t>
        </is>
      </c>
      <c r="E162" t="inlineStr">
        <is>
          <t>Fortalecimiento de la convivencia y la seguridad ciudadana</t>
        </is>
      </c>
      <c r="F162" t="inlineStr">
        <is>
          <t>4501056</t>
        </is>
      </c>
      <c r="G162" t="inlineStr">
        <is>
          <t>Servicio de apoyo financiero para la justicia y seguridad</t>
        </is>
      </c>
      <c r="H162" t="inlineStr">
        <is>
          <t>Corresponde a los recursos destinados a compensar a personas que colaboren con la justicia y a contribuir a la seguridad de las mismas.</t>
        </is>
      </c>
      <c r="I162" t="inlineStr">
        <is>
          <t>202400000007013</t>
        </is>
      </c>
      <c r="J162" s="99">
        <v>90000000</v>
      </c>
      <c r="K162" s="99">
        <v>0</v>
      </c>
      <c r="L162" s="99">
        <v>70000000</v>
      </c>
      <c r="M162" s="99">
        <v>10000000</v>
      </c>
      <c r="N162" s="99">
        <v>10000000</v>
      </c>
      <c r="O162" s="99" t="inlineStr">
        <is>
          <t xml:space="preserve"> </t>
        </is>
      </c>
      <c r="P162" s="99" t="inlineStr">
        <is>
          <t xml:space="preserve"> </t>
        </is>
      </c>
      <c r="Q162" s="99" t="inlineStr">
        <is>
          <t xml:space="preserve"> </t>
        </is>
      </c>
      <c r="R162" s="100" t="inlineStr">
        <is>
          <t xml:space="preserve"> </t>
        </is>
      </c>
      <c r="S162" t="inlineStr">
        <is>
          <t>No se encontró ejecución en CUIPO</t>
        </is>
      </c>
      <c r="T162" s="101" t="inlineStr">
        <is>
          <t xml:space="preserve"> </t>
        </is>
      </c>
      <c r="U162" s="101" t="inlineStr">
        <is>
          <t xml:space="preserve"> </t>
        </is>
      </c>
      <c r="V162" s="101" t="inlineStr">
        <is>
          <t xml:space="preserve"> </t>
        </is>
      </c>
      <c r="W162" s="102" t="inlineStr">
        <is>
          <t xml:space="preserve"> </t>
        </is>
      </c>
      <c r="X162" t="inlineStr">
        <is>
          <t>No se encontró ejecución en CUIPO</t>
        </is>
      </c>
    </row>
    <row r="163">
      <c r="A163" t="inlineStr">
        <is>
          <t>IP-171</t>
        </is>
      </c>
      <c r="B163" t="inlineStr">
        <is>
          <t>23</t>
        </is>
      </c>
      <c r="C163" t="inlineStr">
        <is>
          <t>Tecnologías de la información y las comunicaciones</t>
        </is>
      </c>
      <c r="D163" t="inlineStr">
        <is>
          <t>2301</t>
        </is>
      </c>
      <c r="E163" t="inlineStr">
        <is>
          <t>Facilitar el acceso y uso de las Tecnologías de la Información y las Comunicaciones (TIC) en todo el territorio nacional</t>
        </is>
      </c>
      <c r="F163" t="inlineStr">
        <is>
          <t>2301004</t>
        </is>
      </c>
      <c r="G163" t="inlineStr">
        <is>
          <t>Documentos de planeación</t>
        </is>
      </c>
      <c r="H163" t="inlineStr">
        <is>
          <t xml:space="preserve">Documentos que plantean la hoja de ruta  para futuros planes, programas y proyectos en el sector TIC. </t>
        </is>
      </c>
      <c r="I163" t="inlineStr">
        <is>
          <t>2024258170001</t>
        </is>
      </c>
      <c r="J163" s="99">
        <v>1770500000</v>
      </c>
      <c r="K163" s="99">
        <v>400000000</v>
      </c>
      <c r="L163" s="99">
        <v>1160000000</v>
      </c>
      <c r="M163" s="99">
        <v>102500000</v>
      </c>
      <c r="N163" s="99">
        <v>108000000</v>
      </c>
      <c r="O163" s="99" t="inlineStr">
        <is>
          <t xml:space="preserve"> </t>
        </is>
      </c>
      <c r="P163" s="99" t="inlineStr">
        <is>
          <t xml:space="preserve"> </t>
        </is>
      </c>
      <c r="Q163" s="99" t="inlineStr">
        <is>
          <t xml:space="preserve"> </t>
        </is>
      </c>
      <c r="R163" s="100" t="inlineStr">
        <is>
          <t xml:space="preserve"> </t>
        </is>
      </c>
      <c r="S163" t="inlineStr">
        <is>
          <t>No se encontró ejecución en CUIPO</t>
        </is>
      </c>
      <c r="T163" s="101">
        <v>600253147</v>
      </c>
      <c r="U163" s="101">
        <v>348966940</v>
      </c>
      <c r="V163" s="101">
        <v>337966940</v>
      </c>
      <c r="W163" s="102">
        <v>0.300833568965517</v>
      </c>
      <c r="X163" t="inlineStr">
        <is>
          <t>Lo obligado está por debajo de lo programado en la vigencia</t>
        </is>
      </c>
    </row>
    <row r="164">
      <c r="A164" t="inlineStr">
        <is>
          <t>IP-172</t>
        </is>
      </c>
      <c r="B164" t="inlineStr">
        <is>
          <t>45</t>
        </is>
      </c>
      <c r="C164" t="inlineStr">
        <is>
          <t>Gobierno Territorial</t>
        </is>
      </c>
      <c r="D164" t="inlineStr">
        <is>
          <t>4501</t>
        </is>
      </c>
      <c r="E164" t="inlineStr">
        <is>
          <t>Fortalecimiento de la convivencia y la seguridad ciudadana</t>
        </is>
      </c>
      <c r="F164" t="inlineStr">
        <is>
          <t>4501026</t>
        </is>
      </c>
      <c r="G164" t="inlineStr">
        <is>
          <t>Documentos Planeacion</t>
        </is>
      </c>
      <c r="H164" t="inlineStr">
        <is>
          <t>Documentos cuyo objetivo es plasmar una visión de futuro a anivel de entidad territorial, comunidad, sector, región, entidad o cualquier nivel de desagregación que se requiera. Incluye objetivos, estrategias, metas e indicadores.</t>
        </is>
      </c>
      <c r="I164" t="inlineStr">
        <is>
          <t>202400000007305</t>
        </is>
      </c>
      <c r="J164" s="99">
        <v>26614100</v>
      </c>
      <c r="K164" s="99">
        <v>0</v>
      </c>
      <c r="L164" s="99">
        <v>8250000</v>
      </c>
      <c r="M164" s="99">
        <v>8854500</v>
      </c>
      <c r="N164" s="99">
        <v>9509600</v>
      </c>
      <c r="O164" s="99" t="inlineStr">
        <is>
          <t xml:space="preserve"> </t>
        </is>
      </c>
      <c r="P164" s="99" t="inlineStr">
        <is>
          <t xml:space="preserve"> </t>
        </is>
      </c>
      <c r="Q164" s="99" t="inlineStr">
        <is>
          <t xml:space="preserve"> </t>
        </is>
      </c>
      <c r="R164" s="100" t="inlineStr">
        <is>
          <t xml:space="preserve"> </t>
        </is>
      </c>
      <c r="S164" t="inlineStr">
        <is>
          <t>No se encontró ejecución en CUIPO</t>
        </is>
      </c>
      <c r="T164" s="101" t="inlineStr">
        <is>
          <t xml:space="preserve"> </t>
        </is>
      </c>
      <c r="U164" s="101" t="inlineStr">
        <is>
          <t xml:space="preserve"> </t>
        </is>
      </c>
      <c r="V164" s="101" t="inlineStr">
        <is>
          <t xml:space="preserve"> </t>
        </is>
      </c>
      <c r="W164" s="102" t="inlineStr">
        <is>
          <t xml:space="preserve"> </t>
        </is>
      </c>
      <c r="X164" t="inlineStr">
        <is>
          <t>No se encontró ejecución en CUIPO</t>
        </is>
      </c>
    </row>
    <row r="165">
      <c r="A165" t="inlineStr">
        <is>
          <t>IP-173</t>
        </is>
      </c>
      <c r="B165" t="inlineStr">
        <is>
          <t>41</t>
        </is>
      </c>
      <c r="C165" t="inlineStr">
        <is>
          <t xml:space="preserve">Inclusión social y reconciliación </t>
        </is>
      </c>
      <c r="D165" t="inlineStr">
        <is>
          <t>4102</t>
        </is>
      </c>
      <c r="E165" t="inlineStr">
        <is>
          <t>Desarrollo integral de la primera infancia a la juventud, y fortalecimiento de las capacidades de las familias de niñas, niños y adolescentes</t>
        </is>
      </c>
      <c r="F165" t="inlineStr">
        <is>
          <t>4102006</t>
        </is>
      </c>
      <c r="G165" t="inlineStr">
        <is>
          <t>Edificaciones de atención a la primera infancia dotadas</t>
        </is>
      </c>
      <c r="H165" t="inlineStr">
        <is>
          <t xml:space="preserve">Dotación de infraestructuras dirigidas  específicamente  a prestar Servicio de atención integral a la primera infancia.  </t>
        </is>
      </c>
      <c r="I165" t="inlineStr">
        <is>
          <t>202400000006514</t>
        </is>
      </c>
      <c r="J165" s="99">
        <v>100000000</v>
      </c>
      <c r="K165" s="99">
        <v>100000000</v>
      </c>
      <c r="L165" s="99">
        <v>0</v>
      </c>
      <c r="M165" s="99">
        <v>0</v>
      </c>
      <c r="N165" s="99">
        <v>0</v>
      </c>
      <c r="O165" s="99" t="inlineStr">
        <is>
          <t xml:space="preserve"> </t>
        </is>
      </c>
      <c r="P165" s="99" t="inlineStr">
        <is>
          <t xml:space="preserve"> </t>
        </is>
      </c>
      <c r="Q165" s="99" t="inlineStr">
        <is>
          <t xml:space="preserve"> </t>
        </is>
      </c>
      <c r="R165" s="100" t="inlineStr">
        <is>
          <t xml:space="preserve"> </t>
        </is>
      </c>
      <c r="S165" t="inlineStr">
        <is>
          <t>No se encontró ejecución en CUIPO</t>
        </is>
      </c>
      <c r="T165" s="101" t="inlineStr">
        <is>
          <t xml:space="preserve"> </t>
        </is>
      </c>
      <c r="U165" s="101" t="inlineStr">
        <is>
          <t xml:space="preserve"> </t>
        </is>
      </c>
      <c r="V165" s="101" t="inlineStr">
        <is>
          <t xml:space="preserve"> </t>
        </is>
      </c>
      <c r="W165" s="102" t="inlineStr">
        <is>
          <t xml:space="preserve"> </t>
        </is>
      </c>
      <c r="X165" t="inlineStr">
        <is>
          <t>No se encontró ejecución en CUIPO</t>
        </is>
      </c>
    </row>
    <row r="166">
      <c r="A166" t="inlineStr">
        <is>
          <t>IP-174</t>
        </is>
      </c>
      <c r="B166" t="inlineStr">
        <is>
          <t>45</t>
        </is>
      </c>
      <c r="C166" t="inlineStr">
        <is>
          <t>Gobierno Territorial</t>
        </is>
      </c>
      <c r="D166" t="inlineStr">
        <is>
          <t>4501</t>
        </is>
      </c>
      <c r="E166" t="inlineStr">
        <is>
          <t>Fortalecimiento de la convivencia y la seguridad ciudadana</t>
        </is>
      </c>
      <c r="F166" t="inlineStr">
        <is>
          <t>4501048</t>
        </is>
      </c>
      <c r="G166" t="inlineStr">
        <is>
          <t>Servicio de apoyo para el acceso a la justicia policiva</t>
        </is>
      </c>
      <c r="H166" t="inlineStr">
        <is>
          <t>Comprende la estructuración , definición , implementacion y evaluación de estrategias que permitan garantizar el  efectivo cumplimiento de las normas para la prestación de los servicios de justicia policiva.</t>
        </is>
      </c>
      <c r="I166" t="inlineStr">
        <is>
          <t>202400000007013</t>
        </is>
      </c>
      <c r="J166" s="99">
        <v>1273491152</v>
      </c>
      <c r="K166" s="99">
        <v>231776452</v>
      </c>
      <c r="L166" s="99">
        <v>884245000</v>
      </c>
      <c r="M166" s="99">
        <v>75591700</v>
      </c>
      <c r="N166" s="99">
        <v>81878000</v>
      </c>
      <c r="O166" s="99" t="inlineStr">
        <is>
          <t xml:space="preserve"> </t>
        </is>
      </c>
      <c r="P166" s="99" t="inlineStr">
        <is>
          <t xml:space="preserve"> </t>
        </is>
      </c>
      <c r="Q166" s="99" t="inlineStr">
        <is>
          <t xml:space="preserve"> </t>
        </is>
      </c>
      <c r="R166" s="100" t="inlineStr">
        <is>
          <t xml:space="preserve"> </t>
        </is>
      </c>
      <c r="S166" t="inlineStr">
        <is>
          <t>No se encontró ejecución en CUIPO</t>
        </is>
      </c>
      <c r="T166" s="101">
        <v>469498531</v>
      </c>
      <c r="U166" s="101">
        <v>254678024</v>
      </c>
      <c r="V166" s="101">
        <v>254678024</v>
      </c>
      <c r="W166" s="102">
        <v>0.288017488365781</v>
      </c>
      <c r="X166" t="inlineStr">
        <is>
          <t>Lo obligado está por debajo de lo programado en la vigencia</t>
        </is>
      </c>
    </row>
    <row r="167">
      <c r="A167" t="inlineStr">
        <is>
          <t>IP-175</t>
        </is>
      </c>
      <c r="B167" t="inlineStr">
        <is>
          <t>40</t>
        </is>
      </c>
      <c r="C167" t="inlineStr">
        <is>
          <t>Vivienda, ciudad y territorio</t>
        </is>
      </c>
      <c r="D167" t="inlineStr">
        <is>
          <t>4001</t>
        </is>
      </c>
      <c r="E167" t="inlineStr">
        <is>
          <t>Acceso a soluciones de vivienda</t>
        </is>
      </c>
      <c r="F167" t="inlineStr">
        <is>
          <t>4001031</t>
        </is>
      </c>
      <c r="G167" t="inlineStr">
        <is>
          <t>Servicio de apoyo financiero para adquisición de vivienda</t>
        </is>
      </c>
      <c r="H167" t="inlineStr">
        <is>
          <t>Corresponde al apoyo financiero a través de la asignación de un subsidio familiar de vivienda de interés social para la adquisición de una vivienda nueva y usada.</t>
        </is>
      </c>
      <c r="I167" t="inlineStr">
        <is>
          <t>2024258170043</t>
        </is>
      </c>
      <c r="J167" s="99">
        <v>754738860</v>
      </c>
      <c r="K167" s="99">
        <v>160200000</v>
      </c>
      <c r="L167" s="99">
        <v>258000000</v>
      </c>
      <c r="M167" s="99">
        <v>166107860</v>
      </c>
      <c r="N167" s="99">
        <v>170431000</v>
      </c>
      <c r="O167" s="99" t="inlineStr">
        <is>
          <t xml:space="preserve"> </t>
        </is>
      </c>
      <c r="P167" s="99" t="inlineStr">
        <is>
          <t xml:space="preserve"> </t>
        </is>
      </c>
      <c r="Q167" s="99" t="inlineStr">
        <is>
          <t xml:space="preserve"> </t>
        </is>
      </c>
      <c r="R167" s="100" t="inlineStr">
        <is>
          <t xml:space="preserve"> </t>
        </is>
      </c>
      <c r="S167" t="inlineStr">
        <is>
          <t>No se encontró ejecución en CUIPO</t>
        </is>
      </c>
      <c r="T167" s="101">
        <v>96300000</v>
      </c>
      <c r="U167" s="101">
        <v>52920000</v>
      </c>
      <c r="V167" s="101">
        <v>52920000</v>
      </c>
      <c r="W167" s="102">
        <v>0.205116279069767</v>
      </c>
      <c r="X167" t="inlineStr">
        <is>
          <t>Lo obligado está por debajo de lo programado en la vigencia</t>
        </is>
      </c>
    </row>
    <row r="168">
      <c r="A168" t="inlineStr">
        <is>
          <t>IP-176</t>
        </is>
      </c>
      <c r="B168" t="inlineStr">
        <is>
          <t>35</t>
        </is>
      </c>
      <c r="C168" t="inlineStr">
        <is>
          <t>Comercio, industria y turismo</t>
        </is>
      </c>
      <c r="D168" t="inlineStr">
        <is>
          <t>3502</t>
        </is>
      </c>
      <c r="E168" t="inlineStr">
        <is>
          <t>Productividad y competitividad de las empresas colombianas</t>
        </is>
      </c>
      <c r="F168" t="inlineStr">
        <is>
          <t>3502049</t>
        </is>
      </c>
      <c r="G168" t="inlineStr">
        <is>
          <t>Servicio de circuito turístico</t>
        </is>
      </c>
      <c r="H168" t="inlineStr">
        <is>
          <t>Corresponde a un recorrido por determinados atractivos turísticos.</t>
        </is>
      </c>
      <c r="I168" t="inlineStr">
        <is>
          <t>2024258170013</t>
        </is>
      </c>
      <c r="J168" s="99">
        <v>45000000</v>
      </c>
      <c r="K168" s="99">
        <v>5000000</v>
      </c>
      <c r="L168" s="99">
        <v>33000000</v>
      </c>
      <c r="M168" s="99">
        <v>3500000</v>
      </c>
      <c r="N168" s="99">
        <v>3500000</v>
      </c>
      <c r="O168" s="99" t="inlineStr">
        <is>
          <t xml:space="preserve"> </t>
        </is>
      </c>
      <c r="P168" s="99" t="inlineStr">
        <is>
          <t xml:space="preserve"> </t>
        </is>
      </c>
      <c r="Q168" s="99" t="inlineStr">
        <is>
          <t xml:space="preserve"> </t>
        </is>
      </c>
      <c r="R168" s="100" t="inlineStr">
        <is>
          <t xml:space="preserve"> </t>
        </is>
      </c>
      <c r="S168" t="inlineStr">
        <is>
          <t>No se encontró ejecución en CUIPO</t>
        </is>
      </c>
      <c r="T168" s="101">
        <v>33000000</v>
      </c>
      <c r="U168" s="101">
        <v>15990000</v>
      </c>
      <c r="V168" s="101">
        <v>15990000</v>
      </c>
      <c r="W168" s="102">
        <v>0.484545454545455</v>
      </c>
      <c r="X168" t="inlineStr">
        <is>
          <t>Lo obligado está por debajo de lo programado en la vigencia</t>
        </is>
      </c>
    </row>
    <row r="169">
      <c r="A169" t="inlineStr">
        <is>
          <t>IP-177</t>
        </is>
      </c>
      <c r="B169" t="inlineStr">
        <is>
          <t>41</t>
        </is>
      </c>
      <c r="C169" t="inlineStr">
        <is>
          <t xml:space="preserve">Inclusión social y reconciliación </t>
        </is>
      </c>
      <c r="D169" t="inlineStr">
        <is>
          <t>4103</t>
        </is>
      </c>
      <c r="E169" t="inlineStr">
        <is>
          <t>Inclusión social y productiva para la población en situación de vulnerabilidad</t>
        </is>
      </c>
      <c r="F169" t="inlineStr">
        <is>
          <t>4103061</t>
        </is>
      </c>
      <c r="G169" t="inlineStr">
        <is>
          <t>Servicio de apoyo financiero para la entrega de transferencias monetarias no condicionadas</t>
        </is>
      </c>
      <c r="H169" t="inlineStr">
        <is>
          <t>Corresponde al apoyo financiero otorgado a la población en situación de vulnerabilidad o pobreza, con el fin de ser un complemento a los ingresos de dicha población.</t>
        </is>
      </c>
      <c r="I169" t="inlineStr">
        <is>
          <t>202400000006709</t>
        </is>
      </c>
      <c r="J169" s="99">
        <v>685698896</v>
      </c>
      <c r="K169" s="99">
        <v>107900000</v>
      </c>
      <c r="L169" s="99">
        <v>481499080</v>
      </c>
      <c r="M169" s="99">
        <v>48149908</v>
      </c>
      <c r="N169" s="99">
        <v>48149908</v>
      </c>
      <c r="O169" s="99" t="inlineStr">
        <is>
          <t xml:space="preserve"> </t>
        </is>
      </c>
      <c r="P169" s="99" t="inlineStr">
        <is>
          <t xml:space="preserve"> </t>
        </is>
      </c>
      <c r="Q169" s="99" t="inlineStr">
        <is>
          <t xml:space="preserve"> </t>
        </is>
      </c>
      <c r="R169" s="100" t="inlineStr">
        <is>
          <t xml:space="preserve"> </t>
        </is>
      </c>
      <c r="S169" t="inlineStr">
        <is>
          <t>No se encontró ejecución en CUIPO</t>
        </is>
      </c>
      <c r="T169" s="101">
        <v>294647872</v>
      </c>
      <c r="U169" s="101">
        <v>87491089</v>
      </c>
      <c r="V169" s="101">
        <v>87491089</v>
      </c>
      <c r="W169" s="102">
        <v>0.181705620289036</v>
      </c>
      <c r="X169" t="inlineStr">
        <is>
          <t>Lo obligado está por debajo de lo programado en la vigencia</t>
        </is>
      </c>
    </row>
    <row r="170">
      <c r="A170" t="inlineStr">
        <is>
          <t>IP-178</t>
        </is>
      </c>
      <c r="B170" t="inlineStr">
        <is>
          <t>45</t>
        </is>
      </c>
      <c r="C170" t="inlineStr">
        <is>
          <t>Gobierno Territorial</t>
        </is>
      </c>
      <c r="D170" t="inlineStr">
        <is>
          <t>4502</t>
        </is>
      </c>
      <c r="E170" t="inlineStr">
        <is>
          <t>Fortalecimiento del buen gobierno para el respeto y garantía de los derechos humanos.</t>
        </is>
      </c>
      <c r="F170" t="inlineStr">
        <is>
          <t>4502004</t>
        </is>
      </c>
      <c r="G170" t="inlineStr">
        <is>
          <t>Salón comunal ampliado</t>
        </is>
      </c>
      <c r="H170" t="inlineStr">
        <is>
          <t>Incrementar el área construida de la infraestructura ya existente.</t>
        </is>
      </c>
      <c r="I170" t="inlineStr">
        <is>
          <t>202400000005779</t>
        </is>
      </c>
      <c r="J170" s="99">
        <v>2014259008</v>
      </c>
      <c r="K170" s="99">
        <v>540000000</v>
      </c>
      <c r="L170" s="99">
        <v>1374259008</v>
      </c>
      <c r="M170" s="99">
        <v>50000000</v>
      </c>
      <c r="N170" s="99">
        <v>50000000</v>
      </c>
      <c r="O170" s="99" t="inlineStr">
        <is>
          <t xml:space="preserve"> </t>
        </is>
      </c>
      <c r="P170" s="99" t="inlineStr">
        <is>
          <t xml:space="preserve"> </t>
        </is>
      </c>
      <c r="Q170" s="99" t="inlineStr">
        <is>
          <t xml:space="preserve"> </t>
        </is>
      </c>
      <c r="R170" s="100" t="inlineStr">
        <is>
          <t xml:space="preserve"> </t>
        </is>
      </c>
      <c r="S170" t="inlineStr">
        <is>
          <t>No se encontró ejecución en CUIPO</t>
        </is>
      </c>
      <c r="T170" s="101" t="inlineStr">
        <is>
          <t xml:space="preserve"> </t>
        </is>
      </c>
      <c r="U170" s="101" t="inlineStr">
        <is>
          <t xml:space="preserve"> </t>
        </is>
      </c>
      <c r="V170" s="101" t="inlineStr">
        <is>
          <t xml:space="preserve"> </t>
        </is>
      </c>
      <c r="W170" s="102" t="inlineStr">
        <is>
          <t xml:space="preserve"> </t>
        </is>
      </c>
      <c r="X170" t="inlineStr">
        <is>
          <t>No se encontró ejecución en CUIPO</t>
        </is>
      </c>
    </row>
    <row r="171">
      <c r="A171" t="inlineStr">
        <is>
          <t>IP-179</t>
        </is>
      </c>
      <c r="B171" t="inlineStr">
        <is>
          <t>32</t>
        </is>
      </c>
      <c r="C171" t="inlineStr">
        <is>
          <t>Ambiente y desarrollo sostenible</t>
        </is>
      </c>
      <c r="D171" t="inlineStr">
        <is>
          <t>3208</t>
        </is>
      </c>
      <c r="E171" t="inlineStr">
        <is>
          <t xml:space="preserve">Educación Ambiental </t>
        </is>
      </c>
      <c r="F171" t="inlineStr">
        <is>
          <t>3208007</t>
        </is>
      </c>
      <c r="G171" t="inlineStr">
        <is>
          <t>Servicio de apoyo técnico a proyectos de educación ambiental y participación con enfoque diferencial</t>
        </is>
      </c>
      <c r="H171" t="inlineStr">
        <is>
          <t>Acciones orientadas a apoyar la implementación de los proyectos de educación ambiental y la participación con enfoque diferencial </t>
        </is>
      </c>
      <c r="I171" t="inlineStr">
        <is>
          <t>2024258170053</t>
        </is>
      </c>
      <c r="J171" s="99">
        <v>579604286</v>
      </c>
      <c r="K171" s="99">
        <v>139802143</v>
      </c>
      <c r="L171" s="99">
        <v>389802143</v>
      </c>
      <c r="M171" s="99">
        <v>30000000</v>
      </c>
      <c r="N171" s="99">
        <v>20000000</v>
      </c>
      <c r="O171" s="99" t="inlineStr">
        <is>
          <t xml:space="preserve"> </t>
        </is>
      </c>
      <c r="P171" s="99" t="inlineStr">
        <is>
          <t xml:space="preserve"> </t>
        </is>
      </c>
      <c r="Q171" s="99" t="inlineStr">
        <is>
          <t xml:space="preserve"> </t>
        </is>
      </c>
      <c r="R171" s="100" t="inlineStr">
        <is>
          <t xml:space="preserve"> </t>
        </is>
      </c>
      <c r="S171" t="inlineStr">
        <is>
          <t>No se encontró ejecución en CUIPO</t>
        </is>
      </c>
      <c r="T171" s="101">
        <v>20000000</v>
      </c>
      <c r="U171" s="101">
        <v>12500000</v>
      </c>
      <c r="V171" s="101">
        <v>10000000</v>
      </c>
      <c r="W171" s="102">
        <v>0.0320675507420184</v>
      </c>
      <c r="X171" t="inlineStr">
        <is>
          <t>Lo obligado está por debajo de lo programado en la vigencia</t>
        </is>
      </c>
    </row>
    <row r="172">
      <c r="A172" t="inlineStr">
        <is>
          <t>IP-181</t>
        </is>
      </c>
      <c r="B172" t="inlineStr">
        <is>
          <t>41</t>
        </is>
      </c>
      <c r="C172" t="inlineStr">
        <is>
          <t xml:space="preserve">Inclusión social y reconciliación </t>
        </is>
      </c>
      <c r="D172" t="inlineStr">
        <is>
          <t>4103</t>
        </is>
      </c>
      <c r="E172" t="inlineStr">
        <is>
          <t>Inclusión social y productiva para la población en situación de vulnerabilidad</t>
        </is>
      </c>
      <c r="F172" t="inlineStr">
        <is>
          <t>4103009</t>
        </is>
      </c>
      <c r="G172" t="inlineStr">
        <is>
          <t>Servicio de asistencia en temas de desarrollo de habilidades no cognitivas para la inclusión productiva</t>
        </is>
      </c>
      <c r="H172" t="inlineStr">
        <is>
          <t>Consiste en acompañamiento a las personas vulnerables para desarrollar habilidades que les permitan desempeñarse en su entorno social.</t>
        </is>
      </c>
      <c r="I172" t="inlineStr">
        <is>
          <t>202400000006709</t>
        </is>
      </c>
      <c r="J172" s="99">
        <v>293858321.6</v>
      </c>
      <c r="K172" s="99">
        <v>205000000</v>
      </c>
      <c r="L172" s="99">
        <v>65446800</v>
      </c>
      <c r="M172" s="99">
        <v>13800000</v>
      </c>
      <c r="N172" s="99">
        <v>9611521.6</v>
      </c>
      <c r="O172" s="99" t="inlineStr">
        <is>
          <t xml:space="preserve"> </t>
        </is>
      </c>
      <c r="P172" s="99" t="inlineStr">
        <is>
          <t xml:space="preserve"> </t>
        </is>
      </c>
      <c r="Q172" s="99" t="inlineStr">
        <is>
          <t xml:space="preserve"> </t>
        </is>
      </c>
      <c r="R172" s="100" t="inlineStr">
        <is>
          <t xml:space="preserve"> </t>
        </is>
      </c>
      <c r="S172" t="inlineStr">
        <is>
          <t>No se encontró ejecución en CUIPO</t>
        </is>
      </c>
      <c r="T172" s="101">
        <v>51770000</v>
      </c>
      <c r="U172" s="101">
        <v>26330000</v>
      </c>
      <c r="V172" s="101">
        <v>26330000</v>
      </c>
      <c r="W172" s="102">
        <v>0.402311495749219</v>
      </c>
      <c r="X172" t="inlineStr">
        <is>
          <t>Lo obligado está por debajo de lo programado en la vigencia</t>
        </is>
      </c>
    </row>
    <row r="173">
      <c r="A173" t="inlineStr">
        <is>
          <t>IP-182</t>
        </is>
      </c>
      <c r="B173" t="inlineStr">
        <is>
          <t>41</t>
        </is>
      </c>
      <c r="C173" t="inlineStr">
        <is>
          <t xml:space="preserve">Inclusión social y reconciliación </t>
        </is>
      </c>
      <c r="D173" t="inlineStr">
        <is>
          <t>4104</t>
        </is>
      </c>
      <c r="E173" t="inlineStr">
        <is>
          <t>Atención integral de población en situación permanente de desprotección social y/o familiar</t>
        </is>
      </c>
      <c r="F173" t="inlineStr">
        <is>
          <t>4104026</t>
        </is>
      </c>
      <c r="G173" t="inlineStr">
        <is>
          <t>Servicio de articulación de oferta social para la población habitante de calle</t>
        </is>
      </c>
      <c r="H173" t="inlineStr">
        <is>
          <t>Incluye el desarrollo de acciones encaminadas a generar dinámicas de atención conjunta, articulada y eficiente entre instituciones de carácter público y/o privado hacia la población habitante de la calle.</t>
        </is>
      </c>
      <c r="I173" t="inlineStr">
        <is>
          <t>202500000003385</t>
        </is>
      </c>
      <c r="J173" s="99">
        <v>0</v>
      </c>
      <c r="K173" s="99">
        <v>0</v>
      </c>
      <c r="L173" s="99">
        <v>0</v>
      </c>
      <c r="M173" s="99">
        <v>0</v>
      </c>
      <c r="N173" s="99">
        <v>0</v>
      </c>
      <c r="O173" s="99" t="inlineStr">
        <is>
          <t xml:space="preserve"> </t>
        </is>
      </c>
      <c r="P173" s="99" t="inlineStr">
        <is>
          <t xml:space="preserve"> </t>
        </is>
      </c>
      <c r="Q173" s="99" t="inlineStr">
        <is>
          <t xml:space="preserve"> </t>
        </is>
      </c>
      <c r="R173" s="100" t="inlineStr">
        <is>
          <t xml:space="preserve"> </t>
        </is>
      </c>
      <c r="S173" t="inlineStr">
        <is>
          <t>No se encontró ejecución en CUIPO</t>
        </is>
      </c>
      <c r="T173" s="101" t="inlineStr">
        <is>
          <t xml:space="preserve"> </t>
        </is>
      </c>
      <c r="U173" s="101" t="inlineStr">
        <is>
          <t xml:space="preserve"> </t>
        </is>
      </c>
      <c r="V173" s="101" t="inlineStr">
        <is>
          <t xml:space="preserve"> </t>
        </is>
      </c>
      <c r="W173" s="102" t="inlineStr">
        <is>
          <t xml:space="preserve"> </t>
        </is>
      </c>
      <c r="X173" t="inlineStr">
        <is>
          <t>No se encontró ejecución en CUIPO</t>
        </is>
      </c>
    </row>
    <row r="174">
      <c r="A174" t="inlineStr">
        <is>
          <t>IP-183</t>
        </is>
      </c>
      <c r="B174" t="inlineStr">
        <is>
          <t>45</t>
        </is>
      </c>
      <c r="C174" t="inlineStr">
        <is>
          <t>Gobierno Territorial</t>
        </is>
      </c>
      <c r="D174" t="inlineStr">
        <is>
          <t>4501</t>
        </is>
      </c>
      <c r="E174" t="inlineStr">
        <is>
          <t>Fortalecimiento de la convivencia y la seguridad ciudadana</t>
        </is>
      </c>
      <c r="F174" t="inlineStr">
        <is>
          <t>4501006</t>
        </is>
      </c>
      <c r="G174" t="inlineStr">
        <is>
          <t>Servicio de protección individual en riesgo extraordinario y extremo</t>
        </is>
      </c>
      <c r="H174" t="inlineStr">
        <is>
          <t>Se evalúa el riesgo en el que se encuentra la persona y dependiendo de la evaluación y resultado se conlleva a la protección de la misma.</t>
        </is>
      </c>
      <c r="I174" t="inlineStr">
        <is>
          <t>2024258170021</t>
        </is>
      </c>
      <c r="J174" s="99">
        <v>247000000</v>
      </c>
      <c r="K174" s="99">
        <v>70000000</v>
      </c>
      <c r="L174" s="99">
        <v>150000000</v>
      </c>
      <c r="M174" s="99">
        <v>2000000</v>
      </c>
      <c r="N174" s="99">
        <v>25000000</v>
      </c>
      <c r="O174" s="99" t="inlineStr">
        <is>
          <t xml:space="preserve"> </t>
        </is>
      </c>
      <c r="P174" s="99" t="inlineStr">
        <is>
          <t xml:space="preserve"> </t>
        </is>
      </c>
      <c r="Q174" s="99" t="inlineStr">
        <is>
          <t xml:space="preserve"> </t>
        </is>
      </c>
      <c r="R174" s="100" t="inlineStr">
        <is>
          <t xml:space="preserve"> </t>
        </is>
      </c>
      <c r="S174" t="inlineStr">
        <is>
          <t>No se encontró ejecución en CUIPO</t>
        </is>
      </c>
      <c r="T174" s="101">
        <v>112492000</v>
      </c>
      <c r="U174" s="101">
        <v>28259028</v>
      </c>
      <c r="V174" s="101">
        <v>28259028</v>
      </c>
      <c r="W174" s="102">
        <v>0.18839352</v>
      </c>
      <c r="X174" t="inlineStr">
        <is>
          <t>Lo obligado está por debajo de lo programado en la vigencia</t>
        </is>
      </c>
    </row>
    <row r="175">
      <c r="A175" t="inlineStr">
        <is>
          <t>IP-184</t>
        </is>
      </c>
      <c r="B175" t="inlineStr">
        <is>
          <t>24</t>
        </is>
      </c>
      <c r="C175" t="inlineStr">
        <is>
          <t>Transporte</t>
        </is>
      </c>
      <c r="D175" t="inlineStr">
        <is>
          <t>2409</t>
        </is>
      </c>
      <c r="E175" t="inlineStr">
        <is>
          <t>Seguridad de transporte</t>
        </is>
      </c>
      <c r="F175" t="inlineStr">
        <is>
          <t>2409008</t>
        </is>
      </c>
      <c r="G175" t="inlineStr">
        <is>
          <t>Documentos de lineamientos técnicos</t>
        </is>
      </c>
      <c r="H175" t="inlineStr">
        <is>
          <t>Documentos cuyo objetivo es describir y explicar instrumentos, estándares, requisitos y condiciones necesarias para llevar a cabo un proceso o actividad</t>
        </is>
      </c>
      <c r="I175" t="inlineStr">
        <is>
          <t>202500000004852</t>
        </is>
      </c>
      <c r="J175" s="99">
        <v>206000000</v>
      </c>
      <c r="K175" s="99">
        <v>58000000</v>
      </c>
      <c r="L175" s="99">
        <v>75000000</v>
      </c>
      <c r="M175" s="99">
        <v>48000000</v>
      </c>
      <c r="N175" s="99">
        <v>25000000</v>
      </c>
      <c r="O175" s="99" t="inlineStr">
        <is>
          <t xml:space="preserve"> </t>
        </is>
      </c>
      <c r="P175" s="99" t="inlineStr">
        <is>
          <t xml:space="preserve"> </t>
        </is>
      </c>
      <c r="Q175" s="99" t="inlineStr">
        <is>
          <t xml:space="preserve"> </t>
        </is>
      </c>
      <c r="R175" s="100" t="inlineStr">
        <is>
          <t xml:space="preserve"> </t>
        </is>
      </c>
      <c r="S175" t="inlineStr">
        <is>
          <t>No se encontró ejecución en CUIPO</t>
        </is>
      </c>
      <c r="T175" s="101">
        <v>52000000</v>
      </c>
      <c r="U175" s="101">
        <v>31200000</v>
      </c>
      <c r="V175" s="101">
        <v>31200000</v>
      </c>
      <c r="W175" s="102">
        <v>0.416</v>
      </c>
      <c r="X175" t="inlineStr">
        <is>
          <t>Lo obligado está por debajo de lo programado en la vigencia</t>
        </is>
      </c>
    </row>
    <row r="176">
      <c r="A176" t="inlineStr">
        <is>
          <t>IP-185</t>
        </is>
      </c>
      <c r="B176" t="inlineStr">
        <is>
          <t>21</t>
        </is>
      </c>
      <c r="C176" t="inlineStr">
        <is>
          <t>Minas y Energía</t>
        </is>
      </c>
      <c r="D176" t="inlineStr">
        <is>
          <t>2102</t>
        </is>
      </c>
      <c r="E176" t="inlineStr">
        <is>
          <t>Consolidación productiva del sector de energía eléctrica</t>
        </is>
      </c>
      <c r="F176" t="inlineStr">
        <is>
          <t>2102010</t>
        </is>
      </c>
      <c r="G176" t="inlineStr">
        <is>
          <t>Redes de alumbrado público ampliadas</t>
        </is>
      </c>
      <c r="H176" t="inlineStr">
        <is>
          <t>Ampliación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is>
      </c>
      <c r="I176" t="inlineStr">
        <is>
          <t>2024258170056</t>
        </is>
      </c>
      <c r="J176" s="99">
        <v>2000001</v>
      </c>
      <c r="K176" s="99">
        <v>1</v>
      </c>
      <c r="L176" s="99">
        <v>2000000</v>
      </c>
      <c r="M176" s="99">
        <v>0</v>
      </c>
      <c r="N176" s="99">
        <v>0</v>
      </c>
      <c r="O176" s="99" t="inlineStr">
        <is>
          <t xml:space="preserve"> </t>
        </is>
      </c>
      <c r="P176" s="99" t="inlineStr">
        <is>
          <t xml:space="preserve"> </t>
        </is>
      </c>
      <c r="Q176" s="99" t="inlineStr">
        <is>
          <t xml:space="preserve"> </t>
        </is>
      </c>
      <c r="R176" s="100" t="inlineStr">
        <is>
          <t xml:space="preserve"> </t>
        </is>
      </c>
      <c r="S176" t="inlineStr">
        <is>
          <t>No se encontró ejecución en CUIPO</t>
        </is>
      </c>
      <c r="T176" s="101" t="inlineStr">
        <is>
          <t xml:space="preserve"> </t>
        </is>
      </c>
      <c r="U176" s="101" t="inlineStr">
        <is>
          <t xml:space="preserve"> </t>
        </is>
      </c>
      <c r="V176" s="101" t="inlineStr">
        <is>
          <t xml:space="preserve"> </t>
        </is>
      </c>
      <c r="W176" s="102" t="inlineStr">
        <is>
          <t xml:space="preserve"> </t>
        </is>
      </c>
      <c r="X176" t="inlineStr">
        <is>
          <t>No se encontró ejecución en CUIPO</t>
        </is>
      </c>
    </row>
    <row r="177">
      <c r="A177" t="inlineStr">
        <is>
          <t>IP-186</t>
        </is>
      </c>
      <c r="B177" t="inlineStr">
        <is>
          <t>17</t>
        </is>
      </c>
      <c r="C177" t="inlineStr">
        <is>
          <t xml:space="preserve">Agricultura y desarrollo rural
</t>
        </is>
      </c>
      <c r="D177" t="inlineStr">
        <is>
          <t>1702</t>
        </is>
      </c>
      <c r="E177" t="inlineStr">
        <is>
          <t>Inclusión productiva de pequeños productores rurales</t>
        </is>
      </c>
      <c r="F177" t="inlineStr">
        <is>
          <t>1702021</t>
        </is>
      </c>
      <c r="G177" t="inlineStr">
        <is>
          <t>Servicio de acompañamiento productivo y empresarial</t>
        </is>
      </c>
      <c r="H177" t="inlineStr">
        <is>
          <t>Incluye la identificación del estado de los procesos productivos y definición de planes de mejoramiento.</t>
        </is>
      </c>
      <c r="I177" t="inlineStr">
        <is>
          <t>2024258170024</t>
        </is>
      </c>
      <c r="J177" s="99">
        <v>1505500000</v>
      </c>
      <c r="K177" s="99">
        <v>650100000</v>
      </c>
      <c r="L177" s="99">
        <v>757000000</v>
      </c>
      <c r="M177" s="99">
        <v>49200000</v>
      </c>
      <c r="N177" s="99">
        <v>49200000</v>
      </c>
      <c r="O177" s="99" t="inlineStr">
        <is>
          <t xml:space="preserve"> </t>
        </is>
      </c>
      <c r="P177" s="99" t="inlineStr">
        <is>
          <t xml:space="preserve"> </t>
        </is>
      </c>
      <c r="Q177" s="99" t="inlineStr">
        <is>
          <t xml:space="preserve"> </t>
        </is>
      </c>
      <c r="R177" s="100" t="inlineStr">
        <is>
          <t xml:space="preserve"> </t>
        </is>
      </c>
      <c r="S177" t="inlineStr">
        <is>
          <t>No se encontró ejecución en CUIPO</t>
        </is>
      </c>
      <c r="T177" s="101">
        <v>948531260</v>
      </c>
      <c r="U177" s="101">
        <v>752548677</v>
      </c>
      <c r="V177" s="101">
        <v>752548677</v>
      </c>
      <c r="W177" s="102">
        <v>0.994119784676354</v>
      </c>
      <c r="X177" t="inlineStr">
        <is>
          <t>Lo obligado está por debajo de lo programado en la vigencia</t>
        </is>
      </c>
    </row>
    <row r="178">
      <c r="A178" t="inlineStr">
        <is>
          <t>IP-187</t>
        </is>
      </c>
      <c r="B178" t="inlineStr">
        <is>
          <t>33</t>
        </is>
      </c>
      <c r="C178" t="inlineStr">
        <is>
          <t>Cultura</t>
        </is>
      </c>
      <c r="D178" t="inlineStr">
        <is>
          <t>3301</t>
        </is>
      </c>
      <c r="E178" t="inlineStr">
        <is>
          <t>Promoción y acceso efectivo a procesos culturales y artísticos</t>
        </is>
      </c>
      <c r="F178" t="inlineStr">
        <is>
          <t>3301095</t>
        </is>
      </c>
      <c r="G178" t="inlineStr">
        <is>
          <t>Servicio de asistencia técnica en gestión artística y cultural</t>
        </is>
      </c>
      <c r="H178" t="inlineStr">
        <is>
          <t>Hace referencia a las visitas de asistencia técnica a la institucionalidad cultural brindadas a los consejos y territoriales de cultura y a los gestores culturales, en temas relacionados con procesos de planeación, formulación de proyectos, fuentes de financiación, formación y participación ciudadana.</t>
        </is>
      </c>
      <c r="I178" t="inlineStr">
        <is>
          <t>2024258170016</t>
        </is>
      </c>
      <c r="J178" s="99">
        <v>1480064958</v>
      </c>
      <c r="K178" s="99">
        <v>920064958</v>
      </c>
      <c r="L178" s="99">
        <v>169000000</v>
      </c>
      <c r="M178" s="99">
        <v>186000000</v>
      </c>
      <c r="N178" s="99">
        <v>205000000</v>
      </c>
      <c r="O178" s="99" t="inlineStr">
        <is>
          <t xml:space="preserve"> </t>
        </is>
      </c>
      <c r="P178" s="99" t="inlineStr">
        <is>
          <t xml:space="preserve"> </t>
        </is>
      </c>
      <c r="Q178" s="99" t="inlineStr">
        <is>
          <t xml:space="preserve"> </t>
        </is>
      </c>
      <c r="R178" s="100" t="inlineStr">
        <is>
          <t xml:space="preserve"> </t>
        </is>
      </c>
      <c r="S178" t="inlineStr">
        <is>
          <t>No se encontró ejecución en CUIPO</t>
        </is>
      </c>
      <c r="T178" s="101">
        <v>814587412</v>
      </c>
      <c r="U178" s="101">
        <v>421362422</v>
      </c>
      <c r="V178" s="101">
        <v>421362422</v>
      </c>
      <c r="W178" s="102">
        <v>2.49326876923077</v>
      </c>
      <c r="X178" t="inlineStr">
        <is>
          <t>Hubo ejecución por encima de lo programado en SisPT</t>
        </is>
      </c>
    </row>
    <row r="179">
      <c r="A179" t="inlineStr">
        <is>
          <t>IP-189</t>
        </is>
      </c>
      <c r="B179" t="inlineStr">
        <is>
          <t>40</t>
        </is>
      </c>
      <c r="C179" t="inlineStr">
        <is>
          <t>Vivienda, ciudad y territorio</t>
        </is>
      </c>
      <c r="D179" t="inlineStr">
        <is>
          <t>4003</t>
        </is>
      </c>
      <c r="E179" t="inlineStr">
        <is>
          <t>Acceso de la población a los servicios de agua potable y saneamiento básico</t>
        </is>
      </c>
      <c r="F179" t="inlineStr">
        <is>
          <t>4003012</t>
        </is>
      </c>
      <c r="G179" t="inlineStr">
        <is>
          <t>Soluciones de disposición final de residuos solidos construidas</t>
        </is>
      </c>
      <c r="H179" t="inlineStr">
        <is>
          <t>Sitios dispuestos para disponer los residuos solidos recolectados en una zona</t>
        </is>
      </c>
      <c r="I179" t="inlineStr">
        <is>
          <t>2024258170057</t>
        </is>
      </c>
      <c r="J179" s="99">
        <v>1178165320</v>
      </c>
      <c r="K179" s="99">
        <v>1101584920</v>
      </c>
      <c r="L179" s="99">
        <v>0</v>
      </c>
      <c r="M179" s="99">
        <v>37724300</v>
      </c>
      <c r="N179" s="99">
        <v>38856100</v>
      </c>
      <c r="O179" s="99" t="inlineStr">
        <is>
          <t xml:space="preserve"> </t>
        </is>
      </c>
      <c r="P179" s="99" t="inlineStr">
        <is>
          <t xml:space="preserve"> </t>
        </is>
      </c>
      <c r="Q179" s="99" t="inlineStr">
        <is>
          <t xml:space="preserve"> </t>
        </is>
      </c>
      <c r="R179" s="100" t="inlineStr">
        <is>
          <t xml:space="preserve"> </t>
        </is>
      </c>
      <c r="S179" t="inlineStr">
        <is>
          <t>No se encontró ejecución en CUIPO</t>
        </is>
      </c>
      <c r="T179" s="101" t="inlineStr">
        <is>
          <t xml:space="preserve"> </t>
        </is>
      </c>
      <c r="U179" s="101" t="inlineStr">
        <is>
          <t xml:space="preserve"> </t>
        </is>
      </c>
      <c r="V179" s="101" t="inlineStr">
        <is>
          <t xml:space="preserve"> </t>
        </is>
      </c>
      <c r="W179" s="102" t="inlineStr">
        <is>
          <t xml:space="preserve"> </t>
        </is>
      </c>
      <c r="X179" t="inlineStr">
        <is>
          <t>No se encontró ejecución en CUIPO</t>
        </is>
      </c>
    </row>
    <row r="180">
      <c r="A180" t="inlineStr">
        <is>
          <t>IP-190</t>
        </is>
      </c>
      <c r="B180" t="inlineStr">
        <is>
          <t>40</t>
        </is>
      </c>
      <c r="C180" t="inlineStr">
        <is>
          <t>Vivienda, ciudad y territorio</t>
        </is>
      </c>
      <c r="D180" t="inlineStr">
        <is>
          <t>4003</t>
        </is>
      </c>
      <c r="E180" t="inlineStr">
        <is>
          <t>Acceso de la población a los servicios de agua potable y saneamiento básico</t>
        </is>
      </c>
      <c r="F180" t="inlineStr">
        <is>
          <t>4003009</t>
        </is>
      </c>
      <c r="G180" t="inlineStr">
        <is>
          <t>Servicio de Acueducto</t>
        </is>
      </c>
      <c r="H180" t="inlineStr">
        <is>
          <t>Es la distribución de agua apta para el consumo humano, incluida su conexión y medición. También forman parte de este servicio las actividades complementarias tales como captación de agua, procesamiento, tratamiento, almacenamiento, conducción, transporte y pago de servicio de energía en municipios prestadores directos conforme a la normatividad vigente.</t>
        </is>
      </c>
      <c r="I180" t="inlineStr">
        <is>
          <t>202400000007000</t>
        </is>
      </c>
      <c r="J180" s="99">
        <v>9564479960</v>
      </c>
      <c r="K180" s="99">
        <v>7299570960</v>
      </c>
      <c r="L180" s="99">
        <v>150000000</v>
      </c>
      <c r="M180" s="99">
        <v>1041827000</v>
      </c>
      <c r="N180" s="99">
        <v>1073082000</v>
      </c>
      <c r="O180" s="99" t="inlineStr">
        <is>
          <t xml:space="preserve"> </t>
        </is>
      </c>
      <c r="P180" s="99" t="inlineStr">
        <is>
          <t xml:space="preserve"> </t>
        </is>
      </c>
      <c r="Q180" s="99" t="inlineStr">
        <is>
          <t xml:space="preserve"> </t>
        </is>
      </c>
      <c r="R180" s="100" t="inlineStr">
        <is>
          <t xml:space="preserve"> </t>
        </is>
      </c>
      <c r="S180" t="inlineStr">
        <is>
          <t>No se encontró ejecución en CUIPO</t>
        </is>
      </c>
      <c r="T180" s="101" t="inlineStr">
        <is>
          <t xml:space="preserve"> </t>
        </is>
      </c>
      <c r="U180" s="101" t="inlineStr">
        <is>
          <t xml:space="preserve"> </t>
        </is>
      </c>
      <c r="V180" s="101" t="inlineStr">
        <is>
          <t xml:space="preserve"> </t>
        </is>
      </c>
      <c r="W180" s="102" t="inlineStr">
        <is>
          <t xml:space="preserve"> </t>
        </is>
      </c>
      <c r="X180" t="inlineStr">
        <is>
          <t>No se encontró ejecución en CUIPO</t>
        </is>
      </c>
    </row>
    <row r="181">
      <c r="A181" t="inlineStr">
        <is>
          <t>IP-191</t>
        </is>
      </c>
      <c r="B181" t="inlineStr">
        <is>
          <t>45</t>
        </is>
      </c>
      <c r="C181" t="inlineStr">
        <is>
          <t>Gobierno Territorial</t>
        </is>
      </c>
      <c r="D181" t="inlineStr">
        <is>
          <t>4599</t>
        </is>
      </c>
      <c r="E181" t="inlineStr">
        <is>
          <t>Fortalecimiento a la gestión y dirección de la administración pública territorial</t>
        </is>
      </c>
      <c r="F181" t="inlineStr">
        <is>
          <t>4599011</t>
        </is>
      </c>
      <c r="G181" t="inlineStr">
        <is>
          <t>Sedes adecuadas</t>
        </is>
      </c>
      <c r="H181" t="inlineStr">
        <is>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is>
      </c>
      <c r="I181" t="inlineStr">
        <is>
          <t>2024258170033</t>
        </is>
      </c>
      <c r="J181" s="99">
        <v>80000000</v>
      </c>
      <c r="K181" s="99">
        <v>40000000</v>
      </c>
      <c r="L181" s="99">
        <v>40000000</v>
      </c>
      <c r="M181" s="99">
        <v>0</v>
      </c>
      <c r="N181" s="99">
        <v>0</v>
      </c>
      <c r="O181" s="99" t="inlineStr">
        <is>
          <t xml:space="preserve"> </t>
        </is>
      </c>
      <c r="P181" s="99" t="inlineStr">
        <is>
          <t xml:space="preserve"> </t>
        </is>
      </c>
      <c r="Q181" s="99" t="inlineStr">
        <is>
          <t xml:space="preserve"> </t>
        </is>
      </c>
      <c r="R181" s="100" t="inlineStr">
        <is>
          <t xml:space="preserve"> </t>
        </is>
      </c>
      <c r="S181" t="inlineStr">
        <is>
          <t>No se encontró ejecución en CUIPO</t>
        </is>
      </c>
      <c r="T181" s="101">
        <v>40000000</v>
      </c>
      <c r="U181" s="101">
        <v>0</v>
      </c>
      <c r="V181" s="101">
        <v>0</v>
      </c>
      <c r="W181" s="102">
        <v>0</v>
      </c>
      <c r="X181" t="inlineStr">
        <is>
          <t>No se ejecutó en la vigencia</t>
        </is>
      </c>
    </row>
    <row r="182">
      <c r="A182" t="inlineStr">
        <is>
          <t>IP-192</t>
        </is>
      </c>
      <c r="B182" t="inlineStr">
        <is>
          <t>45</t>
        </is>
      </c>
      <c r="C182" t="inlineStr">
        <is>
          <t>Gobierno Territorial</t>
        </is>
      </c>
      <c r="D182" t="inlineStr">
        <is>
          <t>4502</t>
        </is>
      </c>
      <c r="E182" t="inlineStr">
        <is>
          <t>Fortalecimiento del buen gobierno para el respeto y garantía de los derechos humanos.</t>
        </is>
      </c>
      <c r="F182" t="inlineStr">
        <is>
          <t>4502022</t>
        </is>
      </c>
      <c r="G182" t="inlineStr">
        <is>
          <t>Servicio de asistencia técnica</t>
        </is>
      </c>
      <c r="H182"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182" t="inlineStr">
        <is>
          <t>2024258170036</t>
        </is>
      </c>
      <c r="J182" s="99">
        <v>35000000</v>
      </c>
      <c r="K182" s="99">
        <v>20000000</v>
      </c>
      <c r="L182" s="99">
        <v>15000000</v>
      </c>
      <c r="M182" s="99">
        <v>0</v>
      </c>
      <c r="N182" s="99">
        <v>0</v>
      </c>
      <c r="O182" s="99" t="inlineStr">
        <is>
          <t xml:space="preserve"> </t>
        </is>
      </c>
      <c r="P182" s="99" t="inlineStr">
        <is>
          <t xml:space="preserve"> </t>
        </is>
      </c>
      <c r="Q182" s="99" t="inlineStr">
        <is>
          <t xml:space="preserve"> </t>
        </is>
      </c>
      <c r="R182" s="100" t="inlineStr">
        <is>
          <t xml:space="preserve"> </t>
        </is>
      </c>
      <c r="S182" t="inlineStr">
        <is>
          <t>No se encontró ejecución en CUIPO</t>
        </is>
      </c>
      <c r="T182" s="101">
        <v>14983223</v>
      </c>
      <c r="U182" s="101">
        <v>0</v>
      </c>
      <c r="V182" s="101">
        <v>0</v>
      </c>
      <c r="W182" s="102">
        <v>0</v>
      </c>
      <c r="X182" t="inlineStr">
        <is>
          <t>No se ejecutó en la vigencia</t>
        </is>
      </c>
    </row>
    <row r="183">
      <c r="A183" t="inlineStr">
        <is>
          <t>IP-193</t>
        </is>
      </c>
      <c r="B183" t="inlineStr">
        <is>
          <t>45</t>
        </is>
      </c>
      <c r="C183" t="inlineStr">
        <is>
          <t>Gobierno Territorial</t>
        </is>
      </c>
      <c r="D183" t="inlineStr">
        <is>
          <t>4501</t>
        </is>
      </c>
      <c r="E183" t="inlineStr">
        <is>
          <t>Fortalecimiento de la convivencia y la seguridad ciudadana</t>
        </is>
      </c>
      <c r="F183" t="inlineStr">
        <is>
          <t>4501031</t>
        </is>
      </c>
      <c r="G183" t="inlineStr">
        <is>
          <t>Documentos normativos</t>
        </is>
      </c>
      <c r="H183" t="inlineStr">
        <is>
          <t>Incluye la realización de documentos de contenido normativo para la reglamentación de los proyectos de ley presentados y aprobados.</t>
        </is>
      </c>
      <c r="I183" t="inlineStr">
        <is>
          <t>2024258170023</t>
        </is>
      </c>
      <c r="J183" s="99">
        <v>95153200.8</v>
      </c>
      <c r="K183" s="99">
        <v>7075000</v>
      </c>
      <c r="L183" s="99">
        <v>7075000</v>
      </c>
      <c r="M183" s="99">
        <v>44713606.3</v>
      </c>
      <c r="N183" s="99">
        <v>36289594.5</v>
      </c>
      <c r="O183" s="99" t="inlineStr">
        <is>
          <t xml:space="preserve"> </t>
        </is>
      </c>
      <c r="P183" s="99" t="inlineStr">
        <is>
          <t xml:space="preserve"> </t>
        </is>
      </c>
      <c r="Q183" s="99" t="inlineStr">
        <is>
          <t xml:space="preserve"> </t>
        </is>
      </c>
      <c r="R183" s="100" t="inlineStr">
        <is>
          <t xml:space="preserve"> </t>
        </is>
      </c>
      <c r="S183" t="inlineStr">
        <is>
          <t>No se encontró ejecución en CUIPO</t>
        </is>
      </c>
      <c r="T183" s="101" t="inlineStr">
        <is>
          <t xml:space="preserve"> </t>
        </is>
      </c>
      <c r="U183" s="101" t="inlineStr">
        <is>
          <t xml:space="preserve"> </t>
        </is>
      </c>
      <c r="V183" s="101" t="inlineStr">
        <is>
          <t xml:space="preserve"> </t>
        </is>
      </c>
      <c r="W183" s="102" t="inlineStr">
        <is>
          <t xml:space="preserve"> </t>
        </is>
      </c>
      <c r="X183" t="inlineStr">
        <is>
          <t>No se encontró ejecución en CUIPO</t>
        </is>
      </c>
    </row>
    <row r="184">
      <c r="A184" t="inlineStr">
        <is>
          <t>IP-194</t>
        </is>
      </c>
      <c r="B184" t="inlineStr">
        <is>
          <t>41</t>
        </is>
      </c>
      <c r="C184" t="inlineStr">
        <is>
          <t xml:space="preserve">Inclusión social y reconciliación </t>
        </is>
      </c>
      <c r="D184" t="inlineStr">
        <is>
          <t>4101</t>
        </is>
      </c>
      <c r="E184" t="inlineStr">
        <is>
          <t>Atención, asistencia y reparación integral a las víctimas</t>
        </is>
      </c>
      <c r="F184" t="inlineStr">
        <is>
          <t>4101073</t>
        </is>
      </c>
      <c r="G184" t="inlineStr">
        <is>
          <t>Servicio de apoyo para la generación de ingresos</t>
        </is>
      </c>
      <c r="H184" t="inlineStr">
        <is>
          <t>Corresponde a la entrega de recursos en especie o monetarios mediante incentivos dirigidos a generar las condiciones de auto sostenimiento de los hogares desplazados o en riesgo de desplazamiento, bien sea en el marco de los procesos de retorno o de reubicación, con el fin de que logren la generación de un ingreso propio.</t>
        </is>
      </c>
      <c r="I184" t="inlineStr">
        <is>
          <t>202400000006511</t>
        </is>
      </c>
      <c r="J184" s="99">
        <v>120000000</v>
      </c>
      <c r="K184" s="99">
        <v>50000000</v>
      </c>
      <c r="L184" s="99">
        <v>50000000</v>
      </c>
      <c r="M184" s="99">
        <v>10000000</v>
      </c>
      <c r="N184" s="99">
        <v>10000000</v>
      </c>
      <c r="O184" s="99" t="inlineStr">
        <is>
          <t xml:space="preserve"> </t>
        </is>
      </c>
      <c r="P184" s="99" t="inlineStr">
        <is>
          <t xml:space="preserve"> </t>
        </is>
      </c>
      <c r="Q184" s="99" t="inlineStr">
        <is>
          <t xml:space="preserve"> </t>
        </is>
      </c>
      <c r="R184" s="100" t="inlineStr">
        <is>
          <t xml:space="preserve"> </t>
        </is>
      </c>
      <c r="S184" t="inlineStr">
        <is>
          <t>No se encontró ejecución en CUIPO</t>
        </is>
      </c>
      <c r="T184" s="101">
        <v>50000000</v>
      </c>
      <c r="U184" s="101">
        <v>50000000</v>
      </c>
      <c r="V184" s="101">
        <v>50000000</v>
      </c>
      <c r="W184" s="102">
        <v>1</v>
      </c>
      <c r="X184" t="inlineStr">
        <is>
          <t>Se ejecutó el 100% de lo programado en la vigencia</t>
        </is>
      </c>
    </row>
    <row r="185">
      <c r="A185" t="inlineStr">
        <is>
          <t>IP-195</t>
        </is>
      </c>
      <c r="B185" t="inlineStr">
        <is>
          <t>23</t>
        </is>
      </c>
      <c r="C185" t="inlineStr">
        <is>
          <t>Tecnologías de la información y las comunicaciones</t>
        </is>
      </c>
      <c r="D185" t="inlineStr">
        <is>
          <t>2301</t>
        </is>
      </c>
      <c r="E185" t="inlineStr">
        <is>
          <t>Facilitar el acceso y uso de las Tecnologías de la Información y las Comunicaciones (TIC) en todo el territorio nacional</t>
        </is>
      </c>
      <c r="F185" t="inlineStr">
        <is>
          <t>2301030</t>
        </is>
      </c>
      <c r="G185" t="inlineStr">
        <is>
          <t>Servicio de educación informal en tecnologías de la información y las comunicaciones.</t>
        </is>
      </c>
      <c r="H185" t="inlineStr">
        <is>
          <t>Capacitaciones en temas relacionados con las Tecnologías de la Información y las Comunicaciones, tales como uso de aplicaciones y herramientas web específicas, con el fin de profundizar conocimientos y finalmente potenciar su aprovechamiento.</t>
        </is>
      </c>
      <c r="I185" t="inlineStr">
        <is>
          <t>202400000007305</t>
        </is>
      </c>
      <c r="J185" s="99">
        <v>55000000</v>
      </c>
      <c r="K185" s="99">
        <v>10000000</v>
      </c>
      <c r="L185" s="99">
        <v>15000000</v>
      </c>
      <c r="M185" s="99">
        <v>15000000</v>
      </c>
      <c r="N185" s="99">
        <v>15000000</v>
      </c>
      <c r="O185" s="99" t="inlineStr">
        <is>
          <t xml:space="preserve"> </t>
        </is>
      </c>
      <c r="P185" s="99" t="inlineStr">
        <is>
          <t xml:space="preserve"> </t>
        </is>
      </c>
      <c r="Q185" s="99" t="inlineStr">
        <is>
          <t xml:space="preserve"> </t>
        </is>
      </c>
      <c r="R185" s="100" t="inlineStr">
        <is>
          <t xml:space="preserve"> </t>
        </is>
      </c>
      <c r="S185" t="inlineStr">
        <is>
          <t>No se encontró ejecución en CUIPO</t>
        </is>
      </c>
      <c r="T185" s="101" t="inlineStr">
        <is>
          <t xml:space="preserve"> </t>
        </is>
      </c>
      <c r="U185" s="101" t="inlineStr">
        <is>
          <t xml:space="preserve"> </t>
        </is>
      </c>
      <c r="V185" s="101" t="inlineStr">
        <is>
          <t xml:space="preserve"> </t>
        </is>
      </c>
      <c r="W185" s="102" t="inlineStr">
        <is>
          <t xml:space="preserve"> </t>
        </is>
      </c>
      <c r="X185" t="inlineStr">
        <is>
          <t>No se encontró ejecución en CUIPO</t>
        </is>
      </c>
    </row>
    <row r="186">
      <c r="A186" t="inlineStr">
        <is>
          <t>IP-196</t>
        </is>
      </c>
      <c r="B186" t="inlineStr">
        <is>
          <t>17</t>
        </is>
      </c>
      <c r="C186" t="inlineStr">
        <is>
          <t xml:space="preserve">Agricultura y desarrollo rural
</t>
        </is>
      </c>
      <c r="D186" t="inlineStr">
        <is>
          <t>1702</t>
        </is>
      </c>
      <c r="E186" t="inlineStr">
        <is>
          <t>Inclusión productiva de pequeños productores rurales</t>
        </is>
      </c>
      <c r="F186" t="inlineStr">
        <is>
          <t>1702016</t>
        </is>
      </c>
      <c r="G186" t="inlineStr">
        <is>
          <t>Servicio de apoyo para el fomento de la asociatividad</t>
        </is>
      </c>
      <c r="H186" t="inlineStr">
        <is>
          <t>Sensibilización y acompañamiento a asociaciones de productores ya conformadas o en proceso de conformación en temas administrativos y de organización, referentes a liderazgo, participación y desarrollo de capacidades.</t>
        </is>
      </c>
      <c r="I186" t="inlineStr">
        <is>
          <t>2024258170024</t>
        </is>
      </c>
      <c r="J186" s="99">
        <v>40000000</v>
      </c>
      <c r="K186" s="99">
        <v>0</v>
      </c>
      <c r="L186" s="99">
        <v>0</v>
      </c>
      <c r="M186" s="99">
        <v>20000000</v>
      </c>
      <c r="N186" s="99">
        <v>20000000</v>
      </c>
      <c r="O186" s="99" t="inlineStr">
        <is>
          <t xml:space="preserve"> </t>
        </is>
      </c>
      <c r="P186" s="99" t="inlineStr">
        <is>
          <t xml:space="preserve"> </t>
        </is>
      </c>
      <c r="Q186" s="99" t="inlineStr">
        <is>
          <t xml:space="preserve"> </t>
        </is>
      </c>
      <c r="R186" s="100" t="inlineStr">
        <is>
          <t xml:space="preserve"> </t>
        </is>
      </c>
      <c r="S186" t="inlineStr">
        <is>
          <t>No se encontró ejecución en CUIPO</t>
        </is>
      </c>
      <c r="T186" s="101" t="inlineStr">
        <is>
          <t xml:space="preserve"> </t>
        </is>
      </c>
      <c r="U186" s="101" t="inlineStr">
        <is>
          <t xml:space="preserve"> </t>
        </is>
      </c>
      <c r="V186" s="101" t="inlineStr">
        <is>
          <t xml:space="preserve"> </t>
        </is>
      </c>
      <c r="W186" s="102" t="inlineStr">
        <is>
          <t xml:space="preserve"> </t>
        </is>
      </c>
      <c r="X186" t="inlineStr">
        <is>
          <t>No se encontró ejecución en CUIPO</t>
        </is>
      </c>
    </row>
    <row r="187">
      <c r="A187" t="inlineStr">
        <is>
          <t>IP-197</t>
        </is>
      </c>
      <c r="B187" t="inlineStr">
        <is>
          <t>41</t>
        </is>
      </c>
      <c r="C187" t="inlineStr">
        <is>
          <t xml:space="preserve">Inclusión social y reconciliación </t>
        </is>
      </c>
      <c r="D187" t="inlineStr">
        <is>
          <t>4101</t>
        </is>
      </c>
      <c r="E187" t="inlineStr">
        <is>
          <t>Atención, asistencia y reparación integral a las víctimas</t>
        </is>
      </c>
      <c r="F187" t="inlineStr">
        <is>
          <t>4101014</t>
        </is>
      </c>
      <c r="G187" t="inlineStr">
        <is>
          <t>Servicio de caracterización de la población víctima para su posterior atención, asistencia y reparación integral</t>
        </is>
      </c>
      <c r="H187" t="inlineStr">
        <is>
          <t xml:space="preserve">Mediante los cuales se caracteriza y se hace levantamiento de información individual de cada víctima y su hogar para la Asistencia Atención y Reparación Integral  </t>
        </is>
      </c>
      <c r="I187" t="inlineStr">
        <is>
          <t>202400000006511</t>
        </is>
      </c>
      <c r="J187" s="99">
        <v>52000000</v>
      </c>
      <c r="K187" s="99">
        <v>10000000</v>
      </c>
      <c r="L187" s="99">
        <v>12000000</v>
      </c>
      <c r="M187" s="99">
        <v>14000000</v>
      </c>
      <c r="N187" s="99">
        <v>16000000</v>
      </c>
      <c r="O187" s="99" t="inlineStr">
        <is>
          <t xml:space="preserve"> </t>
        </is>
      </c>
      <c r="P187" s="99" t="inlineStr">
        <is>
          <t xml:space="preserve"> </t>
        </is>
      </c>
      <c r="Q187" s="99" t="inlineStr">
        <is>
          <t xml:space="preserve"> </t>
        </is>
      </c>
      <c r="R187" s="100" t="inlineStr">
        <is>
          <t xml:space="preserve"> </t>
        </is>
      </c>
      <c r="S187" t="inlineStr">
        <is>
          <t>No se encontró ejecución en CUIPO</t>
        </is>
      </c>
      <c r="T187" s="101" t="inlineStr">
        <is>
          <t xml:space="preserve"> </t>
        </is>
      </c>
      <c r="U187" s="101" t="inlineStr">
        <is>
          <t xml:space="preserve"> </t>
        </is>
      </c>
      <c r="V187" s="101" t="inlineStr">
        <is>
          <t xml:space="preserve"> </t>
        </is>
      </c>
      <c r="W187" s="102" t="inlineStr">
        <is>
          <t xml:space="preserve"> </t>
        </is>
      </c>
      <c r="X187" t="inlineStr">
        <is>
          <t>No se encontró ejecución en CUIPO</t>
        </is>
      </c>
    </row>
    <row r="188">
      <c r="A188" t="inlineStr">
        <is>
          <t>IP-198</t>
        </is>
      </c>
      <c r="B188" t="inlineStr">
        <is>
          <t>45</t>
        </is>
      </c>
      <c r="C188" t="inlineStr">
        <is>
          <t>Gobierno Territorial</t>
        </is>
      </c>
      <c r="D188" t="inlineStr">
        <is>
          <t>4502</t>
        </is>
      </c>
      <c r="E188" t="inlineStr">
        <is>
          <t>Fortalecimiento del buen gobierno para el respeto y garantía de los derechos humanos.</t>
        </is>
      </c>
      <c r="F188" t="inlineStr">
        <is>
          <t>4502001</t>
        </is>
      </c>
      <c r="G188" t="inlineStr">
        <is>
          <t>Servicio de promoción a la participación ciudadana</t>
        </is>
      </c>
      <c r="H188" t="inlineStr">
        <is>
          <t>Corresponde al diseño e implementación de acciones y estrategias que promuevan el ejercicio de la participación ciudadana para el respeto y garantía de los derechos humanos</t>
        </is>
      </c>
      <c r="I188" t="inlineStr">
        <is>
          <t>202400000006494</t>
        </is>
      </c>
      <c r="J188" s="99">
        <v>185047205</v>
      </c>
      <c r="K188" s="99">
        <v>107818210</v>
      </c>
      <c r="L188" s="99">
        <v>77228995</v>
      </c>
      <c r="M188" s="99">
        <v>0</v>
      </c>
      <c r="N188" s="99">
        <v>0</v>
      </c>
      <c r="O188" s="99" t="inlineStr">
        <is>
          <t xml:space="preserve"> </t>
        </is>
      </c>
      <c r="P188" s="99" t="inlineStr">
        <is>
          <t xml:space="preserve"> </t>
        </is>
      </c>
      <c r="Q188" s="99" t="inlineStr">
        <is>
          <t xml:space="preserve"> </t>
        </is>
      </c>
      <c r="R188" s="100" t="inlineStr">
        <is>
          <t xml:space="preserve"> </t>
        </is>
      </c>
      <c r="S188" t="inlineStr">
        <is>
          <t>No se encontró ejecución en CUIPO</t>
        </is>
      </c>
      <c r="T188" s="101" t="inlineStr">
        <is>
          <t xml:space="preserve"> </t>
        </is>
      </c>
      <c r="U188" s="101" t="inlineStr">
        <is>
          <t xml:space="preserve"> </t>
        </is>
      </c>
      <c r="V188" s="101" t="inlineStr">
        <is>
          <t xml:space="preserve"> </t>
        </is>
      </c>
      <c r="W188" s="102" t="inlineStr">
        <is>
          <t xml:space="preserve"> </t>
        </is>
      </c>
      <c r="X188" t="inlineStr">
        <is>
          <t>No se encontró ejecución en CUIPO</t>
        </is>
      </c>
    </row>
    <row r="189">
      <c r="A189" t="inlineStr">
        <is>
          <t>IP-199</t>
        </is>
      </c>
      <c r="B189" t="inlineStr">
        <is>
          <t>40</t>
        </is>
      </c>
      <c r="C189" t="inlineStr">
        <is>
          <t>Vivienda, ciudad y territorio</t>
        </is>
      </c>
      <c r="D189" t="inlineStr">
        <is>
          <t>4003</t>
        </is>
      </c>
      <c r="E189" t="inlineStr">
        <is>
          <t>Acceso de la población a los servicios de agua potable y saneamiento básico</t>
        </is>
      </c>
      <c r="F189" t="inlineStr">
        <is>
          <t>4003018</t>
        </is>
      </c>
      <c r="G189" t="inlineStr">
        <is>
          <t>Alcantarillados construidos</t>
        </is>
      </c>
      <c r="H189" t="inlineStr">
        <is>
          <t>Conjunto de acciones y obras para la implementación de sistemas de alcantarillado nuevos.</t>
        </is>
      </c>
      <c r="I189" t="inlineStr">
        <is>
          <t>202400000006996</t>
        </is>
      </c>
      <c r="J189" s="99">
        <v>450000000</v>
      </c>
      <c r="K189" s="99">
        <v>0</v>
      </c>
      <c r="L189" s="99">
        <v>200000000</v>
      </c>
      <c r="M189" s="99">
        <v>125000000</v>
      </c>
      <c r="N189" s="99">
        <v>125000000</v>
      </c>
      <c r="O189" s="99" t="inlineStr">
        <is>
          <t xml:space="preserve"> </t>
        </is>
      </c>
      <c r="P189" s="99" t="inlineStr">
        <is>
          <t xml:space="preserve"> </t>
        </is>
      </c>
      <c r="Q189" s="99" t="inlineStr">
        <is>
          <t xml:space="preserve"> </t>
        </is>
      </c>
      <c r="R189" s="100" t="inlineStr">
        <is>
          <t xml:space="preserve"> </t>
        </is>
      </c>
      <c r="S189" t="inlineStr">
        <is>
          <t>No se encontró ejecución en CUIPO</t>
        </is>
      </c>
      <c r="T189" s="101" t="inlineStr">
        <is>
          <t xml:space="preserve"> </t>
        </is>
      </c>
      <c r="U189" s="101" t="inlineStr">
        <is>
          <t xml:space="preserve"> </t>
        </is>
      </c>
      <c r="V189" s="101" t="inlineStr">
        <is>
          <t xml:space="preserve"> </t>
        </is>
      </c>
      <c r="W189" s="102" t="inlineStr">
        <is>
          <t xml:space="preserve"> </t>
        </is>
      </c>
      <c r="X189" t="inlineStr">
        <is>
          <t>No se encontró ejecución en CUIPO</t>
        </is>
      </c>
    </row>
    <row r="190">
      <c r="A190" t="inlineStr">
        <is>
          <t>IP-200</t>
        </is>
      </c>
      <c r="B190" t="inlineStr">
        <is>
          <t>17</t>
        </is>
      </c>
      <c r="C190" t="inlineStr">
        <is>
          <t xml:space="preserve">Agricultura y desarrollo rural
</t>
        </is>
      </c>
      <c r="D190" t="inlineStr">
        <is>
          <t>1702</t>
        </is>
      </c>
      <c r="E190" t="inlineStr">
        <is>
          <t>Inclusión productiva de pequeños productores rurales</t>
        </is>
      </c>
      <c r="F190" t="inlineStr">
        <is>
          <t>1702014</t>
        </is>
      </c>
      <c r="G190" t="inlineStr">
        <is>
          <t>Servicio de apoyo para el acceso a maquinaria y equipos</t>
        </is>
      </c>
      <c r="H190" t="inlineStr">
        <is>
          <t>Contempla el acceso de los pequeños productores a los bancos de maquinaria a partir de figuras como el arriendo, la adquisición, entre otros, entre otros</t>
        </is>
      </c>
      <c r="I190" t="inlineStr">
        <is>
          <t>2024258170024</t>
        </is>
      </c>
      <c r="J190" s="99">
        <v>675930954.63</v>
      </c>
      <c r="K190" s="99">
        <v>108113999.63</v>
      </c>
      <c r="L190" s="99">
        <v>239358955</v>
      </c>
      <c r="M190" s="99">
        <v>164019000</v>
      </c>
      <c r="N190" s="99">
        <v>164439000</v>
      </c>
      <c r="O190" s="99" t="inlineStr">
        <is>
          <t xml:space="preserve"> </t>
        </is>
      </c>
      <c r="P190" s="99" t="inlineStr">
        <is>
          <t xml:space="preserve"> </t>
        </is>
      </c>
      <c r="Q190" s="99" t="inlineStr">
        <is>
          <t xml:space="preserve"> </t>
        </is>
      </c>
      <c r="R190" s="100" t="inlineStr">
        <is>
          <t xml:space="preserve"> </t>
        </is>
      </c>
      <c r="S190" t="inlineStr">
        <is>
          <t>No se encontró ejecución en CUIPO</t>
        </is>
      </c>
      <c r="T190" s="101">
        <v>236390743</v>
      </c>
      <c r="U190" s="101">
        <v>16072087</v>
      </c>
      <c r="V190" s="101">
        <v>16072087</v>
      </c>
      <c r="W190" s="102">
        <v>0.0671463785426369</v>
      </c>
      <c r="X190" t="inlineStr">
        <is>
          <t>Lo obligado está por debajo de lo programado en la vigencia</t>
        </is>
      </c>
    </row>
    <row r="191">
      <c r="A191" t="inlineStr">
        <is>
          <t>IP-201</t>
        </is>
      </c>
      <c r="B191" t="inlineStr">
        <is>
          <t>23</t>
        </is>
      </c>
      <c r="C191" t="inlineStr">
        <is>
          <t>Tecnologías de la información y las comunicaciones</t>
        </is>
      </c>
      <c r="D191" t="inlineStr">
        <is>
          <t>2302</t>
        </is>
      </c>
      <c r="E191" t="inlineStr">
        <is>
          <t>Fomento del desarrollo de aplicaciones, software y contenidos para impulsar la apropiación de las Tecnologías de la Información y las Comunicaciones (TIC)</t>
        </is>
      </c>
      <c r="F191" t="inlineStr">
        <is>
          <t>2302057</t>
        </is>
      </c>
      <c r="G191" t="inlineStr">
        <is>
          <t>Servicio de difusión para el uso responsable de las Tecnologías de la Información y las Comunicaciones</t>
        </is>
      </c>
      <c r="H191" t="inlineStr">
        <is>
          <t>Incluye los eventos de difusión, promoción y divulgación para el uso responsable de las TIC (feria , talleres, foros, etc.)</t>
        </is>
      </c>
      <c r="I191" t="inlineStr">
        <is>
          <t>202400000007305</t>
        </is>
      </c>
      <c r="J191" s="99">
        <v>155000000</v>
      </c>
      <c r="K191" s="99">
        <v>30000000</v>
      </c>
      <c r="L191" s="99">
        <v>45000000</v>
      </c>
      <c r="M191" s="99">
        <v>40000000</v>
      </c>
      <c r="N191" s="99">
        <v>40000000</v>
      </c>
      <c r="O191" s="99" t="inlineStr">
        <is>
          <t xml:space="preserve"> </t>
        </is>
      </c>
      <c r="P191" s="99" t="inlineStr">
        <is>
          <t xml:space="preserve"> </t>
        </is>
      </c>
      <c r="Q191" s="99" t="inlineStr">
        <is>
          <t xml:space="preserve"> </t>
        </is>
      </c>
      <c r="R191" s="100" t="inlineStr">
        <is>
          <t xml:space="preserve"> </t>
        </is>
      </c>
      <c r="S191" t="inlineStr">
        <is>
          <t>No se encontró ejecución en CUIPO</t>
        </is>
      </c>
      <c r="T191" s="101" t="inlineStr">
        <is>
          <t xml:space="preserve"> </t>
        </is>
      </c>
      <c r="U191" s="101" t="inlineStr">
        <is>
          <t xml:space="preserve"> </t>
        </is>
      </c>
      <c r="V191" s="101" t="inlineStr">
        <is>
          <t xml:space="preserve"> </t>
        </is>
      </c>
      <c r="W191" s="102" t="inlineStr">
        <is>
          <t xml:space="preserve"> </t>
        </is>
      </c>
      <c r="X191" t="inlineStr">
        <is>
          <t>No se encontró ejecución en CUIPO</t>
        </is>
      </c>
    </row>
    <row r="192">
      <c r="A192" t="inlineStr">
        <is>
          <t>IP-202</t>
        </is>
      </c>
      <c r="B192" t="inlineStr">
        <is>
          <t>33</t>
        </is>
      </c>
      <c r="C192" t="inlineStr">
        <is>
          <t>Cultura</t>
        </is>
      </c>
      <c r="D192" t="inlineStr">
        <is>
          <t>3301</t>
        </is>
      </c>
      <c r="E192" t="inlineStr">
        <is>
          <t>Promoción y acceso efectivo a procesos culturales y artísticos</t>
        </is>
      </c>
      <c r="F192" t="inlineStr">
        <is>
          <t>3301073</t>
        </is>
      </c>
      <c r="G192" t="inlineStr">
        <is>
          <t>Servicio de circulación artística y cultural</t>
        </is>
      </c>
      <c r="H192" t="inlineStr">
        <is>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is>
      </c>
      <c r="I192" t="inlineStr">
        <is>
          <t>2024258170016</t>
        </is>
      </c>
      <c r="J192" s="99">
        <v>3767930920</v>
      </c>
      <c r="K192" s="99">
        <v>1167930920</v>
      </c>
      <c r="L192" s="99">
        <v>1000000000</v>
      </c>
      <c r="M192" s="99">
        <v>600000000</v>
      </c>
      <c r="N192" s="99">
        <v>1000000000</v>
      </c>
      <c r="O192" s="99" t="inlineStr">
        <is>
          <t xml:space="preserve"> </t>
        </is>
      </c>
      <c r="P192" s="99" t="inlineStr">
        <is>
          <t xml:space="preserve"> </t>
        </is>
      </c>
      <c r="Q192" s="99" t="inlineStr">
        <is>
          <t xml:space="preserve"> </t>
        </is>
      </c>
      <c r="R192" s="100" t="inlineStr">
        <is>
          <t xml:space="preserve"> </t>
        </is>
      </c>
      <c r="S192" t="inlineStr">
        <is>
          <t>No se encontró ejecución en CUIPO</t>
        </is>
      </c>
      <c r="T192" s="101">
        <v>800000000</v>
      </c>
      <c r="U192" s="101">
        <v>0</v>
      </c>
      <c r="V192" s="101">
        <v>0</v>
      </c>
      <c r="W192" s="102">
        <v>0</v>
      </c>
      <c r="X192" t="inlineStr">
        <is>
          <t>No se ejecutó en la vigencia</t>
        </is>
      </c>
    </row>
    <row r="193">
      <c r="A193" t="inlineStr">
        <is>
          <t>IP-203</t>
        </is>
      </c>
      <c r="B193" t="inlineStr">
        <is>
          <t>04</t>
        </is>
      </c>
      <c r="C193" t="inlineStr">
        <is>
          <t>Información Estadística</t>
        </is>
      </c>
      <c r="D193" t="inlineStr">
        <is>
          <t>0406</t>
        </is>
      </c>
      <c r="E193" t="inlineStr">
        <is>
          <t>Generación de la información geográfica del territorio nacional</t>
        </is>
      </c>
      <c r="F193" t="inlineStr">
        <is>
          <t>0406009</t>
        </is>
      </c>
      <c r="G193" t="inlineStr">
        <is>
          <t xml:space="preserve">Documentos de estudios técnicos </t>
        </is>
      </c>
      <c r="H193" t="inlineStr">
        <is>
          <t>Documentos cuyo objetivo es la elaboración de informes de base que analizan situaciones, estudios de caso y de una temática específica.</t>
        </is>
      </c>
      <c r="I193" t="inlineStr">
        <is>
          <t>202500000034910</t>
        </is>
      </c>
      <c r="J193" s="99">
        <v>31185000</v>
      </c>
      <c r="K193" s="99">
        <v>0</v>
      </c>
      <c r="L193" s="99">
        <v>0</v>
      </c>
      <c r="M193" s="99">
        <v>31185000</v>
      </c>
      <c r="N193" s="99">
        <v>0</v>
      </c>
      <c r="O193" s="99" t="inlineStr">
        <is>
          <t xml:space="preserve"> </t>
        </is>
      </c>
      <c r="P193" s="99" t="inlineStr">
        <is>
          <t xml:space="preserve"> </t>
        </is>
      </c>
      <c r="Q193" s="99" t="inlineStr">
        <is>
          <t xml:space="preserve"> </t>
        </is>
      </c>
      <c r="R193" s="100" t="inlineStr">
        <is>
          <t xml:space="preserve"> </t>
        </is>
      </c>
      <c r="S193" t="inlineStr">
        <is>
          <t>No se encontró ejecución en CUIPO</t>
        </is>
      </c>
      <c r="T193" s="101" t="inlineStr">
        <is>
          <t xml:space="preserve"> </t>
        </is>
      </c>
      <c r="U193" s="101" t="inlineStr">
        <is>
          <t xml:space="preserve"> </t>
        </is>
      </c>
      <c r="V193" s="101" t="inlineStr">
        <is>
          <t xml:space="preserve"> </t>
        </is>
      </c>
      <c r="W193" s="102" t="inlineStr">
        <is>
          <t xml:space="preserve"> </t>
        </is>
      </c>
      <c r="X193" t="inlineStr">
        <is>
          <t>No se encontró ejecución en CUIPO</t>
        </is>
      </c>
    </row>
    <row r="194">
      <c r="A194" t="inlineStr">
        <is>
          <t>IP-204</t>
        </is>
      </c>
      <c r="B194" t="inlineStr">
        <is>
          <t>22</t>
        </is>
      </c>
      <c r="C194" t="inlineStr">
        <is>
          <t>Educación</t>
        </is>
      </c>
      <c r="D194" t="inlineStr">
        <is>
          <t>2201</t>
        </is>
      </c>
      <c r="E194" t="inlineStr">
        <is>
          <t>Calidad, cobertura y fortalecimiento de la educación inicial, prescolar, básica y media</t>
        </is>
      </c>
      <c r="F194" t="inlineStr">
        <is>
          <t>2201069</t>
        </is>
      </c>
      <c r="G194" t="inlineStr">
        <is>
          <t>Infraestructura educativa dotada</t>
        </is>
      </c>
      <c r="H194" t="inlineStr">
        <is>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is>
      </c>
      <c r="I194" t="inlineStr">
        <is>
          <t>202400000005692</t>
        </is>
      </c>
      <c r="J194" s="99">
        <v>1777168661</v>
      </c>
      <c r="K194" s="99">
        <v>1777168661</v>
      </c>
      <c r="L194" s="99">
        <v>0</v>
      </c>
      <c r="M194" s="99">
        <v>0</v>
      </c>
      <c r="N194" s="99">
        <v>0</v>
      </c>
      <c r="O194" s="99" t="inlineStr">
        <is>
          <t xml:space="preserve"> </t>
        </is>
      </c>
      <c r="P194" s="99" t="inlineStr">
        <is>
          <t xml:space="preserve"> </t>
        </is>
      </c>
      <c r="Q194" s="99" t="inlineStr">
        <is>
          <t xml:space="preserve"> </t>
        </is>
      </c>
      <c r="R194" s="100" t="inlineStr">
        <is>
          <t xml:space="preserve"> </t>
        </is>
      </c>
      <c r="S194" t="inlineStr">
        <is>
          <t>No se encontró ejecución en CUIPO</t>
        </is>
      </c>
      <c r="T194" s="101" t="inlineStr">
        <is>
          <t xml:space="preserve"> </t>
        </is>
      </c>
      <c r="U194" s="101" t="inlineStr">
        <is>
          <t xml:space="preserve"> </t>
        </is>
      </c>
      <c r="V194" s="101" t="inlineStr">
        <is>
          <t xml:space="preserve"> </t>
        </is>
      </c>
      <c r="W194" s="102" t="inlineStr">
        <is>
          <t xml:space="preserve"> </t>
        </is>
      </c>
      <c r="X194" t="inlineStr">
        <is>
          <t>No se encontró ejecución en CUIPO</t>
        </is>
      </c>
    </row>
    <row r="195">
      <c r="A195" t="inlineStr">
        <is>
          <t>IP-205</t>
        </is>
      </c>
      <c r="B195" t="inlineStr">
        <is>
          <t>35</t>
        </is>
      </c>
      <c r="C195" t="inlineStr">
        <is>
          <t>Comercio, industria y turismo</t>
        </is>
      </c>
      <c r="D195" t="inlineStr">
        <is>
          <t>3502</t>
        </is>
      </c>
      <c r="E195" t="inlineStr">
        <is>
          <t>Productividad y competitividad de las empresas colombianas</t>
        </is>
      </c>
      <c r="F195" t="inlineStr">
        <is>
          <t>3502003</t>
        </is>
      </c>
      <c r="G195" t="inlineStr">
        <is>
          <t>Servicio de asistencia técnica para el fortalecimiento de capacidades gerenciales</t>
        </is>
      </c>
      <c r="H195" t="inlineStr">
        <is>
          <t>Acompañamiento técnico a las empresas para el desarrollo de capacidades gerenciales a través de programas de gestión empresarial, planes gerenciales, entre otros.</t>
        </is>
      </c>
      <c r="I195" t="inlineStr">
        <is>
          <t>202400000006193</t>
        </is>
      </c>
      <c r="J195" s="99">
        <v>2958000000</v>
      </c>
      <c r="K195" s="99">
        <v>50000000</v>
      </c>
      <c r="L195" s="99">
        <v>1858000000</v>
      </c>
      <c r="M195" s="99">
        <v>556358101</v>
      </c>
      <c r="N195" s="99">
        <v>493641899</v>
      </c>
      <c r="O195" s="99" t="inlineStr">
        <is>
          <t xml:space="preserve"> </t>
        </is>
      </c>
      <c r="P195" s="99" t="inlineStr">
        <is>
          <t xml:space="preserve"> </t>
        </is>
      </c>
      <c r="Q195" s="99" t="inlineStr">
        <is>
          <t xml:space="preserve"> </t>
        </is>
      </c>
      <c r="R195" s="100" t="inlineStr">
        <is>
          <t xml:space="preserve"> </t>
        </is>
      </c>
      <c r="S195" t="inlineStr">
        <is>
          <t>No se encontró ejecución en CUIPO</t>
        </is>
      </c>
      <c r="T195" s="101">
        <v>380278667</v>
      </c>
      <c r="U195" s="101">
        <v>102500000</v>
      </c>
      <c r="V195" s="101">
        <v>82000000</v>
      </c>
      <c r="W195" s="102">
        <v>0.0551668460710441</v>
      </c>
      <c r="X195" t="inlineStr">
        <is>
          <t>Lo obligado está por debajo de lo programado en la vigencia</t>
        </is>
      </c>
    </row>
    <row r="196">
      <c r="A196" t="inlineStr">
        <is>
          <t>IP-206</t>
        </is>
      </c>
      <c r="B196" t="inlineStr">
        <is>
          <t>33</t>
        </is>
      </c>
      <c r="C196" t="inlineStr">
        <is>
          <t>Cultura</t>
        </is>
      </c>
      <c r="D196" t="inlineStr">
        <is>
          <t>3301</t>
        </is>
      </c>
      <c r="E196" t="inlineStr">
        <is>
          <t>Promoción y acceso efectivo a procesos culturales y artísticos</t>
        </is>
      </c>
      <c r="F196" t="inlineStr">
        <is>
          <t>3301088</t>
        </is>
      </c>
      <c r="G196" t="inlineStr">
        <is>
          <t>Centros culturales construidos</t>
        </is>
      </c>
      <c r="H196" t="inlineStr">
        <is>
          <t>Son todas aquellas infraestructuras culturales que se construyan en un predio o terreno donde no existen elementos o construcciones previstas. </t>
        </is>
      </c>
      <c r="I196" t="inlineStr">
        <is>
          <t>2024258170033</t>
        </is>
      </c>
      <c r="J196" s="99">
        <v>16221720000</v>
      </c>
      <c r="K196" s="99">
        <v>623000000</v>
      </c>
      <c r="L196" s="99">
        <v>5598720000</v>
      </c>
      <c r="M196" s="99">
        <v>0</v>
      </c>
      <c r="N196" s="99">
        <v>10000000000</v>
      </c>
      <c r="O196" s="99" t="inlineStr">
        <is>
          <t xml:space="preserve"> </t>
        </is>
      </c>
      <c r="P196" s="99" t="inlineStr">
        <is>
          <t xml:space="preserve"> </t>
        </is>
      </c>
      <c r="Q196" s="99" t="inlineStr">
        <is>
          <t xml:space="preserve"> </t>
        </is>
      </c>
      <c r="R196" s="100" t="inlineStr">
        <is>
          <t xml:space="preserve"> </t>
        </is>
      </c>
      <c r="S196" t="inlineStr">
        <is>
          <t>No se encontró ejecución en CUIPO</t>
        </is>
      </c>
      <c r="T196" s="101" t="inlineStr">
        <is>
          <t xml:space="preserve"> </t>
        </is>
      </c>
      <c r="U196" s="101" t="inlineStr">
        <is>
          <t xml:space="preserve"> </t>
        </is>
      </c>
      <c r="V196" s="101" t="inlineStr">
        <is>
          <t xml:space="preserve"> </t>
        </is>
      </c>
      <c r="W196" s="102" t="inlineStr">
        <is>
          <t xml:space="preserve"> </t>
        </is>
      </c>
      <c r="X196" t="inlineStr">
        <is>
          <t>No se encontró ejecución en CUIPO</t>
        </is>
      </c>
    </row>
    <row r="197">
      <c r="A197" t="inlineStr">
        <is>
          <t>IP-207</t>
        </is>
      </c>
      <c r="B197" t="inlineStr">
        <is>
          <t>45</t>
        </is>
      </c>
      <c r="C197" t="inlineStr">
        <is>
          <t>Gobierno Territorial</t>
        </is>
      </c>
      <c r="D197" t="inlineStr">
        <is>
          <t>4502</t>
        </is>
      </c>
      <c r="E197" t="inlineStr">
        <is>
          <t>Fortalecimiento del buen gobierno para el respeto y garantía de los derechos humanos.</t>
        </is>
      </c>
      <c r="F197" t="inlineStr">
        <is>
          <t>4502038</t>
        </is>
      </c>
      <c r="G197" t="inlineStr">
        <is>
          <t>Servicio de promoción de la garantía de derechos</t>
        </is>
      </c>
      <c r="H197" t="inlineStr">
        <is>
          <t>Incluye el desarrollo de acciones orientadas a divulgar y promover los mecanismos de atención, protección y ejercicio de los derechos de las mujeres, población LGTBI y personas y comunidades en riesgo así como la prevención de su vulneración.</t>
        </is>
      </c>
      <c r="I197" t="inlineStr">
        <is>
          <t>202400000006494</t>
        </is>
      </c>
      <c r="J197" s="99">
        <v>70000000</v>
      </c>
      <c r="K197" s="99">
        <v>0</v>
      </c>
      <c r="L197" s="99">
        <v>70000000</v>
      </c>
      <c r="M197" s="99">
        <v>0</v>
      </c>
      <c r="N197" s="99">
        <v>0</v>
      </c>
      <c r="O197" s="99" t="inlineStr">
        <is>
          <t xml:space="preserve"> </t>
        </is>
      </c>
      <c r="P197" s="99" t="inlineStr">
        <is>
          <t xml:space="preserve"> </t>
        </is>
      </c>
      <c r="Q197" s="99" t="inlineStr">
        <is>
          <t xml:space="preserve"> </t>
        </is>
      </c>
      <c r="R197" s="100" t="inlineStr">
        <is>
          <t xml:space="preserve"> </t>
        </is>
      </c>
      <c r="S197" t="inlineStr">
        <is>
          <t>No se encontró ejecución en CUIPO</t>
        </is>
      </c>
      <c r="T197" s="101" t="inlineStr">
        <is>
          <t xml:space="preserve"> </t>
        </is>
      </c>
      <c r="U197" s="101" t="inlineStr">
        <is>
          <t xml:space="preserve"> </t>
        </is>
      </c>
      <c r="V197" s="101" t="inlineStr">
        <is>
          <t xml:space="preserve"> </t>
        </is>
      </c>
      <c r="W197" s="102" t="inlineStr">
        <is>
          <t xml:space="preserve"> </t>
        </is>
      </c>
      <c r="X197" t="inlineStr">
        <is>
          <t>No se encontró ejecución en CUIPO</t>
        </is>
      </c>
    </row>
    <row r="198">
      <c r="A198" t="inlineStr">
        <is>
          <t>IP-208</t>
        </is>
      </c>
      <c r="B198" t="inlineStr">
        <is>
          <t>41</t>
        </is>
      </c>
      <c r="C198" t="inlineStr">
        <is>
          <t xml:space="preserve">Inclusión social y reconciliación </t>
        </is>
      </c>
      <c r="D198" t="inlineStr">
        <is>
          <t>4102</t>
        </is>
      </c>
      <c r="E198" t="inlineStr">
        <is>
          <t>Desarrollo integral de la primera infancia a la juventud, y fortalecimiento de las capacidades de las familias de niñas, niños y adolescentes</t>
        </is>
      </c>
      <c r="F198" t="inlineStr">
        <is>
          <t>4102051</t>
        </is>
      </c>
      <c r="G198" t="inlineStr">
        <is>
          <t>Documentos de planeación</t>
        </is>
      </c>
      <c r="H198"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98" t="inlineStr">
        <is>
          <t>202400000006514</t>
        </is>
      </c>
      <c r="J198" s="99">
        <v>0</v>
      </c>
      <c r="K198" s="99">
        <v>0</v>
      </c>
      <c r="L198" s="99">
        <v>0</v>
      </c>
      <c r="M198" s="99">
        <v>0</v>
      </c>
      <c r="N198" s="99">
        <v>0</v>
      </c>
      <c r="O198" s="99" t="inlineStr">
        <is>
          <t xml:space="preserve"> </t>
        </is>
      </c>
      <c r="P198" s="99" t="inlineStr">
        <is>
          <t xml:space="preserve"> </t>
        </is>
      </c>
      <c r="Q198" s="99" t="inlineStr">
        <is>
          <t xml:space="preserve"> </t>
        </is>
      </c>
      <c r="R198" s="100" t="inlineStr">
        <is>
          <t xml:space="preserve"> </t>
        </is>
      </c>
      <c r="S198" t="inlineStr">
        <is>
          <t>No se encontró ejecución en CUIPO</t>
        </is>
      </c>
      <c r="T198" s="101" t="inlineStr">
        <is>
          <t xml:space="preserve"> </t>
        </is>
      </c>
      <c r="U198" s="101" t="inlineStr">
        <is>
          <t xml:space="preserve"> </t>
        </is>
      </c>
      <c r="V198" s="101" t="inlineStr">
        <is>
          <t xml:space="preserve"> </t>
        </is>
      </c>
      <c r="W198" s="102" t="inlineStr">
        <is>
          <t xml:space="preserve"> </t>
        </is>
      </c>
      <c r="X198" t="inlineStr">
        <is>
          <t>No se encontró ejecución en CUIPO</t>
        </is>
      </c>
    </row>
    <row r="199">
      <c r="A199" t="inlineStr">
        <is>
          <t>IP-209</t>
        </is>
      </c>
      <c r="B199" t="inlineStr">
        <is>
          <t>43</t>
        </is>
      </c>
      <c r="C199" t="inlineStr">
        <is>
          <t>Deporte y Recreación</t>
        </is>
      </c>
      <c r="D199" t="inlineStr">
        <is>
          <t>4301</t>
        </is>
      </c>
      <c r="E199" t="inlineStr">
        <is>
          <t>Fomento a la recreación, la actividad física y el deporte para desarrollar entornos de convivencia y paz</t>
        </is>
      </c>
      <c r="F199" t="inlineStr">
        <is>
          <t>4301037</t>
        </is>
      </c>
      <c r="G199" t="inlineStr">
        <is>
          <t>Servicio de promoción de la actividad física, la recreación y el deporte</t>
        </is>
      </c>
      <c r="H199" t="inlineStr">
        <is>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is>
      </c>
      <c r="I199" t="inlineStr">
        <is>
          <t/>
        </is>
      </c>
      <c r="J199" s="99">
        <v>8000000000</v>
      </c>
      <c r="K199" s="99">
        <v>0</v>
      </c>
      <c r="L199" s="99">
        <v>4000000000</v>
      </c>
      <c r="M199" s="99">
        <v>4000000000</v>
      </c>
      <c r="N199" s="99">
        <v>0</v>
      </c>
      <c r="O199" s="99" t="inlineStr">
        <is>
          <t xml:space="preserve"> </t>
        </is>
      </c>
      <c r="P199" s="99" t="inlineStr">
        <is>
          <t xml:space="preserve"> </t>
        </is>
      </c>
      <c r="Q199" s="99" t="inlineStr">
        <is>
          <t xml:space="preserve"> </t>
        </is>
      </c>
      <c r="R199" s="100" t="inlineStr">
        <is>
          <t xml:space="preserve"> </t>
        </is>
      </c>
      <c r="S199" t="inlineStr">
        <is>
          <t>Por falta de código BPIN, no se encontró ejecución en CUIPO</t>
        </is>
      </c>
      <c r="T199" s="101" t="inlineStr">
        <is>
          <t xml:space="preserve"> </t>
        </is>
      </c>
      <c r="U199" s="101" t="inlineStr">
        <is>
          <t xml:space="preserve"> </t>
        </is>
      </c>
      <c r="V199" s="101" t="inlineStr">
        <is>
          <t xml:space="preserve"> </t>
        </is>
      </c>
      <c r="W199" s="102" t="inlineStr">
        <is>
          <t xml:space="preserve"> </t>
        </is>
      </c>
      <c r="X199" t="inlineStr">
        <is>
          <t>Por falta de código BPIN, no se encontró ejecución en CUIPO</t>
        </is>
      </c>
    </row>
    <row r="200">
      <c r="A200" t="inlineStr">
        <is>
          <t>IP-210</t>
        </is>
      </c>
      <c r="B200" t="inlineStr">
        <is>
          <t>32</t>
        </is>
      </c>
      <c r="C200" t="inlineStr">
        <is>
          <t>Ambiente y desarrollo sostenible</t>
        </is>
      </c>
      <c r="D200" t="inlineStr">
        <is>
          <t>3202</t>
        </is>
      </c>
      <c r="E200" t="inlineStr">
        <is>
          <t>Conservación de la biodiversidad y sus servicios ecosistémicos</t>
        </is>
      </c>
      <c r="F200" t="inlineStr">
        <is>
          <t>3202038</t>
        </is>
      </c>
      <c r="G200" t="inlineStr">
        <is>
          <t>Servicio de producción de plántulas en viveros</t>
        </is>
      </c>
      <c r="H200" t="inlineStr">
        <is>
          <t>Acciones orientadas a producir plántulas en viveros que serán utilizadas en la recuperación de ecosistemas degradados</t>
        </is>
      </c>
      <c r="I200" t="inlineStr">
        <is>
          <t>2024258170026</t>
        </is>
      </c>
      <c r="J200" s="99">
        <v>365631570</v>
      </c>
      <c r="K200" s="99">
        <v>79631570</v>
      </c>
      <c r="L200" s="99">
        <v>76000000</v>
      </c>
      <c r="M200" s="99">
        <v>110000000</v>
      </c>
      <c r="N200" s="99">
        <v>100000000</v>
      </c>
      <c r="O200" s="99" t="inlineStr">
        <is>
          <t xml:space="preserve"> </t>
        </is>
      </c>
      <c r="P200" s="99" t="inlineStr">
        <is>
          <t xml:space="preserve"> </t>
        </is>
      </c>
      <c r="Q200" s="99" t="inlineStr">
        <is>
          <t xml:space="preserve"> </t>
        </is>
      </c>
      <c r="R200" s="100" t="inlineStr">
        <is>
          <t xml:space="preserve"> </t>
        </is>
      </c>
      <c r="S200" t="inlineStr">
        <is>
          <t>No se encontró ejecución en CUIPO</t>
        </is>
      </c>
      <c r="T200" s="101">
        <v>76000000</v>
      </c>
      <c r="U200" s="101">
        <v>68500000</v>
      </c>
      <c r="V200" s="101">
        <v>68500000</v>
      </c>
      <c r="W200" s="102">
        <v>0.901315789473684</v>
      </c>
      <c r="X200" t="inlineStr">
        <is>
          <t>Lo obligado está por debajo de lo programado en la vigencia</t>
        </is>
      </c>
    </row>
    <row r="201">
      <c r="A201" t="inlineStr">
        <is>
          <t>IP-211</t>
        </is>
      </c>
      <c r="B201" t="inlineStr">
        <is>
          <t>35</t>
        </is>
      </c>
      <c r="C201" t="inlineStr">
        <is>
          <t>Comercio, industria y turismo</t>
        </is>
      </c>
      <c r="D201" t="inlineStr">
        <is>
          <t>3502</t>
        </is>
      </c>
      <c r="E201" t="inlineStr">
        <is>
          <t>Productividad y competitividad de las empresas colombianas</t>
        </is>
      </c>
      <c r="F201" t="inlineStr">
        <is>
          <t>3502017</t>
        </is>
      </c>
      <c r="G201" t="inlineStr">
        <is>
          <t>Servicio de asistencia técnica para emprendedores y/o empresas en edad temprana</t>
        </is>
      </c>
      <c r="H201" t="inlineStr">
        <is>
          <t>Asistencia técnica dirigida a emprendedores con empresas en etapa temprana (menores de 5 años).</t>
        </is>
      </c>
      <c r="I201" t="inlineStr">
        <is>
          <t>2024258170013</t>
        </is>
      </c>
      <c r="J201" s="99">
        <v>267000000</v>
      </c>
      <c r="K201" s="99">
        <v>45000000</v>
      </c>
      <c r="L201" s="99">
        <v>72000000</v>
      </c>
      <c r="M201" s="99">
        <v>75000000</v>
      </c>
      <c r="N201" s="99">
        <v>75000000</v>
      </c>
      <c r="O201" s="99">
        <v>3000000</v>
      </c>
      <c r="P201" s="99">
        <v>3000000</v>
      </c>
      <c r="Q201" s="99">
        <v>3000000</v>
      </c>
      <c r="R201" s="100">
        <v>0.0666666666666667</v>
      </c>
      <c r="S201" t="inlineStr">
        <is>
          <t>Lo obligado está por debajo de lo programado en la vigencia</t>
        </is>
      </c>
      <c r="T201" s="101">
        <v>37260000</v>
      </c>
      <c r="U201" s="101">
        <v>22356000</v>
      </c>
      <c r="V201" s="101">
        <v>22356000</v>
      </c>
      <c r="W201" s="102">
        <v>0.3105</v>
      </c>
      <c r="X201" t="inlineStr">
        <is>
          <t>Lo obligado está por debajo de lo programado en la vigencia</t>
        </is>
      </c>
    </row>
    <row r="202">
      <c r="A202" t="inlineStr">
        <is>
          <t>IP-212</t>
        </is>
      </c>
      <c r="B202" t="inlineStr">
        <is>
          <t>19</t>
        </is>
      </c>
      <c r="C202" t="inlineStr">
        <is>
          <t>Salud y protección social</t>
        </is>
      </c>
      <c r="D202" t="inlineStr">
        <is>
          <t>1905</t>
        </is>
      </c>
      <c r="E202" t="inlineStr">
        <is>
          <t>Salud pública</t>
        </is>
      </c>
      <c r="F202" t="inlineStr">
        <is>
          <t>1905015</t>
        </is>
      </c>
      <c r="G202" t="inlineStr">
        <is>
          <t>Documentos de planeación</t>
        </is>
      </c>
      <c r="H202" t="inlineStr">
        <is>
          <t>Documentos cuyo objetivo es plasmar una visión de futuro a nivel país, entidad territorial, comunidad, sector, región, entidad o cualquier nivel de desagregación que se requiera. Incluye objetivos, estrategias, metas e indicadores.</t>
        </is>
      </c>
      <c r="I202" t="inlineStr">
        <is>
          <t>2024258170054</t>
        </is>
      </c>
      <c r="J202" s="99">
        <v>1540021979</v>
      </c>
      <c r="K202" s="99">
        <v>521268795</v>
      </c>
      <c r="L202" s="99">
        <v>323157235</v>
      </c>
      <c r="M202" s="99">
        <v>339315097</v>
      </c>
      <c r="N202" s="99">
        <v>356280852</v>
      </c>
      <c r="O202" s="99" t="inlineStr">
        <is>
          <t xml:space="preserve"> </t>
        </is>
      </c>
      <c r="P202" s="99" t="inlineStr">
        <is>
          <t xml:space="preserve"> </t>
        </is>
      </c>
      <c r="Q202" s="99" t="inlineStr">
        <is>
          <t xml:space="preserve"> </t>
        </is>
      </c>
      <c r="R202" s="100" t="inlineStr">
        <is>
          <t xml:space="preserve"> </t>
        </is>
      </c>
      <c r="S202" t="inlineStr">
        <is>
          <t>No se encontró ejecución en CUIPO</t>
        </is>
      </c>
      <c r="T202" s="101">
        <v>521268792</v>
      </c>
      <c r="U202" s="101">
        <v>141112900</v>
      </c>
      <c r="V202" s="101">
        <v>141112900</v>
      </c>
      <c r="W202" s="102">
        <v>0.436669474536134</v>
      </c>
      <c r="X202" t="inlineStr">
        <is>
          <t>Lo obligado está por debajo de lo programado en la vigencia</t>
        </is>
      </c>
    </row>
    <row r="203">
      <c r="A203" t="inlineStr">
        <is>
          <t>IP-213</t>
        </is>
      </c>
      <c r="B203" t="inlineStr">
        <is>
          <t>40</t>
        </is>
      </c>
      <c r="C203" t="inlineStr">
        <is>
          <t>Vivienda, ciudad y territorio</t>
        </is>
      </c>
      <c r="D203" t="inlineStr">
        <is>
          <t>4002</t>
        </is>
      </c>
      <c r="E203" t="inlineStr">
        <is>
          <t>Ordenamiento territorial y desarrollo urbano</t>
        </is>
      </c>
      <c r="F203" t="inlineStr">
        <is>
          <t>4002020</t>
        </is>
      </c>
      <c r="G203" t="inlineStr">
        <is>
          <t>Espacio publico adecuado</t>
        </is>
      </c>
      <c r="H203" t="inlineStr">
        <is>
          <t>Mejoramiento, ampliación y/o mantenimiento de los elementos constitutivos y complementarios del espacio público contenidos en el Decreto 1504 de 1998</t>
        </is>
      </c>
      <c r="I203" t="inlineStr">
        <is>
          <t/>
        </is>
      </c>
      <c r="J203" s="99">
        <v>3000000000</v>
      </c>
      <c r="K203" s="99">
        <v>0</v>
      </c>
      <c r="L203" s="99">
        <v>0</v>
      </c>
      <c r="M203" s="99">
        <v>1300000000</v>
      </c>
      <c r="N203" s="99">
        <v>1700000000</v>
      </c>
      <c r="O203" s="99" t="inlineStr">
        <is>
          <t xml:space="preserve"> </t>
        </is>
      </c>
      <c r="P203" s="99" t="inlineStr">
        <is>
          <t xml:space="preserve"> </t>
        </is>
      </c>
      <c r="Q203" s="99" t="inlineStr">
        <is>
          <t xml:space="preserve"> </t>
        </is>
      </c>
      <c r="R203" s="100" t="inlineStr">
        <is>
          <t xml:space="preserve"> </t>
        </is>
      </c>
      <c r="S203" t="inlineStr">
        <is>
          <t>Por falta de código BPIN, no se encontró ejecución en CUIPO</t>
        </is>
      </c>
      <c r="T203" s="101" t="inlineStr">
        <is>
          <t xml:space="preserve"> </t>
        </is>
      </c>
      <c r="U203" s="101" t="inlineStr">
        <is>
          <t xml:space="preserve"> </t>
        </is>
      </c>
      <c r="V203" s="101" t="inlineStr">
        <is>
          <t xml:space="preserve"> </t>
        </is>
      </c>
      <c r="W203" s="102" t="inlineStr">
        <is>
          <t xml:space="preserve"> </t>
        </is>
      </c>
      <c r="X203" t="inlineStr">
        <is>
          <t>Por falta de código BPIN, no se encontró ejecución en CUIPO</t>
        </is>
      </c>
    </row>
    <row r="204">
      <c r="A204" t="inlineStr">
        <is>
          <t>IP-214</t>
        </is>
      </c>
      <c r="B204" t="inlineStr">
        <is>
          <t>41</t>
        </is>
      </c>
      <c r="C204" t="inlineStr">
        <is>
          <t xml:space="preserve">Inclusión social y reconciliación </t>
        </is>
      </c>
      <c r="D204" t="inlineStr">
        <is>
          <t>4103</t>
        </is>
      </c>
      <c r="E204" t="inlineStr">
        <is>
          <t>Inclusión social y productiva para la población en situación de vulnerabilidad</t>
        </is>
      </c>
      <c r="F204" t="inlineStr">
        <is>
          <t>4103027</t>
        </is>
      </c>
      <c r="G204" t="inlineStr">
        <is>
          <t>Centros comunitarios adecuados</t>
        </is>
      </c>
      <c r="H204" t="inlineStr">
        <is>
          <t xml:space="preserve">Adecuación de infraestructura dispuesta a la comunidad para que pueda desarrollar actividades culturales, sociales y de formación. </t>
        </is>
      </c>
      <c r="I204" t="inlineStr">
        <is>
          <t>202400000006486</t>
        </is>
      </c>
      <c r="J204" s="99">
        <v>3794176355.2</v>
      </c>
      <c r="K204" s="99">
        <v>1059243967.2</v>
      </c>
      <c r="L204" s="99">
        <v>1734932388</v>
      </c>
      <c r="M204" s="99">
        <v>1000000000</v>
      </c>
      <c r="N204" s="99">
        <v>0</v>
      </c>
      <c r="O204" s="99" t="inlineStr">
        <is>
          <t xml:space="preserve"> </t>
        </is>
      </c>
      <c r="P204" s="99" t="inlineStr">
        <is>
          <t xml:space="preserve"> </t>
        </is>
      </c>
      <c r="Q204" s="99" t="inlineStr">
        <is>
          <t xml:space="preserve"> </t>
        </is>
      </c>
      <c r="R204" s="100" t="inlineStr">
        <is>
          <t xml:space="preserve"> </t>
        </is>
      </c>
      <c r="S204" t="inlineStr">
        <is>
          <t>No se encontró ejecución en CUIPO</t>
        </is>
      </c>
      <c r="T204" s="101" t="inlineStr">
        <is>
          <t xml:space="preserve"> </t>
        </is>
      </c>
      <c r="U204" s="101" t="inlineStr">
        <is>
          <t xml:space="preserve"> </t>
        </is>
      </c>
      <c r="V204" s="101" t="inlineStr">
        <is>
          <t xml:space="preserve"> </t>
        </is>
      </c>
      <c r="W204" s="102" t="inlineStr">
        <is>
          <t xml:space="preserve"> </t>
        </is>
      </c>
      <c r="X204" t="inlineStr">
        <is>
          <t>No se encontró ejecución en CUIPO</t>
        </is>
      </c>
    </row>
    <row r="205">
      <c r="A205" t="inlineStr">
        <is>
          <t>IP-215</t>
        </is>
      </c>
      <c r="B205" t="inlineStr">
        <is>
          <t>19</t>
        </is>
      </c>
      <c r="C205" t="inlineStr">
        <is>
          <t>Salud y protección social</t>
        </is>
      </c>
      <c r="D205" t="inlineStr">
        <is>
          <t>1905</t>
        </is>
      </c>
      <c r="E205" t="inlineStr">
        <is>
          <t>Salud pública</t>
        </is>
      </c>
      <c r="F205" t="inlineStr">
        <is>
          <t>1905024</t>
        </is>
      </c>
      <c r="G205" t="inlineStr">
        <is>
          <t>Servicio de gestión del riesgo para abordar situaciones de salud relacionadas con condiciones ambientales</t>
        </is>
      </c>
      <c r="H205" t="inlineStr">
        <is>
          <t>Incluye la gestión integral relacionada con la prevención de enfermedades generadas por sustancias químicas, por animales (zoonosis), vectores de contaminación en el aire y el agua, entre otros factores.</t>
        </is>
      </c>
      <c r="I205" t="inlineStr">
        <is>
          <t>2024258170054</t>
        </is>
      </c>
      <c r="J205" s="99">
        <v>2868301731</v>
      </c>
      <c r="K205" s="99">
        <v>945884422</v>
      </c>
      <c r="L205" s="99">
        <v>609807235</v>
      </c>
      <c r="M205" s="99">
        <v>640297597</v>
      </c>
      <c r="N205" s="99">
        <v>672312477</v>
      </c>
      <c r="O205" s="99" t="inlineStr">
        <is>
          <t xml:space="preserve"> </t>
        </is>
      </c>
      <c r="P205" s="99" t="inlineStr">
        <is>
          <t xml:space="preserve"> </t>
        </is>
      </c>
      <c r="Q205" s="99" t="inlineStr">
        <is>
          <t xml:space="preserve"> </t>
        </is>
      </c>
      <c r="R205" s="100" t="inlineStr">
        <is>
          <t xml:space="preserve"> </t>
        </is>
      </c>
      <c r="S205" t="inlineStr">
        <is>
          <t>No se encontró ejecución en CUIPO</t>
        </is>
      </c>
      <c r="T205" s="101">
        <v>541758676</v>
      </c>
      <c r="U205" s="101">
        <v>258789393</v>
      </c>
      <c r="V205" s="101">
        <v>254723393</v>
      </c>
      <c r="W205" s="102">
        <v>0.424379013804256</v>
      </c>
      <c r="X205" t="inlineStr">
        <is>
          <t>Lo obligado está por debajo de lo programado en la vigencia</t>
        </is>
      </c>
    </row>
    <row r="206">
      <c r="A206" t="inlineStr">
        <is>
          <t>IP-216</t>
        </is>
      </c>
      <c r="B206" t="inlineStr">
        <is>
          <t>41</t>
        </is>
      </c>
      <c r="C206" t="inlineStr">
        <is>
          <t xml:space="preserve">Inclusión social y reconciliación </t>
        </is>
      </c>
      <c r="D206" t="inlineStr">
        <is>
          <t>4103</t>
        </is>
      </c>
      <c r="E206" t="inlineStr">
        <is>
          <t>Inclusión social y productiva para la población en situación de vulnerabilidad</t>
        </is>
      </c>
      <c r="F206" t="inlineStr">
        <is>
          <t>4103026</t>
        </is>
      </c>
      <c r="G206" t="inlineStr">
        <is>
          <t>Centros comunitarios ampliados</t>
        </is>
      </c>
      <c r="H206" t="inlineStr">
        <is>
          <t xml:space="preserve">Ampliación de infraestructura dispuesta a la comunidad para que pueda desarrollar actividades culturales, sociales y de formación. </t>
        </is>
      </c>
      <c r="I206" t="inlineStr">
        <is>
          <t>202400000006486</t>
        </is>
      </c>
      <c r="J206" s="99">
        <v>15159492765</v>
      </c>
      <c r="K206" s="99">
        <v>8540000000</v>
      </c>
      <c r="L206" s="99">
        <v>6199492765</v>
      </c>
      <c r="M206" s="99">
        <v>420000000</v>
      </c>
      <c r="N206" s="99">
        <v>0</v>
      </c>
      <c r="O206" s="99" t="inlineStr">
        <is>
          <t xml:space="preserve"> </t>
        </is>
      </c>
      <c r="P206" s="99" t="inlineStr">
        <is>
          <t xml:space="preserve"> </t>
        </is>
      </c>
      <c r="Q206" s="99" t="inlineStr">
        <is>
          <t xml:space="preserve"> </t>
        </is>
      </c>
      <c r="R206" s="100" t="inlineStr">
        <is>
          <t xml:space="preserve"> </t>
        </is>
      </c>
      <c r="S206" t="inlineStr">
        <is>
          <t>No se encontró ejecución en CUIPO</t>
        </is>
      </c>
      <c r="T206" s="101">
        <v>3432430093</v>
      </c>
      <c r="U206" s="101">
        <v>467024451</v>
      </c>
      <c r="V206" s="101">
        <v>467024451</v>
      </c>
      <c r="W206" s="102">
        <v>0.0753326874799571</v>
      </c>
      <c r="X206" t="inlineStr">
        <is>
          <t>Lo obligado está por debajo de lo programado en la vigencia</t>
        </is>
      </c>
    </row>
    <row r="207">
      <c r="A207" t="inlineStr">
        <is>
          <t>IP-217</t>
        </is>
      </c>
      <c r="B207" t="inlineStr">
        <is>
          <t>41</t>
        </is>
      </c>
      <c r="C207" t="inlineStr">
        <is>
          <t xml:space="preserve">Inclusión social y reconciliación </t>
        </is>
      </c>
      <c r="D207" t="inlineStr">
        <is>
          <t>4104</t>
        </is>
      </c>
      <c r="E207" t="inlineStr">
        <is>
          <t>Atención integral de población en situación permanente de desprotección social y/o familiar</t>
        </is>
      </c>
      <c r="F207" t="inlineStr">
        <is>
          <t>4104010</t>
        </is>
      </c>
      <c r="G207" t="inlineStr">
        <is>
          <t>Servicio de educación informal a los cuidadores del adulto mayor</t>
        </is>
      </c>
      <c r="H207" t="inlineStr">
        <is>
          <t>Servicios dirigidos a fortalecer las habilidades y competencias de los cuidadores del adulto mayor en temas de protección y atención integral a esta población.</t>
        </is>
      </c>
      <c r="I207" t="inlineStr">
        <is>
          <t>202500000003427</t>
        </is>
      </c>
      <c r="J207" s="99">
        <v>1501250000</v>
      </c>
      <c r="K207" s="99">
        <v>24610000</v>
      </c>
      <c r="L207" s="99">
        <v>35490000</v>
      </c>
      <c r="M207" s="99">
        <v>703000000</v>
      </c>
      <c r="N207" s="99">
        <v>738150000</v>
      </c>
      <c r="O207" s="99" t="inlineStr">
        <is>
          <t xml:space="preserve"> </t>
        </is>
      </c>
      <c r="P207" s="99" t="inlineStr">
        <is>
          <t xml:space="preserve"> </t>
        </is>
      </c>
      <c r="Q207" s="99" t="inlineStr">
        <is>
          <t xml:space="preserve"> </t>
        </is>
      </c>
      <c r="R207" s="100" t="inlineStr">
        <is>
          <t xml:space="preserve"> </t>
        </is>
      </c>
      <c r="S207" t="inlineStr">
        <is>
          <t>No se encontró ejecución en CUIPO</t>
        </is>
      </c>
      <c r="T207" s="101" t="inlineStr">
        <is>
          <t xml:space="preserve"> </t>
        </is>
      </c>
      <c r="U207" s="101" t="inlineStr">
        <is>
          <t xml:space="preserve"> </t>
        </is>
      </c>
      <c r="V207" s="101" t="inlineStr">
        <is>
          <t xml:space="preserve"> </t>
        </is>
      </c>
      <c r="W207" s="102" t="inlineStr">
        <is>
          <t xml:space="preserve"> </t>
        </is>
      </c>
      <c r="X207" t="inlineStr">
        <is>
          <t>No se encontró ejecución en CUIPO</t>
        </is>
      </c>
    </row>
    <row r="208">
      <c r="A208" t="inlineStr">
        <is>
          <t>IP-218</t>
        </is>
      </c>
      <c r="B208" t="inlineStr">
        <is>
          <t>40</t>
        </is>
      </c>
      <c r="C208" t="inlineStr">
        <is>
          <t>Vivienda, ciudad y territorio</t>
        </is>
      </c>
      <c r="D208" t="inlineStr">
        <is>
          <t>4003</t>
        </is>
      </c>
      <c r="E208" t="inlineStr">
        <is>
          <t>Acceso de la población a los servicios de agua potable y saneamiento básico</t>
        </is>
      </c>
      <c r="F208" t="inlineStr">
        <is>
          <t>4003016</t>
        </is>
      </c>
      <c r="G208" t="inlineStr">
        <is>
          <t>Acueductos ampliados</t>
        </is>
      </c>
      <c r="H208" t="inlineStr">
        <is>
          <t>Conjunto de acciones y obras requeridas para aumentar la capacidad del acueducto en una misma área de cobertura.</t>
        </is>
      </c>
      <c r="I208" t="inlineStr">
        <is>
          <t>202400000007000</t>
        </is>
      </c>
      <c r="J208" s="99">
        <v>1100000000</v>
      </c>
      <c r="K208" s="99">
        <v>0</v>
      </c>
      <c r="L208" s="99">
        <v>1100000000</v>
      </c>
      <c r="M208" s="99">
        <v>0</v>
      </c>
      <c r="N208" s="99">
        <v>0</v>
      </c>
      <c r="O208" s="99" t="inlineStr">
        <is>
          <t xml:space="preserve"> </t>
        </is>
      </c>
      <c r="P208" s="99" t="inlineStr">
        <is>
          <t xml:space="preserve"> </t>
        </is>
      </c>
      <c r="Q208" s="99" t="inlineStr">
        <is>
          <t xml:space="preserve"> </t>
        </is>
      </c>
      <c r="R208" s="100" t="inlineStr">
        <is>
          <t xml:space="preserve"> </t>
        </is>
      </c>
      <c r="S208" t="inlineStr">
        <is>
          <t>No se encontró ejecución en CUIPO</t>
        </is>
      </c>
      <c r="T208" s="101" t="inlineStr">
        <is>
          <t xml:space="preserve"> </t>
        </is>
      </c>
      <c r="U208" s="101" t="inlineStr">
        <is>
          <t xml:space="preserve"> </t>
        </is>
      </c>
      <c r="V208" s="101" t="inlineStr">
        <is>
          <t xml:space="preserve"> </t>
        </is>
      </c>
      <c r="W208" s="102" t="inlineStr">
        <is>
          <t xml:space="preserve"> </t>
        </is>
      </c>
      <c r="X208" t="inlineStr">
        <is>
          <t>No se encontró ejecución en CUIPO</t>
        </is>
      </c>
    </row>
    <row r="209">
      <c r="A209" t="inlineStr">
        <is>
          <t>IP-219</t>
        </is>
      </c>
      <c r="B209" t="inlineStr">
        <is>
          <t>24</t>
        </is>
      </c>
      <c r="C209" t="inlineStr">
        <is>
          <t>Transporte</t>
        </is>
      </c>
      <c r="D209" t="inlineStr">
        <is>
          <t>2402</t>
        </is>
      </c>
      <c r="E209" t="inlineStr">
        <is>
          <t>Infraestructura red vial regional</t>
        </is>
      </c>
      <c r="F209" t="inlineStr">
        <is>
          <t>2402110</t>
        </is>
      </c>
      <c r="G209" t="inlineStr">
        <is>
          <t>Terminales de transporte construidas</t>
        </is>
      </c>
      <c r="H209" t="inlineStr">
        <is>
          <t/>
        </is>
      </c>
      <c r="I209" t="inlineStr">
        <is>
          <t/>
        </is>
      </c>
      <c r="J209" s="99">
        <v>0</v>
      </c>
      <c r="K209" s="99">
        <v>0</v>
      </c>
      <c r="L209" s="99">
        <v>0</v>
      </c>
      <c r="M209" s="99">
        <v>0</v>
      </c>
      <c r="N209" s="99">
        <v>0</v>
      </c>
      <c r="O209" s="99" t="inlineStr">
        <is>
          <t xml:space="preserve"> </t>
        </is>
      </c>
      <c r="P209" s="99" t="inlineStr">
        <is>
          <t xml:space="preserve"> </t>
        </is>
      </c>
      <c r="Q209" s="99" t="inlineStr">
        <is>
          <t xml:space="preserve"> </t>
        </is>
      </c>
      <c r="R209" s="100" t="inlineStr">
        <is>
          <t xml:space="preserve"> </t>
        </is>
      </c>
      <c r="S209" t="inlineStr">
        <is>
          <t>Por falta de código BPIN, no se encontró ejecución en CUIPO</t>
        </is>
      </c>
      <c r="T209" s="101" t="inlineStr">
        <is>
          <t xml:space="preserve"> </t>
        </is>
      </c>
      <c r="U209" s="101" t="inlineStr">
        <is>
          <t xml:space="preserve"> </t>
        </is>
      </c>
      <c r="V209" s="101" t="inlineStr">
        <is>
          <t xml:space="preserve"> </t>
        </is>
      </c>
      <c r="W209" s="102" t="inlineStr">
        <is>
          <t xml:space="preserve"> </t>
        </is>
      </c>
      <c r="X209" t="inlineStr">
        <is>
          <t>Por falta de código BPIN, no se encontró ejecución en CUIPO</t>
        </is>
      </c>
    </row>
    <row r="210">
      <c r="A210" t="inlineStr">
        <is>
          <t>IP-220</t>
        </is>
      </c>
      <c r="B210" t="inlineStr">
        <is>
          <t>45</t>
        </is>
      </c>
      <c r="C210" t="inlineStr">
        <is>
          <t>Gobierno Territorial</t>
        </is>
      </c>
      <c r="D210" t="inlineStr">
        <is>
          <t>4503</t>
        </is>
      </c>
      <c r="E210" t="inlineStr">
        <is>
          <t>Gestión del riesgo de desastres y emergencias</t>
        </is>
      </c>
      <c r="F210" t="inlineStr">
        <is>
          <t>4503004</t>
        </is>
      </c>
      <c r="G210" t="inlineStr">
        <is>
          <t>Servicio de atención a emergencias y desastres</t>
        </is>
      </c>
      <c r="H210" t="inlineStr">
        <is>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is>
      </c>
      <c r="I210" t="inlineStr">
        <is>
          <t>202400000007122</t>
        </is>
      </c>
      <c r="J210" s="99">
        <v>9176147705.84</v>
      </c>
      <c r="K210" s="99">
        <v>1065759613.84</v>
      </c>
      <c r="L210" s="99">
        <v>2924971857</v>
      </c>
      <c r="M210" s="99">
        <v>2587419235</v>
      </c>
      <c r="N210" s="99">
        <v>2597997000</v>
      </c>
      <c r="O210" s="99" t="inlineStr">
        <is>
          <t xml:space="preserve"> </t>
        </is>
      </c>
      <c r="P210" s="99" t="inlineStr">
        <is>
          <t xml:space="preserve"> </t>
        </is>
      </c>
      <c r="Q210" s="99" t="inlineStr">
        <is>
          <t xml:space="preserve"> </t>
        </is>
      </c>
      <c r="R210" s="100" t="inlineStr">
        <is>
          <t xml:space="preserve"> </t>
        </is>
      </c>
      <c r="S210" t="inlineStr">
        <is>
          <t>No se encontró ejecución en CUIPO</t>
        </is>
      </c>
      <c r="T210" s="101">
        <v>1885928636</v>
      </c>
      <c r="U210" s="101">
        <v>546798710</v>
      </c>
      <c r="V210" s="101">
        <v>546798710</v>
      </c>
      <c r="W210" s="102">
        <v>0.186941528579637</v>
      </c>
      <c r="X210" t="inlineStr">
        <is>
          <t>Lo obligado está por debajo de lo programado en la vigencia</t>
        </is>
      </c>
    </row>
    <row r="211">
      <c r="A211" t="inlineStr">
        <is>
          <t>IP-221</t>
        </is>
      </c>
      <c r="B211" t="inlineStr">
        <is>
          <t>43</t>
        </is>
      </c>
      <c r="C211" t="inlineStr">
        <is>
          <t>Deporte y Recreación</t>
        </is>
      </c>
      <c r="D211" t="inlineStr">
        <is>
          <t>4301</t>
        </is>
      </c>
      <c r="E211" t="inlineStr">
        <is>
          <t>Fomento a la recreación, la actividad física y el deporte para desarrollar entornos de convivencia y paz</t>
        </is>
      </c>
      <c r="F211" t="inlineStr">
        <is>
          <t>4301003</t>
        </is>
      </c>
      <c r="G211" t="inlineStr">
        <is>
          <t>Servicio de administración de la infraestructura deportiva</t>
        </is>
      </c>
      <c r="H211" t="inlineStr">
        <is>
          <t>Corresponde al acceso y uso de la infraestructura deportiva para garantizar su operación por parte de las Entidades Territoriales. Implica la sostenibilidad del escenario entregado (servicios públicos, seguridad de los escenarios, garantías de la funcionalidad de la implementación deportiva necesaria para la práctica de la actividad física y  vías de acceso).</t>
        </is>
      </c>
      <c r="I211" t="inlineStr">
        <is>
          <t>2024258170020</t>
        </is>
      </c>
      <c r="J211" s="99">
        <v>3867017118</v>
      </c>
      <c r="K211" s="99">
        <v>767017118</v>
      </c>
      <c r="L211" s="99">
        <v>900000000</v>
      </c>
      <c r="M211" s="99">
        <v>1050000000</v>
      </c>
      <c r="N211" s="99">
        <v>1150000000</v>
      </c>
      <c r="O211" s="99" t="inlineStr">
        <is>
          <t xml:space="preserve"> </t>
        </is>
      </c>
      <c r="P211" s="99" t="inlineStr">
        <is>
          <t xml:space="preserve"> </t>
        </is>
      </c>
      <c r="Q211" s="99" t="inlineStr">
        <is>
          <t xml:space="preserve"> </t>
        </is>
      </c>
      <c r="R211" s="100" t="inlineStr">
        <is>
          <t xml:space="preserve"> </t>
        </is>
      </c>
      <c r="S211" t="inlineStr">
        <is>
          <t>No se encontró ejecución en CUIPO</t>
        </is>
      </c>
      <c r="T211" s="101">
        <v>669982882</v>
      </c>
      <c r="U211" s="101">
        <v>383303668</v>
      </c>
      <c r="V211" s="101">
        <v>383303668</v>
      </c>
      <c r="W211" s="102">
        <v>0.425892964444444</v>
      </c>
      <c r="X211" t="inlineStr">
        <is>
          <t>Lo obligado está por debajo de lo programado en la vigencia</t>
        </is>
      </c>
    </row>
    <row r="212">
      <c r="A212" t="inlineStr">
        <is>
          <t>IP-222</t>
        </is>
      </c>
      <c r="B212" t="inlineStr">
        <is>
          <t>35</t>
        </is>
      </c>
      <c r="C212" t="inlineStr">
        <is>
          <t>Comercio, industria y turismo</t>
        </is>
      </c>
      <c r="D212" t="inlineStr">
        <is>
          <t>3502</t>
        </is>
      </c>
      <c r="E212" t="inlineStr">
        <is>
          <t>Productividad y competitividad de las empresas colombianas</t>
        </is>
      </c>
      <c r="F212" t="inlineStr">
        <is>
          <t>3502015</t>
        </is>
      </c>
      <c r="G212" t="inlineStr">
        <is>
          <t>Servicio para la formalización empresarial y de productos y/o Servicio</t>
        </is>
      </c>
      <c r="H212" t="inlineStr">
        <is>
          <t>Promoción de la cultura de la formalidad, entendida más allá de la obligación de  registro,  como  un medio de  inclusión económica, ambiental y social de las empresas en los mercados.</t>
        </is>
      </c>
      <c r="I212" t="inlineStr">
        <is>
          <t>202400000006193</t>
        </is>
      </c>
      <c r="J212" s="99">
        <v>250000000</v>
      </c>
      <c r="K212" s="99">
        <v>62500000</v>
      </c>
      <c r="L212" s="99">
        <v>62500000</v>
      </c>
      <c r="M212" s="99">
        <v>62500000</v>
      </c>
      <c r="N212" s="99">
        <v>62500000</v>
      </c>
      <c r="O212" s="99" t="inlineStr">
        <is>
          <t xml:space="preserve"> </t>
        </is>
      </c>
      <c r="P212" s="99" t="inlineStr">
        <is>
          <t xml:space="preserve"> </t>
        </is>
      </c>
      <c r="Q212" s="99" t="inlineStr">
        <is>
          <t xml:space="preserve"> </t>
        </is>
      </c>
      <c r="R212" s="100" t="inlineStr">
        <is>
          <t xml:space="preserve"> </t>
        </is>
      </c>
      <c r="S212" t="inlineStr">
        <is>
          <t>No se encontró ejecución en CUIPO</t>
        </is>
      </c>
      <c r="T212" s="101" t="inlineStr">
        <is>
          <t xml:space="preserve"> </t>
        </is>
      </c>
      <c r="U212" s="101" t="inlineStr">
        <is>
          <t xml:space="preserve"> </t>
        </is>
      </c>
      <c r="V212" s="101" t="inlineStr">
        <is>
          <t xml:space="preserve"> </t>
        </is>
      </c>
      <c r="W212" s="102" t="inlineStr">
        <is>
          <t xml:space="preserve"> </t>
        </is>
      </c>
      <c r="X212" t="inlineStr">
        <is>
          <t>No se encontró ejecución en CUIPO</t>
        </is>
      </c>
    </row>
    <row r="213">
      <c r="A213" t="inlineStr">
        <is>
          <t>IP-223</t>
        </is>
      </c>
      <c r="B213" t="inlineStr">
        <is>
          <t>24</t>
        </is>
      </c>
      <c r="C213" t="inlineStr">
        <is>
          <t>Transporte</t>
        </is>
      </c>
      <c r="D213" t="inlineStr">
        <is>
          <t>2402</t>
        </is>
      </c>
      <c r="E213" t="inlineStr">
        <is>
          <t>Infraestructura red vial regional</t>
        </is>
      </c>
      <c r="F213" t="inlineStr">
        <is>
          <t>2402125</t>
        </is>
      </c>
      <c r="G213" t="inlineStr">
        <is>
          <t>Banco de maquinaria dotado</t>
        </is>
      </c>
      <c r="H213" t="inlineStr">
        <is>
          <t>Incluye la disposición de maquinaria y equipos requeridos para las intervenciones viales en miras a construir, mejorar, rehabilitar o mantener.</t>
        </is>
      </c>
      <c r="I213" t="inlineStr">
        <is>
          <t>202400000006693</t>
        </is>
      </c>
      <c r="J213" s="99">
        <v>450000000</v>
      </c>
      <c r="K213" s="99">
        <v>450000000</v>
      </c>
      <c r="L213" s="99">
        <v>0</v>
      </c>
      <c r="M213" s="99">
        <v>0</v>
      </c>
      <c r="N213" s="99">
        <v>0</v>
      </c>
      <c r="O213" s="99" t="inlineStr">
        <is>
          <t xml:space="preserve"> </t>
        </is>
      </c>
      <c r="P213" s="99" t="inlineStr">
        <is>
          <t xml:space="preserve"> </t>
        </is>
      </c>
      <c r="Q213" s="99" t="inlineStr">
        <is>
          <t xml:space="preserve"> </t>
        </is>
      </c>
      <c r="R213" s="100" t="inlineStr">
        <is>
          <t xml:space="preserve"> </t>
        </is>
      </c>
      <c r="S213" t="inlineStr">
        <is>
          <t>No se encontró ejecución en CUIPO</t>
        </is>
      </c>
      <c r="T213" s="101" t="inlineStr">
        <is>
          <t xml:space="preserve"> </t>
        </is>
      </c>
      <c r="U213" s="101" t="inlineStr">
        <is>
          <t xml:space="preserve"> </t>
        </is>
      </c>
      <c r="V213" s="101" t="inlineStr">
        <is>
          <t xml:space="preserve"> </t>
        </is>
      </c>
      <c r="W213" s="102" t="inlineStr">
        <is>
          <t xml:space="preserve"> </t>
        </is>
      </c>
      <c r="X213" t="inlineStr">
        <is>
          <t>No se encontró ejecución en CUIPO</t>
        </is>
      </c>
    </row>
    <row r="214">
      <c r="A214" t="inlineStr">
        <is>
          <t>IP-224</t>
        </is>
      </c>
      <c r="B214" t="inlineStr">
        <is>
          <t>32</t>
        </is>
      </c>
      <c r="C214" t="inlineStr">
        <is>
          <t>Ambiente y desarrollo sostenible</t>
        </is>
      </c>
      <c r="D214" t="inlineStr">
        <is>
          <t>3202</t>
        </is>
      </c>
      <c r="E214" t="inlineStr">
        <is>
          <t>Conservación de la biodiversidad y sus servicios ecosistémicos</t>
        </is>
      </c>
      <c r="F214" t="inlineStr">
        <is>
          <t>3202043</t>
        </is>
      </c>
      <c r="G214" t="inlineStr">
        <is>
          <t>Servicio apoyo financiero para la implementación de esquemas de pago por Servicio ambientales</t>
        </is>
      </c>
      <c r="H214" t="inlineStr">
        <is>
          <t>Incluye el diseño y entrega de instrumentos económicos para dar incentivos a los usuarios del suelo, de manera que continúen ofreciendo un servicio ambiental (ecológico) que beneficia a la sociedad como un todo.</t>
        </is>
      </c>
      <c r="I214" t="inlineStr">
        <is>
          <t>2024258170026</t>
        </is>
      </c>
      <c r="J214" s="99">
        <v>624816227.91</v>
      </c>
      <c r="K214" s="99">
        <v>100000000</v>
      </c>
      <c r="L214" s="99">
        <v>324816227.91</v>
      </c>
      <c r="M214" s="99">
        <v>100000000</v>
      </c>
      <c r="N214" s="99">
        <v>100000000</v>
      </c>
      <c r="O214" s="99" t="inlineStr">
        <is>
          <t xml:space="preserve"> </t>
        </is>
      </c>
      <c r="P214" s="99" t="inlineStr">
        <is>
          <t xml:space="preserve"> </t>
        </is>
      </c>
      <c r="Q214" s="99" t="inlineStr">
        <is>
          <t xml:space="preserve"> </t>
        </is>
      </c>
      <c r="R214" s="100" t="inlineStr">
        <is>
          <t xml:space="preserve"> </t>
        </is>
      </c>
      <c r="S214" t="inlineStr">
        <is>
          <t>No se encontró ejecución en CUIPO</t>
        </is>
      </c>
      <c r="T214" s="101">
        <v>23200000</v>
      </c>
      <c r="U214" s="101">
        <v>14500000</v>
      </c>
      <c r="V214" s="101">
        <v>11600000</v>
      </c>
      <c r="W214" s="102">
        <v>0.0446406267731724</v>
      </c>
      <c r="X214" t="inlineStr">
        <is>
          <t>Lo obligado está por debajo de lo programado en la vigencia</t>
        </is>
      </c>
    </row>
    <row r="215">
      <c r="A215" t="inlineStr">
        <is>
          <t>IP-225</t>
        </is>
      </c>
      <c r="B215" t="inlineStr">
        <is>
          <t>41</t>
        </is>
      </c>
      <c r="C215" t="inlineStr">
        <is>
          <t xml:space="preserve">Inclusión social y reconciliación </t>
        </is>
      </c>
      <c r="D215" t="inlineStr">
        <is>
          <t>4104</t>
        </is>
      </c>
      <c r="E215" t="inlineStr">
        <is>
          <t>Atención integral de población en situación permanente de desprotección social y/o familiar</t>
        </is>
      </c>
      <c r="F215" t="inlineStr">
        <is>
          <t>4104002</t>
        </is>
      </c>
      <c r="G215" t="inlineStr">
        <is>
          <t>Centros de protección social para el adulto mayor adecuados</t>
        </is>
      </c>
      <c r="H215" t="inlineStr">
        <is>
          <t>Corresponde a la adecuación de infraestructura destinada al ofrecimiento de servicios de hospedaje, bienestar social y cuidado integral de manera permanente o temporal a los adultos mayores en condicionesde descuido, abandono o víctimas de violencia intrafamiliar.</t>
        </is>
      </c>
      <c r="I215" t="inlineStr">
        <is>
          <t>202500000003385</t>
        </is>
      </c>
      <c r="J215" s="99">
        <v>5485428169.4</v>
      </c>
      <c r="K215" s="99">
        <v>615631487.4</v>
      </c>
      <c r="L215" s="99">
        <v>2015907506</v>
      </c>
      <c r="M215" s="99">
        <v>1405856737</v>
      </c>
      <c r="N215" s="99">
        <v>1448032439</v>
      </c>
      <c r="O215" s="99" t="inlineStr">
        <is>
          <t xml:space="preserve"> </t>
        </is>
      </c>
      <c r="P215" s="99" t="inlineStr">
        <is>
          <t xml:space="preserve"> </t>
        </is>
      </c>
      <c r="Q215" s="99" t="inlineStr">
        <is>
          <t xml:space="preserve"> </t>
        </is>
      </c>
      <c r="R215" s="100" t="inlineStr">
        <is>
          <t xml:space="preserve"> </t>
        </is>
      </c>
      <c r="S215" t="inlineStr">
        <is>
          <t>No se encontró ejecución en CUIPO</t>
        </is>
      </c>
      <c r="T215" s="101" t="inlineStr">
        <is>
          <t xml:space="preserve"> </t>
        </is>
      </c>
      <c r="U215" s="101" t="inlineStr">
        <is>
          <t xml:space="preserve"> </t>
        </is>
      </c>
      <c r="V215" s="101" t="inlineStr">
        <is>
          <t xml:space="preserve"> </t>
        </is>
      </c>
      <c r="W215" s="102" t="inlineStr">
        <is>
          <t xml:space="preserve"> </t>
        </is>
      </c>
      <c r="X215" t="inlineStr">
        <is>
          <t>No se encontró ejecución en CUIPO</t>
        </is>
      </c>
    </row>
    <row r="216">
      <c r="A216" t="inlineStr">
        <is>
          <t>IP-226</t>
        </is>
      </c>
      <c r="B216" t="inlineStr">
        <is>
          <t>40</t>
        </is>
      </c>
      <c r="C216" t="inlineStr">
        <is>
          <t>Vivienda, ciudad y territorio</t>
        </is>
      </c>
      <c r="D216" t="inlineStr">
        <is>
          <t>4003</t>
        </is>
      </c>
      <c r="E216" t="inlineStr">
        <is>
          <t>Acceso de la población a los servicios de agua potable y saneamiento básico</t>
        </is>
      </c>
      <c r="F216" t="inlineStr">
        <is>
          <t>4003022</t>
        </is>
      </c>
      <c r="G216" t="inlineStr">
        <is>
          <t>Servicios de implementación del Plan de Gestión Integral de Residuos Solidos PGIRS</t>
        </is>
      </c>
      <c r="H216" t="inlineStr">
        <is>
          <t>Contempla acciones realizadas para implementar el Plan de Gestión Integral de Residuos Solidos </t>
        </is>
      </c>
      <c r="I216" t="inlineStr">
        <is>
          <t>202400000006697</t>
        </is>
      </c>
      <c r="J216" s="99">
        <v>1588661372.71</v>
      </c>
      <c r="K216" s="99">
        <v>518661372.71</v>
      </c>
      <c r="L216" s="99">
        <v>820000000</v>
      </c>
      <c r="M216" s="99">
        <v>150000000</v>
      </c>
      <c r="N216" s="99">
        <v>100000000</v>
      </c>
      <c r="O216" s="99" t="inlineStr">
        <is>
          <t xml:space="preserve"> </t>
        </is>
      </c>
      <c r="P216" s="99" t="inlineStr">
        <is>
          <t xml:space="preserve"> </t>
        </is>
      </c>
      <c r="Q216" s="99" t="inlineStr">
        <is>
          <t xml:space="preserve"> </t>
        </is>
      </c>
      <c r="R216" s="100" t="inlineStr">
        <is>
          <t xml:space="preserve"> </t>
        </is>
      </c>
      <c r="S216" t="inlineStr">
        <is>
          <t>No se encontró ejecución en CUIPO</t>
        </is>
      </c>
      <c r="T216" s="101">
        <v>54773779</v>
      </c>
      <c r="U216" s="101">
        <v>9411764</v>
      </c>
      <c r="V216" s="101">
        <v>9411764</v>
      </c>
      <c r="W216" s="102">
        <v>0.0114777609756098</v>
      </c>
      <c r="X216" t="inlineStr">
        <is>
          <t>Lo obligado está por debajo de lo programado en la vigencia</t>
        </is>
      </c>
    </row>
    <row r="217">
      <c r="A217" t="inlineStr">
        <is>
          <t>IP-227</t>
        </is>
      </c>
      <c r="B217" t="inlineStr">
        <is>
          <t>32</t>
        </is>
      </c>
      <c r="C217" t="inlineStr">
        <is>
          <t>Ambiente y desarrollo sostenible</t>
        </is>
      </c>
      <c r="D217" t="inlineStr">
        <is>
          <t>3202</t>
        </is>
      </c>
      <c r="E217" t="inlineStr">
        <is>
          <t>Conservación de la biodiversidad y sus servicios ecosistémicos</t>
        </is>
      </c>
      <c r="F217" t="inlineStr">
        <is>
          <t>3202057</t>
        </is>
      </c>
      <c r="G217" t="inlineStr">
        <is>
          <t>Servicio de asistencia técnica</t>
        </is>
      </c>
      <c r="H217" t="inlineStr">
        <is>
          <t>Corresponde al acompañamiento, asesoría y seguimiento técnico para la transferencia de herramientas de gestión y conocimiento a entidades nacionales y territoriales, o a grupos de valor, en procedimientos y trámites institucionales de competencia de la entidad.</t>
        </is>
      </c>
      <c r="I217" t="inlineStr">
        <is>
          <t>2024258170026</t>
        </is>
      </c>
      <c r="J217" s="99">
        <v>89000000</v>
      </c>
      <c r="K217" s="99">
        <v>12000000</v>
      </c>
      <c r="L217" s="99">
        <v>37000000</v>
      </c>
      <c r="M217" s="99">
        <v>20000000</v>
      </c>
      <c r="N217" s="99">
        <v>20000000</v>
      </c>
      <c r="O217" s="99" t="inlineStr">
        <is>
          <t xml:space="preserve"> </t>
        </is>
      </c>
      <c r="P217" s="99" t="inlineStr">
        <is>
          <t xml:space="preserve"> </t>
        </is>
      </c>
      <c r="Q217" s="99" t="inlineStr">
        <is>
          <t xml:space="preserve"> </t>
        </is>
      </c>
      <c r="R217" s="100" t="inlineStr">
        <is>
          <t xml:space="preserve"> </t>
        </is>
      </c>
      <c r="S217" t="inlineStr">
        <is>
          <t>No se encontró ejecución en CUIPO</t>
        </is>
      </c>
      <c r="T217" s="101" t="inlineStr">
        <is>
          <t xml:space="preserve"> </t>
        </is>
      </c>
      <c r="U217" s="101" t="inlineStr">
        <is>
          <t xml:space="preserve"> </t>
        </is>
      </c>
      <c r="V217" s="101" t="inlineStr">
        <is>
          <t xml:space="preserve"> </t>
        </is>
      </c>
      <c r="W217" s="102" t="inlineStr">
        <is>
          <t xml:space="preserve"> </t>
        </is>
      </c>
      <c r="X217" t="inlineStr">
        <is>
          <t>No se encontró ejecución en CUIPO</t>
        </is>
      </c>
    </row>
    <row r="218">
      <c r="A218" t="inlineStr">
        <is>
          <t>IP-228</t>
        </is>
      </c>
      <c r="B218" t="inlineStr">
        <is>
          <t>41</t>
        </is>
      </c>
      <c r="C218" t="inlineStr">
        <is>
          <t xml:space="preserve">Inclusión social y reconciliación </t>
        </is>
      </c>
      <c r="D218" t="inlineStr">
        <is>
          <t>4101</t>
        </is>
      </c>
      <c r="E218" t="inlineStr">
        <is>
          <t>Atención, asistencia y reparación integral a las víctimas</t>
        </is>
      </c>
      <c r="F218" t="inlineStr">
        <is>
          <t>4101025</t>
        </is>
      </c>
      <c r="G218" t="inlineStr">
        <is>
          <t>Servicio de ayuda y atención humanitaria</t>
        </is>
      </c>
      <c r="H218" t="inlineStr">
        <is>
          <t>Mediante los cuales se entrega ayuda y atención humanitaria a las víctimas del conflicto armado. La ayuda humanitaria se entrega a las víctimas de otros hechos diferentes al desplazamiento forzado y la atención humanitaria a víctimas de desplazamiento forzado.</t>
        </is>
      </c>
      <c r="I218" t="inlineStr">
        <is>
          <t>202400000006511</t>
        </is>
      </c>
      <c r="J218" s="99">
        <v>44000000</v>
      </c>
      <c r="K218" s="99">
        <v>8000000</v>
      </c>
      <c r="L218" s="99">
        <v>10000000</v>
      </c>
      <c r="M218" s="99">
        <v>12000000</v>
      </c>
      <c r="N218" s="99">
        <v>14000000</v>
      </c>
      <c r="O218" s="99" t="inlineStr">
        <is>
          <t xml:space="preserve"> </t>
        </is>
      </c>
      <c r="P218" s="99" t="inlineStr">
        <is>
          <t xml:space="preserve"> </t>
        </is>
      </c>
      <c r="Q218" s="99" t="inlineStr">
        <is>
          <t xml:space="preserve"> </t>
        </is>
      </c>
      <c r="R218" s="100" t="inlineStr">
        <is>
          <t xml:space="preserve"> </t>
        </is>
      </c>
      <c r="S218" t="inlineStr">
        <is>
          <t>No se encontró ejecución en CUIPO</t>
        </is>
      </c>
      <c r="T218" s="101" t="inlineStr">
        <is>
          <t xml:space="preserve"> </t>
        </is>
      </c>
      <c r="U218" s="101" t="inlineStr">
        <is>
          <t xml:space="preserve"> </t>
        </is>
      </c>
      <c r="V218" s="101" t="inlineStr">
        <is>
          <t xml:space="preserve"> </t>
        </is>
      </c>
      <c r="W218" s="102" t="inlineStr">
        <is>
          <t xml:space="preserve"> </t>
        </is>
      </c>
      <c r="X218" t="inlineStr">
        <is>
          <t>No se encontró ejecución en CUIPO</t>
        </is>
      </c>
    </row>
    <row r="219">
      <c r="A219" t="inlineStr">
        <is>
          <t>IP-229</t>
        </is>
      </c>
      <c r="B219" t="inlineStr">
        <is>
          <t>45</t>
        </is>
      </c>
      <c r="C219" t="inlineStr">
        <is>
          <t>Gobierno Territorial</t>
        </is>
      </c>
      <c r="D219" t="inlineStr">
        <is>
          <t>4501</t>
        </is>
      </c>
      <c r="E219" t="inlineStr">
        <is>
          <t>Fortalecimiento de la convivencia y la seguridad ciudadana</t>
        </is>
      </c>
      <c r="F219" t="inlineStr">
        <is>
          <t>4501082</t>
        </is>
      </c>
      <c r="G219" t="inlineStr">
        <is>
          <t>Servicio de apoyo para la atención especializada e interdisciplinaria en las comisarias de familia</t>
        </is>
      </c>
      <c r="H219" t="inlineStr">
        <is>
          <t>Recursos para garantizar la atención de las comisarías de familia a aquellas personas que han sido victimas de violencia en el contexto familiar según lo establecido en la normatividad vigente.</t>
        </is>
      </c>
      <c r="I219" t="inlineStr">
        <is>
          <t>2024258170021</t>
        </is>
      </c>
      <c r="J219" s="99">
        <v>1976644311</v>
      </c>
      <c r="K219" s="99">
        <v>220376093</v>
      </c>
      <c r="L219" s="99">
        <v>742893218</v>
      </c>
      <c r="M219" s="99">
        <v>487500000</v>
      </c>
      <c r="N219" s="99">
        <v>525875000</v>
      </c>
      <c r="O219" s="99" t="inlineStr">
        <is>
          <t xml:space="preserve"> </t>
        </is>
      </c>
      <c r="P219" s="99" t="inlineStr">
        <is>
          <t xml:space="preserve"> </t>
        </is>
      </c>
      <c r="Q219" s="99" t="inlineStr">
        <is>
          <t xml:space="preserve"> </t>
        </is>
      </c>
      <c r="R219" s="100" t="inlineStr">
        <is>
          <t xml:space="preserve"> </t>
        </is>
      </c>
      <c r="S219" t="inlineStr">
        <is>
          <t>No se encontró ejecución en CUIPO</t>
        </is>
      </c>
      <c r="T219" s="101">
        <v>346166665</v>
      </c>
      <c r="U219" s="101">
        <v>212000000</v>
      </c>
      <c r="V219" s="101">
        <v>212000000</v>
      </c>
      <c r="W219" s="102">
        <v>0.285370757012349</v>
      </c>
      <c r="X219" t="inlineStr">
        <is>
          <t>Lo obligado está por debajo de lo programado en la vigencia</t>
        </is>
      </c>
    </row>
    <row r="220">
      <c r="A220" t="inlineStr">
        <is>
          <t>IP-230</t>
        </is>
      </c>
      <c r="B220" t="inlineStr">
        <is>
          <t>32</t>
        </is>
      </c>
      <c r="C220" t="inlineStr">
        <is>
          <t>Ambiente y desarrollo sostenible</t>
        </is>
      </c>
      <c r="D220" t="inlineStr">
        <is>
          <t>3206</t>
        </is>
      </c>
      <c r="E220" t="inlineStr">
        <is>
          <t>Gestión del cambio climático para un desarrollo bajo en carbono y resiliente al clima</t>
        </is>
      </c>
      <c r="F220" t="inlineStr">
        <is>
          <t>3206005</t>
        </is>
      </c>
      <c r="G220" t="inlineStr">
        <is>
          <t>Servicio de divulgación de la información en gestión del cambio climático para un desarrollo bajo en carbono y resiliente al clima</t>
        </is>
      </c>
      <c r="H220" t="inlineStr">
        <is>
          <t>Acciones orientadas a difundir la información en gestión del cambio climático para un desarrollo bajo en carbono y resiliente al clima</t>
        </is>
      </c>
      <c r="I220" t="inlineStr">
        <is>
          <t>2024258170047</t>
        </is>
      </c>
      <c r="J220" s="99">
        <v>110000000</v>
      </c>
      <c r="K220" s="99">
        <v>20000000</v>
      </c>
      <c r="L220" s="99">
        <v>50000000</v>
      </c>
      <c r="M220" s="99">
        <v>20000000</v>
      </c>
      <c r="N220" s="99">
        <v>20000000</v>
      </c>
      <c r="O220" s="99" t="inlineStr">
        <is>
          <t xml:space="preserve"> </t>
        </is>
      </c>
      <c r="P220" s="99" t="inlineStr">
        <is>
          <t xml:space="preserve"> </t>
        </is>
      </c>
      <c r="Q220" s="99" t="inlineStr">
        <is>
          <t xml:space="preserve"> </t>
        </is>
      </c>
      <c r="R220" s="100" t="inlineStr">
        <is>
          <t xml:space="preserve"> </t>
        </is>
      </c>
      <c r="S220" t="inlineStr">
        <is>
          <t>No se encontró ejecución en CUIPO</t>
        </is>
      </c>
      <c r="T220" s="101">
        <v>10000000</v>
      </c>
      <c r="U220" s="101">
        <v>6720000</v>
      </c>
      <c r="V220" s="101">
        <v>6720000</v>
      </c>
      <c r="W220" s="102">
        <v>0.1344</v>
      </c>
      <c r="X220" t="inlineStr">
        <is>
          <t>Lo obligado está por debajo de lo programado en la vigencia</t>
        </is>
      </c>
    </row>
    <row r="221">
      <c r="A221" t="inlineStr">
        <is>
          <t>IP-231</t>
        </is>
      </c>
      <c r="B221" t="inlineStr">
        <is>
          <t>41</t>
        </is>
      </c>
      <c r="C221" t="inlineStr">
        <is>
          <t xml:space="preserve">Inclusión social y reconciliación </t>
        </is>
      </c>
      <c r="D221" t="inlineStr">
        <is>
          <t>4103</t>
        </is>
      </c>
      <c r="E221" t="inlineStr">
        <is>
          <t>Inclusión social y productiva para la población en situación de vulnerabilidad</t>
        </is>
      </c>
      <c r="F221" t="inlineStr">
        <is>
          <t>4103069</t>
        </is>
      </c>
      <c r="G221" t="inlineStr">
        <is>
          <t>Servicio de información implementado</t>
        </is>
      </c>
      <c r="H221" t="inlineStr">
        <is>
          <t>Corresponde al proceso que asegura la disposición de la información de manera accesible, confiable y oportuna.</t>
        </is>
      </c>
      <c r="I221" t="inlineStr">
        <is>
          <t>202400000006709</t>
        </is>
      </c>
      <c r="J221" s="99">
        <v>243000000</v>
      </c>
      <c r="K221" s="99">
        <v>93000000</v>
      </c>
      <c r="L221" s="99">
        <v>50000000</v>
      </c>
      <c r="M221" s="99">
        <v>50000000</v>
      </c>
      <c r="N221" s="99">
        <v>50000000</v>
      </c>
      <c r="O221" s="99" t="inlineStr">
        <is>
          <t xml:space="preserve"> </t>
        </is>
      </c>
      <c r="P221" s="99" t="inlineStr">
        <is>
          <t xml:space="preserve"> </t>
        </is>
      </c>
      <c r="Q221" s="99" t="inlineStr">
        <is>
          <t xml:space="preserve"> </t>
        </is>
      </c>
      <c r="R221" s="100" t="inlineStr">
        <is>
          <t xml:space="preserve"> </t>
        </is>
      </c>
      <c r="S221" t="inlineStr">
        <is>
          <t>No se encontró ejecución en CUIPO</t>
        </is>
      </c>
      <c r="T221" s="101" t="inlineStr">
        <is>
          <t xml:space="preserve"> </t>
        </is>
      </c>
      <c r="U221" s="101" t="inlineStr">
        <is>
          <t xml:space="preserve"> </t>
        </is>
      </c>
      <c r="V221" s="101" t="inlineStr">
        <is>
          <t xml:space="preserve"> </t>
        </is>
      </c>
      <c r="W221" s="102" t="inlineStr">
        <is>
          <t xml:space="preserve"> </t>
        </is>
      </c>
      <c r="X221" t="inlineStr">
        <is>
          <t>No se encontró ejecución en CUIPO</t>
        </is>
      </c>
    </row>
    <row r="222">
      <c r="A222" t="inlineStr">
        <is>
          <t>IP-232</t>
        </is>
      </c>
      <c r="B222" t="inlineStr">
        <is>
          <t>43</t>
        </is>
      </c>
      <c r="C222" t="inlineStr">
        <is>
          <t>Deporte y Recreación</t>
        </is>
      </c>
      <c r="D222" t="inlineStr">
        <is>
          <t>4302</t>
        </is>
      </c>
      <c r="E222" t="inlineStr">
        <is>
          <t>Formación y preparación de deportistas</t>
        </is>
      </c>
      <c r="F222" t="inlineStr">
        <is>
          <t>4302075</t>
        </is>
      </c>
      <c r="G222" t="inlineStr">
        <is>
          <t>Servicio de asistencia técnica para la promoción del deporte</t>
        </is>
      </c>
      <c r="H222" t="inlineStr">
        <is>
          <t>Corresponde al fortalecimiento de las Federaciones, Clubes y Ligas deportivas en Colombia. Incluye la capacitación y formación del recurso humano técnico, de jueces y de dirigentes deportivos.</t>
        </is>
      </c>
      <c r="I222" t="inlineStr">
        <is>
          <t>2024258170019</t>
        </is>
      </c>
      <c r="J222" s="99">
        <v>700000000</v>
      </c>
      <c r="K222" s="99">
        <v>0</v>
      </c>
      <c r="L222" s="99">
        <v>100000000</v>
      </c>
      <c r="M222" s="99">
        <v>300000000</v>
      </c>
      <c r="N222" s="99">
        <v>300000000</v>
      </c>
      <c r="O222" s="99" t="inlineStr">
        <is>
          <t xml:space="preserve"> </t>
        </is>
      </c>
      <c r="P222" s="99" t="inlineStr">
        <is>
          <t xml:space="preserve"> </t>
        </is>
      </c>
      <c r="Q222" s="99" t="inlineStr">
        <is>
          <t xml:space="preserve"> </t>
        </is>
      </c>
      <c r="R222" s="100" t="inlineStr">
        <is>
          <t xml:space="preserve"> </t>
        </is>
      </c>
      <c r="S222" t="inlineStr">
        <is>
          <t>No se encontró ejecución en CUIPO</t>
        </is>
      </c>
      <c r="T222" s="101">
        <v>80000000</v>
      </c>
      <c r="U222" s="101">
        <v>80000000</v>
      </c>
      <c r="V222" s="101">
        <v>80000000</v>
      </c>
      <c r="W222" s="102">
        <v>0.8</v>
      </c>
      <c r="X222" t="inlineStr">
        <is>
          <t>Lo obligado está por debajo de lo programado en la vigencia</t>
        </is>
      </c>
    </row>
    <row r="223">
      <c r="A223" t="inlineStr">
        <is>
          <t>IP-233</t>
        </is>
      </c>
      <c r="B223" t="inlineStr">
        <is>
          <t>45</t>
        </is>
      </c>
      <c r="C223" t="inlineStr">
        <is>
          <t>Gobierno Territorial</t>
        </is>
      </c>
      <c r="D223" t="inlineStr">
        <is>
          <t>4599</t>
        </is>
      </c>
      <c r="E223" t="inlineStr">
        <is>
          <t>Fortalecimiento a la gestión y dirección de la administración pública territorial</t>
        </is>
      </c>
      <c r="F223" t="inlineStr">
        <is>
          <t>4599025</t>
        </is>
      </c>
      <c r="G223" t="inlineStr">
        <is>
          <t>Servicios de información implementados</t>
        </is>
      </c>
      <c r="H223" t="inlineStr">
        <is>
          <t>Corresponde al proceso que asegura la disposición de la información de manera accesible, confiable y oportuna.</t>
        </is>
      </c>
      <c r="I223" t="inlineStr">
        <is>
          <t>202400000007035</t>
        </is>
      </c>
      <c r="J223" s="99">
        <v>25456162662</v>
      </c>
      <c r="K223" s="99">
        <v>8130387642</v>
      </c>
      <c r="L223" s="99">
        <v>11429079681</v>
      </c>
      <c r="M223" s="99">
        <v>2900127226</v>
      </c>
      <c r="N223" s="99">
        <v>2996568113</v>
      </c>
      <c r="O223" s="99" t="inlineStr">
        <is>
          <t xml:space="preserve"> </t>
        </is>
      </c>
      <c r="P223" s="99" t="inlineStr">
        <is>
          <t xml:space="preserve"> </t>
        </is>
      </c>
      <c r="Q223" s="99" t="inlineStr">
        <is>
          <t xml:space="preserve"> </t>
        </is>
      </c>
      <c r="R223" s="100" t="inlineStr">
        <is>
          <t xml:space="preserve"> </t>
        </is>
      </c>
      <c r="S223" t="inlineStr">
        <is>
          <t>No se encontró ejecución en CUIPO</t>
        </is>
      </c>
      <c r="T223" s="101" t="inlineStr">
        <is>
          <t xml:space="preserve"> </t>
        </is>
      </c>
      <c r="U223" s="101" t="inlineStr">
        <is>
          <t xml:space="preserve"> </t>
        </is>
      </c>
      <c r="V223" s="101" t="inlineStr">
        <is>
          <t xml:space="preserve"> </t>
        </is>
      </c>
      <c r="W223" s="102" t="inlineStr">
        <is>
          <t xml:space="preserve"> </t>
        </is>
      </c>
      <c r="X223" t="inlineStr">
        <is>
          <t>No se encontró ejecución en CUIPO</t>
        </is>
      </c>
    </row>
    <row r="224">
      <c r="A224" t="inlineStr">
        <is>
          <t>IP-234</t>
        </is>
      </c>
      <c r="B224" t="inlineStr">
        <is>
          <t>43</t>
        </is>
      </c>
      <c r="C224" t="inlineStr">
        <is>
          <t>Deporte y Recreación</t>
        </is>
      </c>
      <c r="D224" t="inlineStr">
        <is>
          <t>4301</t>
        </is>
      </c>
      <c r="E224" t="inlineStr">
        <is>
          <t>Fomento a la recreación, la actividad física y el deporte para desarrollar entornos de convivencia y paz</t>
        </is>
      </c>
      <c r="F224" t="inlineStr">
        <is>
          <t>4301004</t>
        </is>
      </c>
      <c r="G224" t="inlineStr">
        <is>
          <t>Servicio de mantenimiento a la infraestructura deportiva</t>
        </is>
      </c>
      <c r="H224" t="inlineStr">
        <is>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is>
      </c>
      <c r="I224" t="inlineStr">
        <is>
          <t>2024258170020</t>
        </is>
      </c>
      <c r="J224" s="99">
        <v>1450000000</v>
      </c>
      <c r="K224" s="99">
        <v>1000000000</v>
      </c>
      <c r="L224" s="99">
        <v>450000000</v>
      </c>
      <c r="M224" s="99">
        <v>0</v>
      </c>
      <c r="N224" s="99">
        <v>0</v>
      </c>
      <c r="O224" s="99" t="inlineStr">
        <is>
          <t xml:space="preserve"> </t>
        </is>
      </c>
      <c r="P224" s="99" t="inlineStr">
        <is>
          <t xml:space="preserve"> </t>
        </is>
      </c>
      <c r="Q224" s="99" t="inlineStr">
        <is>
          <t xml:space="preserve"> </t>
        </is>
      </c>
      <c r="R224" s="100" t="inlineStr">
        <is>
          <t xml:space="preserve"> </t>
        </is>
      </c>
      <c r="S224" t="inlineStr">
        <is>
          <t>No se encontró ejecución en CUIPO</t>
        </is>
      </c>
      <c r="T224" s="101" t="inlineStr">
        <is>
          <t xml:space="preserve"> </t>
        </is>
      </c>
      <c r="U224" s="101" t="inlineStr">
        <is>
          <t xml:space="preserve"> </t>
        </is>
      </c>
      <c r="V224" s="101" t="inlineStr">
        <is>
          <t xml:space="preserve"> </t>
        </is>
      </c>
      <c r="W224" s="102" t="inlineStr">
        <is>
          <t xml:space="preserve"> </t>
        </is>
      </c>
      <c r="X224" t="inlineStr">
        <is>
          <t>No se encontró ejecución en CUIPO</t>
        </is>
      </c>
    </row>
    <row r="225">
      <c r="A225" t="inlineStr">
        <is>
          <t>IP-235</t>
        </is>
      </c>
      <c r="B225" t="inlineStr">
        <is>
          <t>32</t>
        </is>
      </c>
      <c r="C225" t="inlineStr">
        <is>
          <t>Ambiente y desarrollo sostenible</t>
        </is>
      </c>
      <c r="D225" t="inlineStr">
        <is>
          <t>3201</t>
        </is>
      </c>
      <c r="E225" t="inlineStr">
        <is>
          <t>Fortalecimiento del desempeño ambiental de los sectores productivos</t>
        </is>
      </c>
      <c r="F225" t="inlineStr">
        <is>
          <t>3201008</t>
        </is>
      </c>
      <c r="G225" t="inlineStr">
        <is>
          <t>Servicio de vigilancia de la calidad del aire</t>
        </is>
      </c>
      <c r="H225" t="inlineStr">
        <is>
          <t xml:space="preserve">Acciones orientadas a vigilar la cálida del aire de una zona determinada. </t>
        </is>
      </c>
      <c r="I225" t="inlineStr">
        <is>
          <t>2024258170055</t>
        </is>
      </c>
      <c r="J225" s="99">
        <v>88000000</v>
      </c>
      <c r="K225" s="99">
        <v>8000000</v>
      </c>
      <c r="L225" s="99">
        <v>30000000</v>
      </c>
      <c r="M225" s="99">
        <v>25000000</v>
      </c>
      <c r="N225" s="99">
        <v>25000000</v>
      </c>
      <c r="O225" s="99" t="inlineStr">
        <is>
          <t xml:space="preserve"> </t>
        </is>
      </c>
      <c r="P225" s="99" t="inlineStr">
        <is>
          <t xml:space="preserve"> </t>
        </is>
      </c>
      <c r="Q225" s="99" t="inlineStr">
        <is>
          <t xml:space="preserve"> </t>
        </is>
      </c>
      <c r="R225" s="100" t="inlineStr">
        <is>
          <t xml:space="preserve"> </t>
        </is>
      </c>
      <c r="S225" t="inlineStr">
        <is>
          <t>No se encontró ejecución en CUIPO</t>
        </is>
      </c>
      <c r="T225" s="101">
        <v>29000000</v>
      </c>
      <c r="U225" s="101">
        <v>17500000</v>
      </c>
      <c r="V225" s="101">
        <v>17500000</v>
      </c>
      <c r="W225" s="102">
        <v>0.583333333333333</v>
      </c>
      <c r="X225" t="inlineStr">
        <is>
          <t>Lo obligado está por debajo de lo programado en la vigencia</t>
        </is>
      </c>
    </row>
    <row r="226">
      <c r="A226" t="inlineStr">
        <is>
          <t>IP-236</t>
        </is>
      </c>
      <c r="B226" t="inlineStr">
        <is>
          <t>32</t>
        </is>
      </c>
      <c r="C226" t="inlineStr">
        <is>
          <t>Ambiente y desarrollo sostenible</t>
        </is>
      </c>
      <c r="D226" t="inlineStr">
        <is>
          <t>3202</t>
        </is>
      </c>
      <c r="E226" t="inlineStr">
        <is>
          <t>Conservación de la biodiversidad y sus servicios ecosistémicos</t>
        </is>
      </c>
      <c r="F226" t="inlineStr">
        <is>
          <t>3202004</t>
        </is>
      </c>
      <c r="G226" t="inlineStr">
        <is>
          <t>Documentos de investigación para la conservación de la biodiversidad y sus servicios eco sistémicos</t>
        </is>
      </c>
      <c r="H226" t="inlineStr">
        <is>
          <t>Incluye la elaboración de documentos orientados a ampliar el conocimiento para la preservación, uso, y restauración de la biodiversidad y sus Servicio eco sistémicos.</t>
        </is>
      </c>
      <c r="I226" t="inlineStr">
        <is>
          <t>2024258170026</t>
        </is>
      </c>
      <c r="J226" s="99">
        <v>190833000</v>
      </c>
      <c r="K226" s="99">
        <v>5833000</v>
      </c>
      <c r="L226" s="99">
        <v>65000000</v>
      </c>
      <c r="M226" s="99">
        <v>60000000</v>
      </c>
      <c r="N226" s="99">
        <v>60000000</v>
      </c>
      <c r="O226" s="99" t="inlineStr">
        <is>
          <t xml:space="preserve"> </t>
        </is>
      </c>
      <c r="P226" s="99" t="inlineStr">
        <is>
          <t xml:space="preserve"> </t>
        </is>
      </c>
      <c r="Q226" s="99" t="inlineStr">
        <is>
          <t xml:space="preserve"> </t>
        </is>
      </c>
      <c r="R226" s="100" t="inlineStr">
        <is>
          <t xml:space="preserve"> </t>
        </is>
      </c>
      <c r="S226" t="inlineStr">
        <is>
          <t>No se encontró ejecución en CUIPO</t>
        </is>
      </c>
      <c r="T226" s="101">
        <v>39821160</v>
      </c>
      <c r="U226" s="101">
        <v>26988808</v>
      </c>
      <c r="V226" s="101">
        <v>26988808</v>
      </c>
      <c r="W226" s="102">
        <v>0.415212430769231</v>
      </c>
      <c r="X226" t="inlineStr">
        <is>
          <t>Lo obligado está por debajo de lo programado en la vigencia</t>
        </is>
      </c>
    </row>
    <row r="227">
      <c r="A227" t="inlineStr">
        <is>
          <t>IP-237</t>
        </is>
      </c>
      <c r="B227" t="inlineStr">
        <is>
          <t>04</t>
        </is>
      </c>
      <c r="C227" t="inlineStr">
        <is>
          <t>Información Estadística</t>
        </is>
      </c>
      <c r="D227" t="inlineStr">
        <is>
          <t>0406</t>
        </is>
      </c>
      <c r="E227" t="inlineStr">
        <is>
          <t>Generación de la información geográfica del territorio nacional</t>
        </is>
      </c>
      <c r="F227" t="inlineStr">
        <is>
          <t>0406004</t>
        </is>
      </c>
      <c r="G227" t="inlineStr">
        <is>
          <t>Servicio de información catastral actualizado</t>
        </is>
      </c>
      <c r="H227" t="inlineStr">
        <is>
          <t>Corresponde al proceso que mejora la disposición de la información catastral para garantizar el uso y acceso de los datos.</t>
        </is>
      </c>
      <c r="I227" t="inlineStr">
        <is>
          <t>2024258170010</t>
        </is>
      </c>
      <c r="J227" s="99">
        <v>3066330550</v>
      </c>
      <c r="K227" s="99">
        <v>700000000</v>
      </c>
      <c r="L227" s="99">
        <v>166330550</v>
      </c>
      <c r="M227" s="99">
        <v>2200000000</v>
      </c>
      <c r="N227" s="99">
        <v>0</v>
      </c>
      <c r="O227" s="99" t="inlineStr">
        <is>
          <t xml:space="preserve"> </t>
        </is>
      </c>
      <c r="P227" s="99" t="inlineStr">
        <is>
          <t xml:space="preserve"> </t>
        </is>
      </c>
      <c r="Q227" s="99" t="inlineStr">
        <is>
          <t xml:space="preserve"> </t>
        </is>
      </c>
      <c r="R227" s="100" t="inlineStr">
        <is>
          <t xml:space="preserve"> </t>
        </is>
      </c>
      <c r="S227" t="inlineStr">
        <is>
          <t>No se encontró ejecución en CUIPO</t>
        </is>
      </c>
      <c r="T227" s="101">
        <v>2095669450</v>
      </c>
      <c r="U227" s="101">
        <v>0</v>
      </c>
      <c r="V227" s="101">
        <v>0</v>
      </c>
      <c r="W227" s="102">
        <v>0</v>
      </c>
      <c r="X227" t="inlineStr">
        <is>
          <t>No se ejecutó en la vigencia</t>
        </is>
      </c>
    </row>
    <row r="228">
      <c r="A228" t="inlineStr">
        <is>
          <t>IP-238</t>
        </is>
      </c>
      <c r="B228" t="inlineStr">
        <is>
          <t>19</t>
        </is>
      </c>
      <c r="C228" t="inlineStr">
        <is>
          <t>Salud y protección social</t>
        </is>
      </c>
      <c r="D228" t="inlineStr">
        <is>
          <t>1905</t>
        </is>
      </c>
      <c r="E228" t="inlineStr">
        <is>
          <t>Salud pública</t>
        </is>
      </c>
      <c r="F228" t="inlineStr">
        <is>
          <t>1905014</t>
        </is>
      </c>
      <c r="G228" t="inlineStr">
        <is>
          <t>Documentos de lineamientos técnicos</t>
        </is>
      </c>
      <c r="H228" t="inlineStr">
        <is>
          <t xml:space="preserve">Documentos cuyo objetivo es describir y explicar instrumentos, estándares, requisitos y condiciones necesarias para llevar a cabo un proceso o actividad. </t>
        </is>
      </c>
      <c r="I228" t="inlineStr">
        <is>
          <t>2024258170054</t>
        </is>
      </c>
      <c r="J228" s="99">
        <v>3383739016</v>
      </c>
      <c r="K228" s="99">
        <v>1232157766</v>
      </c>
      <c r="L228" s="99">
        <v>682500000</v>
      </c>
      <c r="M228" s="99">
        <v>716625000</v>
      </c>
      <c r="N228" s="99">
        <v>752456250</v>
      </c>
      <c r="O228" s="99" t="inlineStr">
        <is>
          <t xml:space="preserve"> </t>
        </is>
      </c>
      <c r="P228" s="99" t="inlineStr">
        <is>
          <t xml:space="preserve"> </t>
        </is>
      </c>
      <c r="Q228" s="99" t="inlineStr">
        <is>
          <t xml:space="preserve"> </t>
        </is>
      </c>
      <c r="R228" s="100" t="inlineStr">
        <is>
          <t xml:space="preserve"> </t>
        </is>
      </c>
      <c r="S228" t="inlineStr">
        <is>
          <t>No se encontró ejecución en CUIPO</t>
        </is>
      </c>
      <c r="T228" s="101">
        <v>956805373</v>
      </c>
      <c r="U228" s="101">
        <v>554996004</v>
      </c>
      <c r="V228" s="101">
        <v>500598404</v>
      </c>
      <c r="W228" s="102">
        <v>0.813180958241758</v>
      </c>
      <c r="X228" t="inlineStr">
        <is>
          <t>Lo obligado está por debajo de lo programado en la vigencia</t>
        </is>
      </c>
    </row>
    <row r="229">
      <c r="A229" t="inlineStr">
        <is>
          <t>IP-239</t>
        </is>
      </c>
      <c r="B229" t="inlineStr">
        <is>
          <t>22</t>
        </is>
      </c>
      <c r="C229" t="inlineStr">
        <is>
          <t>Educación</t>
        </is>
      </c>
      <c r="D229" t="inlineStr">
        <is>
          <t>2201</t>
        </is>
      </c>
      <c r="E229" t="inlineStr">
        <is>
          <t>Calidad, cobertura y fortalecimiento de la educación inicial, prescolar, básica y media</t>
        </is>
      </c>
      <c r="F229" t="inlineStr">
        <is>
          <t>2201073</t>
        </is>
      </c>
      <c r="G229" t="inlineStr">
        <is>
          <t>Servicio de evaluación de la calidad de la educación inicial, preescolar, básica y media</t>
        </is>
      </c>
      <c r="H229" t="inlineStr">
        <is>
          <t>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estas acciones no son financiables con recursos provenientes del Sistema General de Participaciones.</t>
        </is>
      </c>
      <c r="I229" t="inlineStr">
        <is>
          <t>202400000005692</t>
        </is>
      </c>
      <c r="J229" s="99">
        <v>1392300000</v>
      </c>
      <c r="K229" s="99">
        <v>300000000</v>
      </c>
      <c r="L229" s="99">
        <v>330000000</v>
      </c>
      <c r="M229" s="99">
        <v>363000000</v>
      </c>
      <c r="N229" s="99">
        <v>399300000</v>
      </c>
      <c r="O229" s="99" t="inlineStr">
        <is>
          <t xml:space="preserve"> </t>
        </is>
      </c>
      <c r="P229" s="99" t="inlineStr">
        <is>
          <t xml:space="preserve"> </t>
        </is>
      </c>
      <c r="Q229" s="99" t="inlineStr">
        <is>
          <t xml:space="preserve"> </t>
        </is>
      </c>
      <c r="R229" s="100" t="inlineStr">
        <is>
          <t xml:space="preserve"> </t>
        </is>
      </c>
      <c r="S229" t="inlineStr">
        <is>
          <t>No se encontró ejecución en CUIPO</t>
        </is>
      </c>
      <c r="T229" s="101">
        <v>359909850</v>
      </c>
      <c r="U229" s="101">
        <v>222553039</v>
      </c>
      <c r="V229" s="101">
        <v>222553039</v>
      </c>
      <c r="W229" s="102">
        <v>0.674403148484849</v>
      </c>
      <c r="X229" t="inlineStr">
        <is>
          <t>Lo obligado está por debajo de lo programado en la vigencia</t>
        </is>
      </c>
    </row>
    <row r="230">
      <c r="A230" t="inlineStr">
        <is>
          <t>IP-240</t>
        </is>
      </c>
      <c r="B230" t="inlineStr">
        <is>
          <t>43</t>
        </is>
      </c>
      <c r="C230" t="inlineStr">
        <is>
          <t>Deporte y Recreación</t>
        </is>
      </c>
      <c r="D230" t="inlineStr">
        <is>
          <t>4301</t>
        </is>
      </c>
      <c r="E230" t="inlineStr">
        <is>
          <t>Fomento a la recreación, la actividad física y el deporte para desarrollar entornos de convivencia y paz</t>
        </is>
      </c>
      <c r="F230" t="inlineStr">
        <is>
          <t>4301037</t>
        </is>
      </c>
      <c r="G230" t="inlineStr">
        <is>
          <t>Servicio de promoción de la actividad física, la recreación y el deporte</t>
        </is>
      </c>
      <c r="H230" t="inlineStr">
        <is>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is>
      </c>
      <c r="I230" t="inlineStr">
        <is>
          <t>2024258170020</t>
        </is>
      </c>
      <c r="J230" s="99">
        <v>110000000</v>
      </c>
      <c r="K230" s="99">
        <v>110000000</v>
      </c>
      <c r="L230" s="99">
        <v>0</v>
      </c>
      <c r="M230" s="99">
        <v>0</v>
      </c>
      <c r="N230" s="99">
        <v>0</v>
      </c>
      <c r="O230" s="99" t="inlineStr">
        <is>
          <t xml:space="preserve"> </t>
        </is>
      </c>
      <c r="P230" s="99" t="inlineStr">
        <is>
          <t xml:space="preserve"> </t>
        </is>
      </c>
      <c r="Q230" s="99" t="inlineStr">
        <is>
          <t xml:space="preserve"> </t>
        </is>
      </c>
      <c r="R230" s="100" t="inlineStr">
        <is>
          <t xml:space="preserve"> </t>
        </is>
      </c>
      <c r="S230" t="inlineStr">
        <is>
          <t>No se encontró ejecución en CUIPO</t>
        </is>
      </c>
      <c r="T230" s="101">
        <v>80000000</v>
      </c>
      <c r="U230" s="101">
        <v>80000000</v>
      </c>
      <c r="V230" s="101">
        <v>80000000</v>
      </c>
      <c r="W230" s="102" t="inlineStr">
        <is>
          <t xml:space="preserve"> </t>
        </is>
      </c>
      <c r="X230" t="inlineStr">
        <is>
          <t>Se ejecutó un producto no programado en la vigencia</t>
        </is>
      </c>
    </row>
    <row r="231">
      <c r="A231" t="inlineStr">
        <is>
          <t>IP-241</t>
        </is>
      </c>
      <c r="B231" t="inlineStr">
        <is>
          <t>22</t>
        </is>
      </c>
      <c r="C231" t="inlineStr">
        <is>
          <t>Educación</t>
        </is>
      </c>
      <c r="D231" t="inlineStr">
        <is>
          <t>2201</t>
        </is>
      </c>
      <c r="E231" t="inlineStr">
        <is>
          <t>Calidad, cobertura y fortalecimiento de la educación inicial, prescolar, básica y media</t>
        </is>
      </c>
      <c r="F231" t="inlineStr">
        <is>
          <t>2201081</t>
        </is>
      </c>
      <c r="G231" t="inlineStr">
        <is>
          <t>Servicio de apoyo a la atención integral para la convivencia escolar</t>
        </is>
      </c>
      <c r="H231" t="inlineStr">
        <is>
          <t>Incluye las acciones de promoción, prevención, atención y seguimiento a situaciones que afectan la convivencia escolar y el ejercicio de los derechos humanos sexuales y reproductivos  y que apoyan los procesos y procedimientos que en la materia adelantan las sedes educativas.</t>
        </is>
      </c>
      <c r="I231" t="inlineStr">
        <is>
          <t>202400000005692</t>
        </is>
      </c>
      <c r="J231" s="99">
        <v>6665172004</v>
      </c>
      <c r="K231" s="99">
        <v>1562128454</v>
      </c>
      <c r="L231" s="99">
        <v>1541705000</v>
      </c>
      <c r="M231" s="99">
        <v>1695875500</v>
      </c>
      <c r="N231" s="99">
        <v>1865463050</v>
      </c>
      <c r="O231" s="99" t="inlineStr">
        <is>
          <t xml:space="preserve"> </t>
        </is>
      </c>
      <c r="P231" s="99" t="inlineStr">
        <is>
          <t xml:space="preserve"> </t>
        </is>
      </c>
      <c r="Q231" s="99" t="inlineStr">
        <is>
          <t xml:space="preserve"> </t>
        </is>
      </c>
      <c r="R231" s="100" t="inlineStr">
        <is>
          <t xml:space="preserve"> </t>
        </is>
      </c>
      <c r="S231" t="inlineStr">
        <is>
          <t>No se encontró ejecución en CUIPO</t>
        </is>
      </c>
      <c r="T231" s="101">
        <v>1198736525</v>
      </c>
      <c r="U231" s="101">
        <v>632729829</v>
      </c>
      <c r="V231" s="101">
        <v>630029829</v>
      </c>
      <c r="W231" s="102">
        <v>0.410409143772641</v>
      </c>
      <c r="X231" t="inlineStr">
        <is>
          <t>Lo obligado está por debajo de lo programado en la vigencia</t>
        </is>
      </c>
    </row>
    <row r="232">
      <c r="A232" t="inlineStr">
        <is>
          <t>IP-242</t>
        </is>
      </c>
      <c r="B232" t="inlineStr">
        <is>
          <t>45</t>
        </is>
      </c>
      <c r="C232" t="inlineStr">
        <is>
          <t>Gobierno Territorial</t>
        </is>
      </c>
      <c r="D232" t="inlineStr">
        <is>
          <t>4501</t>
        </is>
      </c>
      <c r="E232" t="inlineStr">
        <is>
          <t>Fortalecimiento de la convivencia y la seguridad ciudadana</t>
        </is>
      </c>
      <c r="F232" t="inlineStr">
        <is>
          <t>4501026</t>
        </is>
      </c>
      <c r="G232" t="inlineStr">
        <is>
          <t>Documentos Planeacion</t>
        </is>
      </c>
      <c r="H232" t="inlineStr">
        <is>
          <t>Documentos cuyo objetivo es plasmar una visión de futuro a anivel de entidad territorial, comunidad, sector, región, entidad o cualquier nivel de desagregación que se requiera. Incluye objetivos, estrategias, metas e indicadores.</t>
        </is>
      </c>
      <c r="I232" t="inlineStr">
        <is>
          <t>202400000007013</t>
        </is>
      </c>
      <c r="J232" s="99">
        <v>374627488</v>
      </c>
      <c r="K232" s="99">
        <v>103627488</v>
      </c>
      <c r="L232" s="99">
        <v>271000000</v>
      </c>
      <c r="M232" s="99">
        <v>0</v>
      </c>
      <c r="N232" s="99">
        <v>0</v>
      </c>
      <c r="O232" s="99" t="inlineStr">
        <is>
          <t xml:space="preserve"> </t>
        </is>
      </c>
      <c r="P232" s="99" t="inlineStr">
        <is>
          <t xml:space="preserve"> </t>
        </is>
      </c>
      <c r="Q232" s="99" t="inlineStr">
        <is>
          <t xml:space="preserve"> </t>
        </is>
      </c>
      <c r="R232" s="100" t="inlineStr">
        <is>
          <t xml:space="preserve"> </t>
        </is>
      </c>
      <c r="S232" t="inlineStr">
        <is>
          <t>No se encontró ejecución en CUIPO</t>
        </is>
      </c>
      <c r="T232" s="101">
        <v>121559763</v>
      </c>
      <c r="U232" s="101">
        <v>59682249</v>
      </c>
      <c r="V232" s="101">
        <v>59682249</v>
      </c>
      <c r="W232" s="102">
        <v>0.220229701107011</v>
      </c>
      <c r="X232" t="inlineStr">
        <is>
          <t>Lo obligado está por debajo de lo programado en la vigencia</t>
        </is>
      </c>
    </row>
    <row r="233">
      <c r="A233" t="inlineStr">
        <is>
          <t>IP-243</t>
        </is>
      </c>
      <c r="B233" t="inlineStr">
        <is>
          <t>22</t>
        </is>
      </c>
      <c r="C233" t="inlineStr">
        <is>
          <t>Educación</t>
        </is>
      </c>
      <c r="D233" t="inlineStr">
        <is>
          <t>2202</t>
        </is>
      </c>
      <c r="E233" t="inlineStr">
        <is>
          <t>Calidad y fomento de la educación superior</t>
        </is>
      </c>
      <c r="F233" t="inlineStr">
        <is>
          <t>2202011</t>
        </is>
      </c>
      <c r="G233" t="inlineStr">
        <is>
          <t>Servicio de mejoramiento de la calidad de la educación para el trabajo y el desarrollo humano</t>
        </is>
      </c>
      <c r="H233" t="inlineStr">
        <is>
          <t>Incluye las acciones de mejoramiento de los programas e instituciones en sus metodologías, métodos, currículos, alianzas, entre otros que permitan el mejoramiento de la calidad</t>
        </is>
      </c>
      <c r="I233" t="inlineStr">
        <is>
          <t>202400000005715</t>
        </is>
      </c>
      <c r="J233" s="99">
        <v>27834019551</v>
      </c>
      <c r="K233" s="99">
        <v>3415580505</v>
      </c>
      <c r="L233" s="99">
        <v>4000000000</v>
      </c>
      <c r="M233" s="99">
        <v>10351404725</v>
      </c>
      <c r="N233" s="99">
        <v>10067034321</v>
      </c>
      <c r="O233" s="99" t="inlineStr">
        <is>
          <t xml:space="preserve"> </t>
        </is>
      </c>
      <c r="P233" s="99" t="inlineStr">
        <is>
          <t xml:space="preserve"> </t>
        </is>
      </c>
      <c r="Q233" s="99" t="inlineStr">
        <is>
          <t xml:space="preserve"> </t>
        </is>
      </c>
      <c r="R233" s="100" t="inlineStr">
        <is>
          <t xml:space="preserve"> </t>
        </is>
      </c>
      <c r="S233" t="inlineStr">
        <is>
          <t>No se encontró ejecución en CUIPO</t>
        </is>
      </c>
      <c r="T233" s="101" t="inlineStr">
        <is>
          <t xml:space="preserve"> </t>
        </is>
      </c>
      <c r="U233" s="101" t="inlineStr">
        <is>
          <t xml:space="preserve"> </t>
        </is>
      </c>
      <c r="V233" s="101" t="inlineStr">
        <is>
          <t xml:space="preserve"> </t>
        </is>
      </c>
      <c r="W233" s="102" t="inlineStr">
        <is>
          <t xml:space="preserve"> </t>
        </is>
      </c>
      <c r="X233" t="inlineStr">
        <is>
          <t>No se encontró ejecución en CUIPO</t>
        </is>
      </c>
    </row>
    <row r="234">
      <c r="A234" t="inlineStr">
        <is>
          <t>IP-244</t>
        </is>
      </c>
      <c r="B234" t="inlineStr">
        <is>
          <t>41</t>
        </is>
      </c>
      <c r="C234" t="inlineStr">
        <is>
          <t xml:space="preserve">Inclusión social y reconciliación </t>
        </is>
      </c>
      <c r="D234" t="inlineStr">
        <is>
          <t>4103</t>
        </is>
      </c>
      <c r="E234" t="inlineStr">
        <is>
          <t>Inclusión social y productiva para la población en situación de vulnerabilidad</t>
        </is>
      </c>
      <c r="F234" t="inlineStr">
        <is>
          <t>4103025</t>
        </is>
      </c>
      <c r="G234" t="inlineStr">
        <is>
          <t>Centros comunitarios construidos</t>
        </is>
      </c>
      <c r="H234" t="inlineStr">
        <is>
          <t xml:space="preserve">Construcción de infraestructura dispuesta a la comunidad para que pueda desarrollar actividades culturales, sociales y de formación. </t>
        </is>
      </c>
      <c r="I234" t="inlineStr">
        <is>
          <t>202400000006486</t>
        </is>
      </c>
      <c r="J234" s="99">
        <v>377065012</v>
      </c>
      <c r="K234" s="99">
        <v>182867636</v>
      </c>
      <c r="L234" s="99">
        <v>194197376</v>
      </c>
      <c r="M234" s="99">
        <v>0</v>
      </c>
      <c r="N234" s="99">
        <v>0</v>
      </c>
      <c r="O234" s="99" t="inlineStr">
        <is>
          <t xml:space="preserve"> </t>
        </is>
      </c>
      <c r="P234" s="99" t="inlineStr">
        <is>
          <t xml:space="preserve"> </t>
        </is>
      </c>
      <c r="Q234" s="99" t="inlineStr">
        <is>
          <t xml:space="preserve"> </t>
        </is>
      </c>
      <c r="R234" s="100" t="inlineStr">
        <is>
          <t xml:space="preserve"> </t>
        </is>
      </c>
      <c r="S234" t="inlineStr">
        <is>
          <t>No se encontró ejecución en CUIPO</t>
        </is>
      </c>
      <c r="T234" s="101" t="inlineStr">
        <is>
          <t xml:space="preserve"> </t>
        </is>
      </c>
      <c r="U234" s="101" t="inlineStr">
        <is>
          <t xml:space="preserve"> </t>
        </is>
      </c>
      <c r="V234" s="101" t="inlineStr">
        <is>
          <t xml:space="preserve"> </t>
        </is>
      </c>
      <c r="W234" s="102" t="inlineStr">
        <is>
          <t xml:space="preserve"> </t>
        </is>
      </c>
      <c r="X234" t="inlineStr">
        <is>
          <t>No se encontró ejecución en CUIPO</t>
        </is>
      </c>
    </row>
    <row r="235">
      <c r="A235" t="inlineStr">
        <is>
          <t>IP-245</t>
        </is>
      </c>
      <c r="B235" t="inlineStr">
        <is>
          <t>35</t>
        </is>
      </c>
      <c r="C235" t="inlineStr">
        <is>
          <t>Comercio, industria y turismo</t>
        </is>
      </c>
      <c r="D235" t="inlineStr">
        <is>
          <t>3502</t>
        </is>
      </c>
      <c r="E235" t="inlineStr">
        <is>
          <t>Productividad y competitividad de las empresas colombianas</t>
        </is>
      </c>
      <c r="F235" t="inlineStr">
        <is>
          <t>3502047</t>
        </is>
      </c>
      <c r="G235" t="inlineStr">
        <is>
          <t>Documentos de planeación</t>
        </is>
      </c>
      <c r="H235" t="inlineStr">
        <is>
          <t>Consiste en la formulación de documentos cuyo objetivo es plasmar una visión de futuro a nivel país, entidad territorial, comunidad, sector, región, entidad o cualquier nivel de desagregación que se requiera, plasmando elementos como políticas públicas, planes objetivos, estrategias, metas e indicadores</t>
        </is>
      </c>
      <c r="I235" t="inlineStr">
        <is>
          <t>2024258170013</t>
        </is>
      </c>
      <c r="J235" s="99">
        <v>160000000</v>
      </c>
      <c r="K235" s="99">
        <v>0</v>
      </c>
      <c r="L235" s="99">
        <v>160000000</v>
      </c>
      <c r="M235" s="99">
        <v>0</v>
      </c>
      <c r="N235" s="99">
        <v>0</v>
      </c>
      <c r="O235" s="99" t="inlineStr">
        <is>
          <t xml:space="preserve"> </t>
        </is>
      </c>
      <c r="P235" s="99" t="inlineStr">
        <is>
          <t xml:space="preserve"> </t>
        </is>
      </c>
      <c r="Q235" s="99" t="inlineStr">
        <is>
          <t xml:space="preserve"> </t>
        </is>
      </c>
      <c r="R235" s="100" t="inlineStr">
        <is>
          <t xml:space="preserve"> </t>
        </is>
      </c>
      <c r="S235" t="inlineStr">
        <is>
          <t>No se encontró ejecución en CUIPO</t>
        </is>
      </c>
      <c r="T235" s="101">
        <v>8310000</v>
      </c>
      <c r="U235" s="101">
        <v>8310000</v>
      </c>
      <c r="V235" s="101">
        <v>8310000</v>
      </c>
      <c r="W235" s="102">
        <v>0.0519375</v>
      </c>
      <c r="X235" t="inlineStr">
        <is>
          <t>Lo obligado está por debajo de lo programado en la vigencia</t>
        </is>
      </c>
    </row>
    <row r="236">
      <c r="A236" t="inlineStr">
        <is>
          <t>IP-246</t>
        </is>
      </c>
      <c r="B236" t="inlineStr">
        <is>
          <t>45</t>
        </is>
      </c>
      <c r="C236" t="inlineStr">
        <is>
          <t>Gobierno Territorial</t>
        </is>
      </c>
      <c r="D236" t="inlineStr">
        <is>
          <t>4501</t>
        </is>
      </c>
      <c r="E236" t="inlineStr">
        <is>
          <t>Fortalecimiento de la convivencia y la seguridad ciudadana</t>
        </is>
      </c>
      <c r="F236" t="inlineStr">
        <is>
          <t>4501049</t>
        </is>
      </c>
      <c r="G236" t="inlineStr">
        <is>
          <t>Servicio de educación informal</t>
        </is>
      </c>
      <c r="H236" t="inlineStr">
        <is>
          <t>Corresponde al diseño y desarrollo de estrategias educativas que tienen como objetivo brindar oportunidades para apropiar, complementar, actualizar, perfeccionar, renovar o profundizar conocimientos, habilidades, técnicas y prácticas de la prevención y la participación, como herramientas para la convivencia y la seguridad ciudadana. Este conocimiento libre y espontáneo adquirido por ciudadanos, puede provenir de personas, entidades, medios de comunicación masiva, medios impresos, tradiciones, costumbres, comportamientos sociales y otros no estructurados y su duración es inferior a 160 horas</t>
        </is>
      </c>
      <c r="I236" t="inlineStr">
        <is>
          <t>2024258170018</t>
        </is>
      </c>
      <c r="J236" s="99">
        <v>473700000</v>
      </c>
      <c r="K236" s="99">
        <v>73200000</v>
      </c>
      <c r="L236" s="99">
        <v>120500000</v>
      </c>
      <c r="M236" s="99">
        <v>135000000</v>
      </c>
      <c r="N236" s="99">
        <v>145000000</v>
      </c>
      <c r="O236" s="99" t="inlineStr">
        <is>
          <t xml:space="preserve"> </t>
        </is>
      </c>
      <c r="P236" s="99" t="inlineStr">
        <is>
          <t xml:space="preserve"> </t>
        </is>
      </c>
      <c r="Q236" s="99" t="inlineStr">
        <is>
          <t xml:space="preserve"> </t>
        </is>
      </c>
      <c r="R236" s="100" t="inlineStr">
        <is>
          <t xml:space="preserve"> </t>
        </is>
      </c>
      <c r="S236" t="inlineStr">
        <is>
          <t>No se encontró ejecución en CUIPO</t>
        </is>
      </c>
      <c r="T236" s="101">
        <v>57500000</v>
      </c>
      <c r="U236" s="101">
        <v>36000000</v>
      </c>
      <c r="V236" s="101">
        <v>36000000</v>
      </c>
      <c r="W236" s="102">
        <v>0.298755186721992</v>
      </c>
      <c r="X236" t="inlineStr">
        <is>
          <t>Lo obligado está por debajo de lo programado en la vigencia</t>
        </is>
      </c>
    </row>
    <row r="237">
      <c r="A237" t="inlineStr">
        <is>
          <t>IP-247</t>
        </is>
      </c>
      <c r="B237" t="inlineStr">
        <is>
          <t>43</t>
        </is>
      </c>
      <c r="C237" t="inlineStr">
        <is>
          <t>Deporte y Recreación</t>
        </is>
      </c>
      <c r="D237" t="inlineStr">
        <is>
          <t>4301</t>
        </is>
      </c>
      <c r="E237" t="inlineStr">
        <is>
          <t>Fomento a la recreación, la actividad física y el deporte para desarrollar entornos de convivencia y paz</t>
        </is>
      </c>
      <c r="F237" t="inlineStr">
        <is>
          <t>4301004</t>
        </is>
      </c>
      <c r="G237" t="inlineStr">
        <is>
          <t>Servicio de mantenimiento a la infraestructura deportiva</t>
        </is>
      </c>
      <c r="H237" t="inlineStr">
        <is>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is>
      </c>
      <c r="I237" t="inlineStr">
        <is>
          <t>202400000005086</t>
        </is>
      </c>
      <c r="J237" s="99">
        <v>2252963817</v>
      </c>
      <c r="K237" s="99">
        <v>0</v>
      </c>
      <c r="L237" s="99">
        <v>819963817</v>
      </c>
      <c r="M237" s="99">
        <v>1033000000</v>
      </c>
      <c r="N237" s="99">
        <v>400000000</v>
      </c>
      <c r="O237" s="99" t="inlineStr">
        <is>
          <t xml:space="preserve"> </t>
        </is>
      </c>
      <c r="P237" s="99" t="inlineStr">
        <is>
          <t xml:space="preserve"> </t>
        </is>
      </c>
      <c r="Q237" s="99" t="inlineStr">
        <is>
          <t xml:space="preserve"> </t>
        </is>
      </c>
      <c r="R237" s="100" t="inlineStr">
        <is>
          <t xml:space="preserve"> </t>
        </is>
      </c>
      <c r="S237" t="inlineStr">
        <is>
          <t>No se encontró ejecución en CUIPO</t>
        </is>
      </c>
      <c r="T237" s="101" t="inlineStr">
        <is>
          <t xml:space="preserve"> </t>
        </is>
      </c>
      <c r="U237" s="101" t="inlineStr">
        <is>
          <t xml:space="preserve"> </t>
        </is>
      </c>
      <c r="V237" s="101" t="inlineStr">
        <is>
          <t xml:space="preserve"> </t>
        </is>
      </c>
      <c r="W237" s="102" t="inlineStr">
        <is>
          <t xml:space="preserve"> </t>
        </is>
      </c>
      <c r="X237" t="inlineStr">
        <is>
          <t>No se encontró ejecución en CUIPO</t>
        </is>
      </c>
    </row>
    <row r="238">
      <c r="A238" t="inlineStr">
        <is>
          <t>IP-248</t>
        </is>
      </c>
      <c r="B238" t="inlineStr">
        <is>
          <t>32</t>
        </is>
      </c>
      <c r="C238" t="inlineStr">
        <is>
          <t>Ambiente y desarrollo sostenible</t>
        </is>
      </c>
      <c r="D238" t="inlineStr">
        <is>
          <t>3208</t>
        </is>
      </c>
      <c r="E238" t="inlineStr">
        <is>
          <t xml:space="preserve">Educación Ambiental </t>
        </is>
      </c>
      <c r="F238" t="inlineStr">
        <is>
          <t>3208006</t>
        </is>
      </c>
      <c r="G238" t="inlineStr">
        <is>
          <t>Servicio de asistencia técnica para la implementación de lasestrategias educativo ambientales y de participación</t>
        </is>
      </c>
      <c r="H238" t="inlineStr">
        <is>
          <t>Acciones encaminadas a implementar estrategias educativo ambientales y de participación en las entidades territoriales, por medio de los proyectos ambientales implementados </t>
        </is>
      </c>
      <c r="I238" t="inlineStr">
        <is>
          <t>2024258170053</t>
        </is>
      </c>
      <c r="J238" s="99">
        <v>337718573.4</v>
      </c>
      <c r="K238" s="99">
        <v>32418549.4</v>
      </c>
      <c r="L238" s="99">
        <v>123763754</v>
      </c>
      <c r="M238" s="99">
        <v>90609000</v>
      </c>
      <c r="N238" s="99">
        <v>90927270</v>
      </c>
      <c r="O238" s="99" t="inlineStr">
        <is>
          <t xml:space="preserve"> </t>
        </is>
      </c>
      <c r="P238" s="99" t="inlineStr">
        <is>
          <t xml:space="preserve"> </t>
        </is>
      </c>
      <c r="Q238" s="99" t="inlineStr">
        <is>
          <t xml:space="preserve"> </t>
        </is>
      </c>
      <c r="R238" s="100" t="inlineStr">
        <is>
          <t xml:space="preserve"> </t>
        </is>
      </c>
      <c r="S238" t="inlineStr">
        <is>
          <t>No se encontró ejecución en CUIPO</t>
        </is>
      </c>
      <c r="T238" s="101">
        <v>53872464</v>
      </c>
      <c r="U238" s="101">
        <v>20201070</v>
      </c>
      <c r="V238" s="101">
        <v>20201070</v>
      </c>
      <c r="W238" s="102">
        <v>0.163222828551241</v>
      </c>
      <c r="X238" t="inlineStr">
        <is>
          <t>Lo obligado está por debajo de lo programado en la vigencia</t>
        </is>
      </c>
    </row>
    <row r="239">
      <c r="A239" t="inlineStr">
        <is>
          <t>IP-249</t>
        </is>
      </c>
      <c r="B239" t="inlineStr">
        <is>
          <t>24</t>
        </is>
      </c>
      <c r="C239" t="inlineStr">
        <is>
          <t>Transporte</t>
        </is>
      </c>
      <c r="D239" t="inlineStr">
        <is>
          <t>2402</t>
        </is>
      </c>
      <c r="E239" t="inlineStr">
        <is>
          <t>Infraestructura red vial regional</t>
        </is>
      </c>
      <c r="F239" t="inlineStr">
        <is>
          <t>2402113</t>
        </is>
      </c>
      <c r="G239" t="inlineStr">
        <is>
          <t>Vía urbana construida</t>
        </is>
      </c>
      <c r="H239" t="inlineStr">
        <is>
          <t>Incluye la construcción de vías nuevas en zonas  urbanas sin comunicación vial</t>
        </is>
      </c>
      <c r="I239" t="inlineStr">
        <is>
          <t>202400000006693</t>
        </is>
      </c>
      <c r="J239" s="99">
        <v>186306669993.8</v>
      </c>
      <c r="K239" s="99">
        <v>8510115402.8</v>
      </c>
      <c r="L239" s="99">
        <v>22696554591</v>
      </c>
      <c r="M239" s="99">
        <v>66300000000</v>
      </c>
      <c r="N239" s="99">
        <v>88800000000</v>
      </c>
      <c r="O239" s="99" t="inlineStr">
        <is>
          <t xml:space="preserve"> </t>
        </is>
      </c>
      <c r="P239" s="99" t="inlineStr">
        <is>
          <t xml:space="preserve"> </t>
        </is>
      </c>
      <c r="Q239" s="99" t="inlineStr">
        <is>
          <t xml:space="preserve"> </t>
        </is>
      </c>
      <c r="R239" s="100" t="inlineStr">
        <is>
          <t xml:space="preserve"> </t>
        </is>
      </c>
      <c r="S239" t="inlineStr">
        <is>
          <t>No se encontró ejecución en CUIPO</t>
        </is>
      </c>
      <c r="T239" s="101" t="inlineStr">
        <is>
          <t xml:space="preserve"> </t>
        </is>
      </c>
      <c r="U239" s="101" t="inlineStr">
        <is>
          <t xml:space="preserve"> </t>
        </is>
      </c>
      <c r="V239" s="101" t="inlineStr">
        <is>
          <t xml:space="preserve"> </t>
        </is>
      </c>
      <c r="W239" s="102" t="inlineStr">
        <is>
          <t xml:space="preserve"> </t>
        </is>
      </c>
      <c r="X239" t="inlineStr">
        <is>
          <t>No se encontró ejecución en CUIPO</t>
        </is>
      </c>
    </row>
    <row r="240">
      <c r="A240" t="inlineStr">
        <is>
          <t>IP-250</t>
        </is>
      </c>
      <c r="B240" t="inlineStr">
        <is>
          <t>45</t>
        </is>
      </c>
      <c r="C240" t="inlineStr">
        <is>
          <t>Gobierno Territorial</t>
        </is>
      </c>
      <c r="D240" t="inlineStr">
        <is>
          <t>4599</t>
        </is>
      </c>
      <c r="E240" t="inlineStr">
        <is>
          <t>Fortalecimiento a la gestión y dirección de la administración pública territorial</t>
        </is>
      </c>
      <c r="F240" t="inlineStr">
        <is>
          <t>4599033</t>
        </is>
      </c>
      <c r="G240" t="inlineStr">
        <is>
          <t>Servicio de información para el registro administrativo de SISBEN</t>
        </is>
      </c>
      <c r="H240" t="inlineStr">
        <is>
          <t>Corresponde al desarrollo de acciones orientadas a la actualización y suministro de la información alimentada en la base de datos del Sisbén  bajo la modalidad de barrido, demanda y por acción de tutela, según las orientaciones del Departamento Nacional de Planeación (DNP) y del Comité Técnico del Sisbén.</t>
        </is>
      </c>
      <c r="I240" t="inlineStr">
        <is>
          <t>202400000005452</t>
        </is>
      </c>
      <c r="J240" s="99">
        <v>655000000</v>
      </c>
      <c r="K240" s="99">
        <v>65000000</v>
      </c>
      <c r="L240" s="99">
        <v>230000000</v>
      </c>
      <c r="M240" s="99">
        <v>180000000</v>
      </c>
      <c r="N240" s="99">
        <v>180000000</v>
      </c>
      <c r="O240" s="99" t="inlineStr">
        <is>
          <t xml:space="preserve"> </t>
        </is>
      </c>
      <c r="P240" s="99" t="inlineStr">
        <is>
          <t xml:space="preserve"> </t>
        </is>
      </c>
      <c r="Q240" s="99" t="inlineStr">
        <is>
          <t xml:space="preserve"> </t>
        </is>
      </c>
      <c r="R240" s="100" t="inlineStr">
        <is>
          <t xml:space="preserve"> </t>
        </is>
      </c>
      <c r="S240" t="inlineStr">
        <is>
          <t>No se encontró ejecución en CUIPO</t>
        </is>
      </c>
      <c r="T240" s="101">
        <v>108220000</v>
      </c>
      <c r="U240" s="101">
        <v>72300000</v>
      </c>
      <c r="V240" s="101">
        <v>72300000</v>
      </c>
      <c r="W240" s="102">
        <v>0.314347826086956</v>
      </c>
      <c r="X240" t="inlineStr">
        <is>
          <t>Lo obligado está por debajo de lo programado en la vigencia</t>
        </is>
      </c>
    </row>
    <row r="241">
      <c r="A241" t="inlineStr">
        <is>
          <t>IP-251</t>
        </is>
      </c>
      <c r="B241" t="inlineStr">
        <is>
          <t>22</t>
        </is>
      </c>
      <c r="C241" t="inlineStr">
        <is>
          <t>Educación</t>
        </is>
      </c>
      <c r="D241" t="inlineStr">
        <is>
          <t>2201</t>
        </is>
      </c>
      <c r="E241" t="inlineStr">
        <is>
          <t>Calidad, cobertura y fortalecimiento de la educación inicial, prescolar, básica y media</t>
        </is>
      </c>
      <c r="F241" t="inlineStr">
        <is>
          <t>2201070</t>
        </is>
      </c>
      <c r="G241" t="inlineStr">
        <is>
          <t>Ambientes de aprendizaje para la educación inicial preescolar, básica y media dotados</t>
        </is>
      </c>
      <c r="H241" t="inlineStr">
        <is>
          <t>Incluye la disposición de material didáctico, pedagógico, tecnológico o de mobiliario en espacios estructurados para el aprendizaje significativo.</t>
        </is>
      </c>
      <c r="I241" t="inlineStr">
        <is>
          <t>202400000005692</t>
        </is>
      </c>
      <c r="J241" s="99">
        <v>3684689380</v>
      </c>
      <c r="K241" s="99">
        <v>244838080</v>
      </c>
      <c r="L241" s="99">
        <v>1039230000</v>
      </c>
      <c r="M241" s="99">
        <v>1143153000</v>
      </c>
      <c r="N241" s="99">
        <v>1257468300</v>
      </c>
      <c r="O241" s="99" t="inlineStr">
        <is>
          <t xml:space="preserve"> </t>
        </is>
      </c>
      <c r="P241" s="99" t="inlineStr">
        <is>
          <t xml:space="preserve"> </t>
        </is>
      </c>
      <c r="Q241" s="99" t="inlineStr">
        <is>
          <t xml:space="preserve"> </t>
        </is>
      </c>
      <c r="R241" s="100" t="inlineStr">
        <is>
          <t xml:space="preserve"> </t>
        </is>
      </c>
      <c r="S241" t="inlineStr">
        <is>
          <t>No se encontró ejecución en CUIPO</t>
        </is>
      </c>
      <c r="T241" s="101">
        <v>1055804636</v>
      </c>
      <c r="U241" s="101">
        <v>225586738</v>
      </c>
      <c r="V241" s="101">
        <v>221581522</v>
      </c>
      <c r="W241" s="102">
        <v>0.217071041059246</v>
      </c>
      <c r="X241" t="inlineStr">
        <is>
          <t>Lo obligado está por debajo de lo programado en la vigencia</t>
        </is>
      </c>
    </row>
    <row r="242">
      <c r="A242" t="inlineStr">
        <is>
          <t>IP-252</t>
        </is>
      </c>
      <c r="B242" t="inlineStr">
        <is>
          <t>45</t>
        </is>
      </c>
      <c r="C242" t="inlineStr">
        <is>
          <t>Gobierno Territorial</t>
        </is>
      </c>
      <c r="D242" t="inlineStr">
        <is>
          <t>4599</t>
        </is>
      </c>
      <c r="E242" t="inlineStr">
        <is>
          <t>Fortalecimiento a la gestión y dirección de la administración pública territorial</t>
        </is>
      </c>
      <c r="F242" t="inlineStr">
        <is>
          <t>4599007</t>
        </is>
      </c>
      <c r="G242" t="inlineStr">
        <is>
          <t>Servicios tecnológicos</t>
        </is>
      </c>
      <c r="H242" t="inlineStr">
        <is>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is>
      </c>
      <c r="I242" t="inlineStr">
        <is>
          <t>202400000006673</t>
        </is>
      </c>
      <c r="J242" s="99">
        <v>2700000000</v>
      </c>
      <c r="K242" s="99">
        <v>160000000</v>
      </c>
      <c r="L242" s="99">
        <v>1060000000</v>
      </c>
      <c r="M242" s="99">
        <v>830000000</v>
      </c>
      <c r="N242" s="99">
        <v>650000000</v>
      </c>
      <c r="O242" s="99" t="inlineStr">
        <is>
          <t xml:space="preserve"> </t>
        </is>
      </c>
      <c r="P242" s="99" t="inlineStr">
        <is>
          <t xml:space="preserve"> </t>
        </is>
      </c>
      <c r="Q242" s="99" t="inlineStr">
        <is>
          <t xml:space="preserve"> </t>
        </is>
      </c>
      <c r="R242" s="100" t="inlineStr">
        <is>
          <t xml:space="preserve"> </t>
        </is>
      </c>
      <c r="S242" t="inlineStr">
        <is>
          <t>No se encontró ejecución en CUIPO</t>
        </is>
      </c>
      <c r="T242" s="101">
        <v>246335685</v>
      </c>
      <c r="U242" s="101">
        <v>0</v>
      </c>
      <c r="V242" s="101">
        <v>0</v>
      </c>
      <c r="W242" s="102">
        <v>0</v>
      </c>
      <c r="X242" t="inlineStr">
        <is>
          <t>No se ejecutó en la vigencia</t>
        </is>
      </c>
    </row>
    <row r="243">
      <c r="A243" t="inlineStr">
        <is>
          <t>IP-253</t>
        </is>
      </c>
      <c r="B243" t="inlineStr">
        <is>
          <t>45</t>
        </is>
      </c>
      <c r="C243" t="inlineStr">
        <is>
          <t>Gobierno Territorial</t>
        </is>
      </c>
      <c r="D243" t="inlineStr">
        <is>
          <t>4501</t>
        </is>
      </c>
      <c r="E243" t="inlineStr">
        <is>
          <t>Fortalecimiento de la convivencia y la seguridad ciudadana</t>
        </is>
      </c>
      <c r="F243" t="inlineStr">
        <is>
          <t>4501018</t>
        </is>
      </c>
      <c r="G243" t="inlineStr">
        <is>
          <t>Comisarías de familia dotadas</t>
        </is>
      </c>
      <c r="H243" t="inlineStr">
        <is>
          <t xml:space="preserve">Incluye la dotación a la infraestructura construida. </t>
        </is>
      </c>
      <c r="I243" t="inlineStr">
        <is>
          <t>2024258170021</t>
        </is>
      </c>
      <c r="J243" s="99">
        <v>1310500000</v>
      </c>
      <c r="K243" s="99">
        <v>70000000</v>
      </c>
      <c r="L243" s="99">
        <v>310500000</v>
      </c>
      <c r="M243" s="99">
        <v>350000000</v>
      </c>
      <c r="N243" s="99">
        <v>580000000</v>
      </c>
      <c r="O243" s="99" t="inlineStr">
        <is>
          <t xml:space="preserve"> </t>
        </is>
      </c>
      <c r="P243" s="99" t="inlineStr">
        <is>
          <t xml:space="preserve"> </t>
        </is>
      </c>
      <c r="Q243" s="99" t="inlineStr">
        <is>
          <t xml:space="preserve"> </t>
        </is>
      </c>
      <c r="R243" s="100" t="inlineStr">
        <is>
          <t xml:space="preserve"> </t>
        </is>
      </c>
      <c r="S243" t="inlineStr">
        <is>
          <t>No se encontró ejecución en CUIPO</t>
        </is>
      </c>
      <c r="T243" s="101" t="inlineStr">
        <is>
          <t xml:space="preserve"> </t>
        </is>
      </c>
      <c r="U243" s="101" t="inlineStr">
        <is>
          <t xml:space="preserve"> </t>
        </is>
      </c>
      <c r="V243" s="101" t="inlineStr">
        <is>
          <t xml:space="preserve"> </t>
        </is>
      </c>
      <c r="W243" s="102" t="inlineStr">
        <is>
          <t xml:space="preserve"> </t>
        </is>
      </c>
      <c r="X243" t="inlineStr">
        <is>
          <t>No se encontró ejecución en CUIPO</t>
        </is>
      </c>
    </row>
    <row r="244">
      <c r="A244" t="inlineStr">
        <is>
          <t>IP-254</t>
        </is>
      </c>
      <c r="B244" t="inlineStr">
        <is>
          <t>32</t>
        </is>
      </c>
      <c r="C244" t="inlineStr">
        <is>
          <t>Ambiente y desarrollo sostenible</t>
        </is>
      </c>
      <c r="D244" t="inlineStr">
        <is>
          <t>3208</t>
        </is>
      </c>
      <c r="E244" t="inlineStr">
        <is>
          <t xml:space="preserve">Educación Ambiental </t>
        </is>
      </c>
      <c r="F244" t="inlineStr">
        <is>
          <t>3208010</t>
        </is>
      </c>
      <c r="G244" t="inlineStr">
        <is>
          <t>Servicio de educación informal ambiental</t>
        </is>
      </c>
      <c r="H244" t="inlineStr">
        <is>
          <t>Acciones orientadas hacia el conocimiento de la biodiversidad y los ecosistemas para sensibilizar a la población despertar la conciencia ambiental.</t>
        </is>
      </c>
      <c r="I244" t="inlineStr">
        <is>
          <t>2024258170053</t>
        </is>
      </c>
      <c r="J244" s="99">
        <v>281371000</v>
      </c>
      <c r="K244" s="99">
        <v>20000000</v>
      </c>
      <c r="L244" s="99">
        <v>50000000</v>
      </c>
      <c r="M244" s="99">
        <v>114456000</v>
      </c>
      <c r="N244" s="99">
        <v>96915000</v>
      </c>
      <c r="O244" s="99" t="inlineStr">
        <is>
          <t xml:space="preserve"> </t>
        </is>
      </c>
      <c r="P244" s="99" t="inlineStr">
        <is>
          <t xml:space="preserve"> </t>
        </is>
      </c>
      <c r="Q244" s="99" t="inlineStr">
        <is>
          <t xml:space="preserve"> </t>
        </is>
      </c>
      <c r="R244" s="100" t="inlineStr">
        <is>
          <t xml:space="preserve"> </t>
        </is>
      </c>
      <c r="S244" t="inlineStr">
        <is>
          <t>No se encontró ejecución en CUIPO</t>
        </is>
      </c>
      <c r="T244" s="101" t="inlineStr">
        <is>
          <t xml:space="preserve"> </t>
        </is>
      </c>
      <c r="U244" s="101" t="inlineStr">
        <is>
          <t xml:space="preserve"> </t>
        </is>
      </c>
      <c r="V244" s="101" t="inlineStr">
        <is>
          <t xml:space="preserve"> </t>
        </is>
      </c>
      <c r="W244" s="102" t="inlineStr">
        <is>
          <t xml:space="preserve"> </t>
        </is>
      </c>
      <c r="X244" t="inlineStr">
        <is>
          <t>No se encontró ejecución en CUIPO</t>
        </is>
      </c>
    </row>
    <row r="245">
      <c r="A245" t="inlineStr">
        <is>
          <t>IP-255</t>
        </is>
      </c>
      <c r="B245" t="inlineStr">
        <is>
          <t>45</t>
        </is>
      </c>
      <c r="C245" t="inlineStr">
        <is>
          <t>Gobierno Territorial</t>
        </is>
      </c>
      <c r="D245" t="inlineStr">
        <is>
          <t>4501</t>
        </is>
      </c>
      <c r="E245" t="inlineStr">
        <is>
          <t>Fortalecimiento de la convivencia y la seguridad ciudadana</t>
        </is>
      </c>
      <c r="F245" t="inlineStr">
        <is>
          <t>4501063</t>
        </is>
      </c>
      <c r="G245" t="inlineStr">
        <is>
          <t>Servicio de apoyo financiero para la atención integral de animales</t>
        </is>
      </c>
      <c r="H245" t="inlineStr">
        <is>
          <t>Corresponde al apoyo financiero entregado para el desarrollo de las labores de refugios o fundaciones que reciban animales vulnerables</t>
        </is>
      </c>
      <c r="I245" t="inlineStr">
        <is>
          <t>2024258170023</t>
        </is>
      </c>
      <c r="J245" s="99">
        <v>296102437.14</v>
      </c>
      <c r="K245" s="99">
        <v>100000717.14</v>
      </c>
      <c r="L245" s="99">
        <v>136101720</v>
      </c>
      <c r="M245" s="99">
        <v>30000000</v>
      </c>
      <c r="N245" s="99">
        <v>30000000</v>
      </c>
      <c r="O245" s="99" t="inlineStr">
        <is>
          <t xml:space="preserve"> </t>
        </is>
      </c>
      <c r="P245" s="99" t="inlineStr">
        <is>
          <t xml:space="preserve"> </t>
        </is>
      </c>
      <c r="Q245" s="99" t="inlineStr">
        <is>
          <t xml:space="preserve"> </t>
        </is>
      </c>
      <c r="R245" s="100" t="inlineStr">
        <is>
          <t xml:space="preserve"> </t>
        </is>
      </c>
      <c r="S245" t="inlineStr">
        <is>
          <t>No se encontró ejecución en CUIPO</t>
        </is>
      </c>
      <c r="T245" s="101">
        <v>134046492</v>
      </c>
      <c r="U245" s="101">
        <v>0</v>
      </c>
      <c r="V245" s="101">
        <v>0</v>
      </c>
      <c r="W245" s="102">
        <v>0</v>
      </c>
      <c r="X245" t="inlineStr">
        <is>
          <t>No se ejecutó en la vigencia</t>
        </is>
      </c>
    </row>
    <row r="246">
      <c r="A246" t="inlineStr">
        <is>
          <t>IP-256</t>
        </is>
      </c>
      <c r="B246" t="inlineStr">
        <is>
          <t>40</t>
        </is>
      </c>
      <c r="C246" t="inlineStr">
        <is>
          <t>Vivienda, ciudad y territorio</t>
        </is>
      </c>
      <c r="D246" t="inlineStr">
        <is>
          <t>4002</t>
        </is>
      </c>
      <c r="E246" t="inlineStr">
        <is>
          <t>Ordenamiento territorial y desarrollo urbano</t>
        </is>
      </c>
      <c r="F246" t="inlineStr">
        <is>
          <t>4002016</t>
        </is>
      </c>
      <c r="G246" t="inlineStr">
        <is>
          <t>Documentos de planeación</t>
        </is>
      </c>
      <c r="H246" t="inlineStr">
        <is>
          <t>Documentos cuyo objetivo es plasmar una visión de futuro a nivel país, entidad territorial, comunidad, sector, región, entidad o cualquier nivel de desagregación que se requiera. Incluye objetivos, estrategias, metas e indicadores</t>
        </is>
      </c>
      <c r="I246" t="inlineStr">
        <is>
          <t>202400000006237</t>
        </is>
      </c>
      <c r="J246" s="99">
        <v>769100000</v>
      </c>
      <c r="K246" s="99">
        <v>48100000</v>
      </c>
      <c r="L246" s="99">
        <v>165000000</v>
      </c>
      <c r="M246" s="99">
        <v>278000000</v>
      </c>
      <c r="N246" s="99">
        <v>278000000</v>
      </c>
      <c r="O246" s="99" t="inlineStr">
        <is>
          <t xml:space="preserve"> </t>
        </is>
      </c>
      <c r="P246" s="99" t="inlineStr">
        <is>
          <t xml:space="preserve"> </t>
        </is>
      </c>
      <c r="Q246" s="99" t="inlineStr">
        <is>
          <t xml:space="preserve"> </t>
        </is>
      </c>
      <c r="R246" s="100" t="inlineStr">
        <is>
          <t xml:space="preserve"> </t>
        </is>
      </c>
      <c r="S246" t="inlineStr">
        <is>
          <t>No se encontró ejecución en CUIPO</t>
        </is>
      </c>
      <c r="T246" s="101">
        <v>110700000</v>
      </c>
      <c r="U246" s="101">
        <v>54000000</v>
      </c>
      <c r="V246" s="101">
        <v>54000000</v>
      </c>
      <c r="W246" s="102">
        <v>0.327272727272727</v>
      </c>
      <c r="X246" t="inlineStr">
        <is>
          <t>Lo obligado está por debajo de lo programado en la vigencia</t>
        </is>
      </c>
    </row>
    <row r="247">
      <c r="A247" t="inlineStr">
        <is>
          <t>IP-257</t>
        </is>
      </c>
      <c r="B247" t="inlineStr">
        <is>
          <t>43</t>
        </is>
      </c>
      <c r="C247" t="inlineStr">
        <is>
          <t>Deporte y Recreación</t>
        </is>
      </c>
      <c r="D247" t="inlineStr">
        <is>
          <t>4301</t>
        </is>
      </c>
      <c r="E247" t="inlineStr">
        <is>
          <t>Fomento a la recreación, la actividad física y el deporte para desarrollar entornos de convivencia y paz</t>
        </is>
      </c>
      <c r="F247" t="inlineStr">
        <is>
          <t>4301030</t>
        </is>
      </c>
      <c r="G247" t="inlineStr">
        <is>
          <t>Parque recreo-deportivo construido y dotado</t>
        </is>
      </c>
      <c r="H247" t="inlineStr">
        <is>
          <t>Construcción y dotación de un parque recreo-deportivo que contiene zona de juegos infantiles, área de gimnasio, pista de trote, bebederos y demás equipamientos destinados a la recreación y el deporte al aire libre.</t>
        </is>
      </c>
      <c r="I247" t="inlineStr">
        <is>
          <t>202400000005086</t>
        </is>
      </c>
      <c r="J247" s="99">
        <v>700000000</v>
      </c>
      <c r="K247" s="99">
        <v>700000000</v>
      </c>
      <c r="L247" s="99">
        <v>0</v>
      </c>
      <c r="M247" s="99">
        <v>0</v>
      </c>
      <c r="N247" s="99">
        <v>0</v>
      </c>
      <c r="O247" s="99" t="inlineStr">
        <is>
          <t xml:space="preserve"> </t>
        </is>
      </c>
      <c r="P247" s="99" t="inlineStr">
        <is>
          <t xml:space="preserve"> </t>
        </is>
      </c>
      <c r="Q247" s="99" t="inlineStr">
        <is>
          <t xml:space="preserve"> </t>
        </is>
      </c>
      <c r="R247" s="100" t="inlineStr">
        <is>
          <t xml:space="preserve"> </t>
        </is>
      </c>
      <c r="S247" t="inlineStr">
        <is>
          <t>No se encontró ejecución en CUIPO</t>
        </is>
      </c>
      <c r="T247" s="101" t="inlineStr">
        <is>
          <t xml:space="preserve"> </t>
        </is>
      </c>
      <c r="U247" s="101" t="inlineStr">
        <is>
          <t xml:space="preserve"> </t>
        </is>
      </c>
      <c r="V247" s="101" t="inlineStr">
        <is>
          <t xml:space="preserve"> </t>
        </is>
      </c>
      <c r="W247" s="102" t="inlineStr">
        <is>
          <t xml:space="preserve"> </t>
        </is>
      </c>
      <c r="X247" t="inlineStr">
        <is>
          <t>No se encontró ejecución en CUIPO</t>
        </is>
      </c>
    </row>
    <row r="248">
      <c r="A248" t="inlineStr">
        <is>
          <t>IP-258</t>
        </is>
      </c>
      <c r="B248" t="inlineStr">
        <is>
          <t>23</t>
        </is>
      </c>
      <c r="C248" t="inlineStr">
        <is>
          <t>Tecnologías de la información y las comunicaciones</t>
        </is>
      </c>
      <c r="D248" t="inlineStr">
        <is>
          <t>2301</t>
        </is>
      </c>
      <c r="E248" t="inlineStr">
        <is>
          <t>Facilitar el acceso y uso de las Tecnologías de la Información y las Comunicaciones (TIC) en todo el territorio nacional</t>
        </is>
      </c>
      <c r="F248" t="inlineStr">
        <is>
          <t>2301079</t>
        </is>
      </c>
      <c r="G248" t="inlineStr">
        <is>
          <t xml:space="preserve"> Servicio de acceso zonas digitales</t>
        </is>
      </c>
      <c r="H248" t="inlineStr">
        <is>
          <t>Corresponde al montaje y puesta en servicio de la zona digital (wifi), medido a través de la cantidad de usuarios (dispositivos a la zona) y la asistencia personalizada y virtual a los mismos.</t>
        </is>
      </c>
      <c r="I248" t="inlineStr">
        <is>
          <t>202400000007305</t>
        </is>
      </c>
      <c r="J248" s="99">
        <v>135000000</v>
      </c>
      <c r="K248" s="99">
        <v>20000000</v>
      </c>
      <c r="L248" s="99">
        <v>45000000</v>
      </c>
      <c r="M248" s="99">
        <v>35000000</v>
      </c>
      <c r="N248" s="99">
        <v>35000000</v>
      </c>
      <c r="O248" s="99" t="inlineStr">
        <is>
          <t xml:space="preserve"> </t>
        </is>
      </c>
      <c r="P248" s="99" t="inlineStr">
        <is>
          <t xml:space="preserve"> </t>
        </is>
      </c>
      <c r="Q248" s="99" t="inlineStr">
        <is>
          <t xml:space="preserve"> </t>
        </is>
      </c>
      <c r="R248" s="100" t="inlineStr">
        <is>
          <t xml:space="preserve"> </t>
        </is>
      </c>
      <c r="S248" t="inlineStr">
        <is>
          <t>No se encontró ejecución en CUIPO</t>
        </is>
      </c>
      <c r="T248" s="101" t="inlineStr">
        <is>
          <t xml:space="preserve"> </t>
        </is>
      </c>
      <c r="U248" s="101" t="inlineStr">
        <is>
          <t xml:space="preserve"> </t>
        </is>
      </c>
      <c r="V248" s="101" t="inlineStr">
        <is>
          <t xml:space="preserve"> </t>
        </is>
      </c>
      <c r="W248" s="102" t="inlineStr">
        <is>
          <t xml:space="preserve"> </t>
        </is>
      </c>
      <c r="X248" t="inlineStr">
        <is>
          <t>No se encontró ejecución en CUIPO</t>
        </is>
      </c>
    </row>
    <row r="249">
      <c r="A249" t="inlineStr">
        <is>
          <t>IP-259</t>
        </is>
      </c>
      <c r="B249" t="inlineStr">
        <is>
          <t>35</t>
        </is>
      </c>
      <c r="C249" t="inlineStr">
        <is>
          <t>Comercio, industria y turismo</t>
        </is>
      </c>
      <c r="D249" t="inlineStr">
        <is>
          <t>3502</t>
        </is>
      </c>
      <c r="E249" t="inlineStr">
        <is>
          <t>Productividad y competitividad de las empresas colombianas</t>
        </is>
      </c>
      <c r="F249" t="inlineStr">
        <is>
          <t>3502090</t>
        </is>
      </c>
      <c r="G249" t="inlineStr">
        <is>
          <t>Servicio de educación informal</t>
        </is>
      </c>
      <c r="H249" t="inlineStr">
        <is>
          <t>Corresponde a talleres, sensibilizaciones, cursos en temáticas de emprendimiento, productividad, competitividad y asuntos comerciales.</t>
        </is>
      </c>
      <c r="I249" t="inlineStr">
        <is>
          <t>202400000006193</t>
        </is>
      </c>
      <c r="J249" s="99">
        <v>92820000</v>
      </c>
      <c r="K249" s="99">
        <v>20000000</v>
      </c>
      <c r="L249" s="99">
        <v>22000000</v>
      </c>
      <c r="M249" s="99">
        <v>24200000</v>
      </c>
      <c r="N249" s="99">
        <v>26620000</v>
      </c>
      <c r="O249" s="99" t="inlineStr">
        <is>
          <t xml:space="preserve"> </t>
        </is>
      </c>
      <c r="P249" s="99" t="inlineStr">
        <is>
          <t xml:space="preserve"> </t>
        </is>
      </c>
      <c r="Q249" s="99" t="inlineStr">
        <is>
          <t xml:space="preserve"> </t>
        </is>
      </c>
      <c r="R249" s="100" t="inlineStr">
        <is>
          <t xml:space="preserve"> </t>
        </is>
      </c>
      <c r="S249" t="inlineStr">
        <is>
          <t>No se encontró ejecución en CUIPO</t>
        </is>
      </c>
      <c r="T249" s="101" t="inlineStr">
        <is>
          <t xml:space="preserve"> </t>
        </is>
      </c>
      <c r="U249" s="101" t="inlineStr">
        <is>
          <t xml:space="preserve"> </t>
        </is>
      </c>
      <c r="V249" s="101" t="inlineStr">
        <is>
          <t xml:space="preserve"> </t>
        </is>
      </c>
      <c r="W249" s="102" t="inlineStr">
        <is>
          <t xml:space="preserve"> </t>
        </is>
      </c>
      <c r="X249" t="inlineStr">
        <is>
          <t>No se encontró ejecución en CUIPO</t>
        </is>
      </c>
    </row>
    <row r="250">
      <c r="A250" t="inlineStr">
        <is>
          <t>IP-260</t>
        </is>
      </c>
      <c r="B250" t="inlineStr">
        <is>
          <t>41</t>
        </is>
      </c>
      <c r="C250" t="inlineStr">
        <is>
          <t xml:space="preserve">Inclusión social y reconciliación </t>
        </is>
      </c>
      <c r="D250" t="inlineStr">
        <is>
          <t>4104</t>
        </is>
      </c>
      <c r="E250" t="inlineStr">
        <is>
          <t>Atención integral de población en situación permanente de desprotección social y/o familiar</t>
        </is>
      </c>
      <c r="F250" t="inlineStr">
        <is>
          <t>4104010</t>
        </is>
      </c>
      <c r="G250" t="inlineStr">
        <is>
          <t>Servicio de educación informal a los cuidadores del adulto mayor</t>
        </is>
      </c>
      <c r="H250" t="inlineStr">
        <is>
          <t>Servicios dirigidos a fortalecer las habilidades y competencias de los cuidadores del adulto mayor en temas de protección y atención integral a esta población.</t>
        </is>
      </c>
      <c r="I250" t="inlineStr">
        <is>
          <t>202500000003385</t>
        </is>
      </c>
      <c r="J250" s="99">
        <v>413022000</v>
      </c>
      <c r="K250" s="99">
        <v>100000000</v>
      </c>
      <c r="L250" s="99">
        <v>250000000</v>
      </c>
      <c r="M250" s="99">
        <v>29900000</v>
      </c>
      <c r="N250" s="99">
        <v>33122000</v>
      </c>
      <c r="O250" s="99" t="inlineStr">
        <is>
          <t xml:space="preserve"> </t>
        </is>
      </c>
      <c r="P250" s="99" t="inlineStr">
        <is>
          <t xml:space="preserve"> </t>
        </is>
      </c>
      <c r="Q250" s="99" t="inlineStr">
        <is>
          <t xml:space="preserve"> </t>
        </is>
      </c>
      <c r="R250" s="100" t="inlineStr">
        <is>
          <t xml:space="preserve"> </t>
        </is>
      </c>
      <c r="S250" t="inlineStr">
        <is>
          <t>No se encontró ejecución en CUIPO</t>
        </is>
      </c>
      <c r="T250" s="101" t="inlineStr">
        <is>
          <t xml:space="preserve"> </t>
        </is>
      </c>
      <c r="U250" s="101" t="inlineStr">
        <is>
          <t xml:space="preserve"> </t>
        </is>
      </c>
      <c r="V250" s="101" t="inlineStr">
        <is>
          <t xml:space="preserve"> </t>
        </is>
      </c>
      <c r="W250" s="102" t="inlineStr">
        <is>
          <t xml:space="preserve"> </t>
        </is>
      </c>
      <c r="X250" t="inlineStr">
        <is>
          <t>No se encontró ejecución en CUIPO</t>
        </is>
      </c>
    </row>
    <row r="251">
      <c r="A251" t="inlineStr">
        <is>
          <t>IP-425</t>
        </is>
      </c>
      <c r="B251" t="inlineStr">
        <is>
          <t>22</t>
        </is>
      </c>
      <c r="C251" t="inlineStr">
        <is>
          <t>Educación</t>
        </is>
      </c>
      <c r="D251" t="inlineStr">
        <is>
          <t>2201</t>
        </is>
      </c>
      <c r="E251" t="inlineStr">
        <is>
          <t>Calidad, cobertura y fortalecimiento de la educación inicial, prescolar, básica y media</t>
        </is>
      </c>
      <c r="F251" t="inlineStr">
        <is>
          <t>2201051</t>
        </is>
      </c>
      <c r="G251" t="inlineStr">
        <is>
          <t>Infraestructura educativa construida</t>
        </is>
      </c>
      <c r="H251" t="inlineStr">
        <is>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is>
      </c>
      <c r="I251" t="inlineStr">
        <is>
          <t>202400000005692</t>
        </is>
      </c>
      <c r="J251" s="99">
        <v>1000000000</v>
      </c>
      <c r="K251" s="99">
        <v>0</v>
      </c>
      <c r="L251" s="99">
        <v>1000000000</v>
      </c>
      <c r="M251" s="99">
        <v>0</v>
      </c>
      <c r="N251" s="99">
        <v>0</v>
      </c>
      <c r="O251" s="99" t="inlineStr">
        <is>
          <t xml:space="preserve"> </t>
        </is>
      </c>
      <c r="P251" s="99" t="inlineStr">
        <is>
          <t xml:space="preserve"> </t>
        </is>
      </c>
      <c r="Q251" s="99" t="inlineStr">
        <is>
          <t xml:space="preserve"> </t>
        </is>
      </c>
      <c r="R251" s="100" t="inlineStr">
        <is>
          <t xml:space="preserve"> </t>
        </is>
      </c>
      <c r="S251" t="inlineStr">
        <is>
          <t>No se encontró ejecución en CUIPO</t>
        </is>
      </c>
      <c r="T251" s="101">
        <v>63980249</v>
      </c>
      <c r="U251" s="101">
        <v>0</v>
      </c>
      <c r="V251" s="101">
        <v>0</v>
      </c>
      <c r="W251" s="102">
        <v>0</v>
      </c>
      <c r="X251" t="inlineStr">
        <is>
          <t>No se ejecutó en la vigencia</t>
        </is>
      </c>
    </row>
    <row r="252">
      <c r="J252" s="99"/>
      <c r="K252" s="99"/>
      <c r="L252" s="99"/>
      <c r="M252" s="99"/>
      <c r="N252" s="99"/>
      <c r="O252" s="99"/>
      <c r="P252" s="99"/>
      <c r="Q252" s="99"/>
      <c r="R252" s="100"/>
      <c r="T252" s="101"/>
      <c r="U252" s="101"/>
      <c r="V252" s="101"/>
      <c r="W252" s="102"/>
    </row>
  </sheetData>
  <mergeCells count="6">
    <mergeCell ref="T6:X6"/>
    <mergeCell ref="K6:N6"/>
    <mergeCell ref="O6:S6"/>
    <mergeCell ref="A2:L2"/>
    <mergeCell ref="A3:L3"/>
    <mergeCell ref="A4:L4"/>
  </mergeCells>
  <conditionalFormatting sqref="R8:R1048576">
    <cfRule type="cellIs" dxfId="3" priority="1" operator="between">
      <formula>1.00000001</formula>
      <formula>9999999999</formula>
    </cfRule>
  </conditionalFormatting>
  <conditionalFormatting sqref="R8:R1048576">
    <cfRule type="colorScale" priority="3">
      <colorScale>
        <cfvo type="num" val="0"/>
        <cfvo type="num" val="0.5"/>
        <cfvo type="num" val="1"/>
        <color rgb="FFFB9985"/>
        <color rgb="FFFCF797"/>
        <color rgb="FFADEC9E"/>
      </colorScale>
    </cfRule>
  </conditionalFormatting>
  <conditionalFormatting sqref="W8:W1048576">
    <cfRule type="cellIs" dxfId="2" priority="2" operator="between">
      <formula>1.00000001</formula>
      <formula>9999999999</formula>
    </cfRule>
  </conditionalFormatting>
  <conditionalFormatting sqref="W8:W1048576">
    <cfRule type="colorScale" priority="5">
      <colorScale>
        <cfvo type="num" val="0"/>
        <cfvo type="num" val="0.5"/>
        <cfvo type="num" val="1"/>
        <color rgb="FFFB9985"/>
        <color rgb="FFFCF797"/>
        <color rgb="FFADEC9E"/>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W255"/>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8" customWidth="1"/>
    <col min="8" max="8" width="11.28515625" customWidth="1"/>
    <col min="9" max="9" width="19.28515625" customWidth="1"/>
    <col min="10" max="10" width="14.7109375" customWidth="1"/>
    <col min="11" max="11" width="12.85546875" customWidth="1"/>
    <col min="12" max="12" width="12" customWidth="1"/>
    <col min="13" max="13" width="10.85546875" customWidth="1"/>
    <col min="14" max="17" width="13.28515625" customWidth="1"/>
    <col min="18" max="18" width="17.7109375" customWidth="1"/>
    <col min="19" max="19" width="11.7109375" style="48" customWidth="1"/>
    <col min="20" max="20" width="28.140625" customWidth="1"/>
    <col min="21" max="21" width="17.7109375" customWidth="1"/>
    <col min="22" max="22" width="11.7109375" customWidth="1"/>
    <col min="23" max="23" width="28.140625" customWidth="1"/>
  </cols>
  <sheetData>
    <row r="1" spans="1:23" s="20" ht="26.25" customFormat="1" x14ac:dyDescent="0.3">
      <c r="A1" s="31" t="s">
        <v>116</v>
      </c>
      <c r="B1" s="4"/>
      <c r="C1" s="4"/>
      <c r="D1" s="4"/>
      <c r="E1" s="4"/>
      <c r="F1" s="4"/>
      <c r="G1" s="4"/>
      <c r="H1" s="4"/>
      <c r="I1" s="4"/>
      <c r="J1" s="4"/>
      <c r="K1" s="4"/>
      <c r="L1" s="4"/>
      <c r="M1" s="4"/>
      <c r="N1" s="4"/>
      <c r="O1" s="4"/>
      <c r="P1" s="4"/>
      <c r="Q1" s="4"/>
      <c r="R1" s="4"/>
      <c r="S1" s="47"/>
      <c r="T1" s="4"/>
      <c r="U1" s="4"/>
      <c r="V1" s="4"/>
      <c r="W1" s="4"/>
    </row>
    <row r="2" spans="1:23" s="20" ht="65.25" customFormat="1" customHeight="1" x14ac:dyDescent="0.3">
      <c r="A2" s="94" t="s">
        <v>117</v>
      </c>
      <c r="B2" s="94"/>
      <c r="C2" s="94"/>
      <c r="D2" s="94"/>
      <c r="E2" s="94"/>
      <c r="F2" s="94"/>
      <c r="G2" s="94"/>
      <c r="H2" s="94"/>
      <c r="I2" s="94"/>
      <c r="J2" s="94"/>
      <c r="K2" s="94"/>
      <c r="L2" s="94"/>
      <c r="M2" s="94"/>
      <c r="N2" s="46"/>
      <c r="O2" s="46"/>
      <c r="P2" s="46"/>
      <c r="Q2" s="4"/>
      <c r="R2" s="4"/>
      <c r="S2" s="47"/>
      <c r="T2" s="4"/>
      <c r="U2" s="4"/>
      <c r="V2" s="4"/>
      <c r="W2" s="4"/>
    </row>
    <row r="3" spans="1:23" s="20" ht="35.25" customFormat="1" customHeight="1" x14ac:dyDescent="0.3">
      <c r="A3" s="94" t="s">
        <v>119</v>
      </c>
      <c r="B3" s="94"/>
      <c r="C3" s="94"/>
      <c r="D3" s="94"/>
      <c r="E3" s="94"/>
      <c r="F3" s="94"/>
      <c r="G3" s="94"/>
      <c r="H3" s="94"/>
      <c r="I3" s="94"/>
      <c r="J3" s="94"/>
      <c r="K3" s="94"/>
      <c r="L3" s="94"/>
      <c r="M3" s="94"/>
      <c r="N3" s="46"/>
      <c r="O3" s="46"/>
      <c r="P3" s="46"/>
      <c r="Q3" s="4"/>
      <c r="R3" s="4"/>
      <c r="S3" s="47"/>
      <c r="T3" s="4"/>
      <c r="U3" s="4"/>
      <c r="V3" s="4"/>
      <c r="W3" s="4"/>
    </row>
    <row r="4" spans="1:23" s="20" ht="16.5" customFormat="1" x14ac:dyDescent="0.3">
      <c r="A4" s="95" t="s">
        <v>132</v>
      </c>
      <c r="B4" s="95"/>
      <c r="C4" s="95"/>
      <c r="D4" s="95"/>
      <c r="E4" s="95"/>
      <c r="F4" s="95"/>
      <c r="G4" s="95"/>
      <c r="H4" s="95"/>
      <c r="I4" s="95"/>
      <c r="J4" s="95"/>
      <c r="K4" s="95"/>
      <c r="L4" s="46"/>
      <c r="M4" s="46"/>
      <c r="N4" s="46"/>
      <c r="O4" s="46"/>
      <c r="P4" s="46"/>
      <c r="Q4" s="4"/>
      <c r="R4" s="4"/>
      <c r="S4" s="47"/>
      <c r="T4" s="4"/>
      <c r="U4" s="4"/>
      <c r="V4" s="4"/>
      <c r="W4" s="4"/>
    </row>
    <row r="5" spans="1:23" s="20" ht="9.75" customFormat="1" customHeight="1" x14ac:dyDescent="0.3">
      <c r="A5" s="46"/>
      <c r="B5" s="46"/>
      <c r="C5" s="46"/>
      <c r="D5" s="46"/>
      <c r="E5" s="46"/>
      <c r="F5" s="46"/>
      <c r="G5" s="46"/>
      <c r="H5" s="46"/>
      <c r="I5" s="46"/>
      <c r="J5" s="46"/>
      <c r="K5" s="46"/>
      <c r="L5" s="46"/>
      <c r="M5" s="46"/>
      <c r="N5" s="46"/>
      <c r="O5" s="46"/>
      <c r="P5" s="46"/>
      <c r="Q5" s="4"/>
      <c r="R5" s="4"/>
      <c r="S5" s="47"/>
      <c r="T5" s="4"/>
      <c r="U5" s="4"/>
      <c r="V5" s="4"/>
      <c r="W5" s="4"/>
    </row>
    <row r="6" spans="1:23" s="20" ht="20.45" customFormat="1" customHeight="1" x14ac:dyDescent="0.3">
      <c r="A6" s="4"/>
      <c r="B6" s="4"/>
      <c r="C6" s="4"/>
      <c r="D6" s="4"/>
      <c r="E6" s="4"/>
      <c r="F6" s="4"/>
      <c r="G6" s="4"/>
      <c r="H6" s="4"/>
      <c r="I6" s="4"/>
      <c r="J6" s="4"/>
      <c r="K6" s="4"/>
      <c r="L6" s="4"/>
      <c r="M6" s="4"/>
      <c r="N6" s="91" t="s">
        <v>133</v>
      </c>
      <c r="O6" s="92"/>
      <c r="P6" s="92"/>
      <c r="Q6" s="93"/>
      <c r="R6" s="96" t="s">
        <v>75</v>
      </c>
      <c r="S6" s="97"/>
      <c r="T6" s="98"/>
      <c r="U6" s="96" t="str">
        <f>CONCATENATE("Ejecución PIIP ",Resumen!$X$1)</f>
        <v>Ejecución PIIP (Dar clic en Habilitar Edición)</v>
      </c>
      <c r="V6" s="97"/>
      <c r="W6" s="98"/>
    </row>
    <row r="7" spans="1:23"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Código Indicador Producto (MGA)</t>
        </is>
      </c>
      <c r="I7" s="16" t="inlineStr">
        <is>
          <t>Indicador Producto (MGA)</t>
        </is>
      </c>
      <c r="J7" s="16" t="inlineStr">
        <is>
          <t>Códigos BPIN Asociados</t>
        </is>
      </c>
      <c r="K7" s="16" t="inlineStr">
        <is>
          <t>Acumulativo</t>
        </is>
      </c>
      <c r="L7" s="16" t="inlineStr">
        <is>
          <t>Unidad de Medida</t>
        </is>
      </c>
      <c r="M7" s="16" t="inlineStr">
        <is>
          <t>Meta del Cuatrenio (SisPT)</t>
        </is>
      </c>
      <c r="N7" s="61" t="inlineStr">
        <is>
          <t>Programado 2024 (SisPT)</t>
        </is>
      </c>
      <c r="O7" s="16" t="inlineStr">
        <is>
          <t>Programado 2025 (SisPT)</t>
        </is>
      </c>
      <c r="P7" s="16" t="inlineStr">
        <is>
          <t>Programado 2026 (SisPT)</t>
        </is>
      </c>
      <c r="Q7" s="54" t="inlineStr">
        <is>
          <t>Programado 2027 (SisPT)</t>
        </is>
      </c>
      <c r="R7" s="57" t="inlineStr">
        <is>
          <t>Ejecución Física 2024 (PIIP)</t>
        </is>
      </c>
      <c r="S7" s="65" t="inlineStr">
        <is>
          <t>Avance físico 2024 (%)</t>
        </is>
      </c>
      <c r="T7" s="66" t="inlineStr">
        <is>
          <t>Explicación del valor 2024</t>
        </is>
      </c>
      <c r="U7" s="57" t="inlineStr">
        <is>
          <t>Ejecución Física 2025 (PIIP)</t>
        </is>
      </c>
      <c r="V7" s="65" t="inlineStr">
        <is>
          <t>Avance físico 2025 (%)</t>
        </is>
      </c>
      <c r="W7" s="66" t="inlineStr">
        <is>
          <t>Explicación del valor 2025</t>
        </is>
      </c>
    </row>
    <row r="8">
      <c r="A8" t="inlineStr">
        <is>
          <t>IP-1</t>
        </is>
      </c>
      <c r="B8" t="inlineStr">
        <is>
          <t>33</t>
        </is>
      </c>
      <c r="C8" t="inlineStr">
        <is>
          <t>Cultura</t>
        </is>
      </c>
      <c r="D8" t="inlineStr">
        <is>
          <t>3301</t>
        </is>
      </c>
      <c r="E8" t="inlineStr">
        <is>
          <t>Promoción y acceso efectivo a procesos culturales y artísticos</t>
        </is>
      </c>
      <c r="F8" t="inlineStr">
        <is>
          <t>3301017</t>
        </is>
      </c>
      <c r="G8" t="inlineStr">
        <is>
          <t>Casas de la cultura ampliadas</t>
        </is>
      </c>
      <c r="H8" t="inlineStr">
        <is>
          <t>330101700</t>
        </is>
      </c>
      <c r="I8" t="inlineStr">
        <is>
          <t>Casas de la cultura ampliadas</t>
        </is>
      </c>
      <c r="J8" t="inlineStr">
        <is>
          <t>2024258170044</t>
        </is>
      </c>
      <c r="K8" t="inlineStr">
        <is>
          <t>Si</t>
        </is>
      </c>
      <c r="L8" t="inlineStr">
        <is>
          <t>Número</t>
        </is>
      </c>
      <c r="M8">
        <v>1</v>
      </c>
      <c r="N8">
        <v>0</v>
      </c>
      <c r="O8">
        <v>0.1</v>
      </c>
      <c r="P8">
        <v>0.2</v>
      </c>
      <c r="Q8">
        <v>0.7</v>
      </c>
      <c r="R8" t="inlineStr">
        <is>
          <t xml:space="preserve"> </t>
        </is>
      </c>
      <c r="S8" s="103" t="inlineStr">
        <is>
          <t xml:space="preserve"> </t>
        </is>
      </c>
      <c r="T8" t="inlineStr">
        <is>
          <t>No se encontró ejecución en PIIP</t>
        </is>
      </c>
      <c r="U8" t="inlineStr">
        <is>
          <t xml:space="preserve"> </t>
        </is>
      </c>
      <c r="V8" s="104" t="inlineStr">
        <is>
          <t xml:space="preserve"> </t>
        </is>
      </c>
      <c r="W8" t="inlineStr">
        <is>
          <t>No se encontró ejecución en PIIP</t>
        </is>
      </c>
    </row>
    <row r="9">
      <c r="A9" t="inlineStr">
        <is>
          <t>IP-2</t>
        </is>
      </c>
      <c r="B9" t="inlineStr">
        <is>
          <t>04</t>
        </is>
      </c>
      <c r="C9" t="inlineStr">
        <is>
          <t>Información Estadística</t>
        </is>
      </c>
      <c r="D9" t="inlineStr">
        <is>
          <t>0406</t>
        </is>
      </c>
      <c r="E9" t="inlineStr">
        <is>
          <t>Generación de la información geográfica del territorio nacional</t>
        </is>
      </c>
      <c r="F9" t="inlineStr">
        <is>
          <t>0406003</t>
        </is>
      </c>
      <c r="G9" t="inlineStr">
        <is>
          <t>Servicio de conservación catastral</t>
        </is>
      </c>
      <c r="H9" t="inlineStr">
        <is>
          <t>040600300</t>
        </is>
      </c>
      <c r="I9" t="inlineStr">
        <is>
          <t>Trámites de conservación catastral realizados</t>
        </is>
      </c>
      <c r="J9" t="inlineStr">
        <is>
          <t>2024258170010</t>
        </is>
      </c>
      <c r="K9" t="inlineStr">
        <is>
          <t>No</t>
        </is>
      </c>
      <c r="L9" t="inlineStr">
        <is>
          <t>Número</t>
        </is>
      </c>
      <c r="M9">
        <v>1</v>
      </c>
      <c r="N9">
        <v>1</v>
      </c>
      <c r="O9">
        <v>1</v>
      </c>
      <c r="P9">
        <v>1</v>
      </c>
      <c r="Q9">
        <v>1</v>
      </c>
      <c r="R9">
        <v>0</v>
      </c>
      <c r="S9" s="103">
        <v>0</v>
      </c>
      <c r="T9" t="inlineStr">
        <is>
          <t>No se ejecutó en la vigencia</t>
        </is>
      </c>
      <c r="U9" t="inlineStr">
        <is>
          <t xml:space="preserve"> </t>
        </is>
      </c>
      <c r="V9" s="104" t="inlineStr">
        <is>
          <t xml:space="preserve"> </t>
        </is>
      </c>
      <c r="W9" t="inlineStr">
        <is>
          <t>No se encontró ejecución en PIIP</t>
        </is>
      </c>
    </row>
    <row r="10">
      <c r="A10" t="inlineStr">
        <is>
          <t>IP-3</t>
        </is>
      </c>
      <c r="B10" t="inlineStr">
        <is>
          <t>45</t>
        </is>
      </c>
      <c r="C10" t="inlineStr">
        <is>
          <t>Gobierno Territorial</t>
        </is>
      </c>
      <c r="D10" t="inlineStr">
        <is>
          <t>4502</t>
        </is>
      </c>
      <c r="E10" t="inlineStr">
        <is>
          <t>Fortalecimiento del buen gobierno para el respeto y garantía de los derechos humanos.</t>
        </is>
      </c>
      <c r="F10" t="inlineStr">
        <is>
          <t>4502032</t>
        </is>
      </c>
      <c r="G10" t="inlineStr">
        <is>
          <t>Documentos de lineamientos técnicos</t>
        </is>
      </c>
      <c r="H10" t="inlineStr">
        <is>
          <t>450203200</t>
        </is>
      </c>
      <c r="I10" t="inlineStr">
        <is>
          <t>Documentos de lineamientos técnicos realizados</t>
        </is>
      </c>
      <c r="J10" t="inlineStr">
        <is>
          <t>202400000006667</t>
        </is>
      </c>
      <c r="K10" t="inlineStr">
        <is>
          <t>Si</t>
        </is>
      </c>
      <c r="L10" t="inlineStr">
        <is>
          <t>Número</t>
        </is>
      </c>
      <c r="M10">
        <v>100</v>
      </c>
      <c r="N10">
        <v>25</v>
      </c>
      <c r="O10">
        <v>25</v>
      </c>
      <c r="P10">
        <v>25</v>
      </c>
      <c r="Q10">
        <v>25</v>
      </c>
      <c r="R10" t="inlineStr">
        <is>
          <t xml:space="preserve"> </t>
        </is>
      </c>
      <c r="S10" s="103" t="inlineStr">
        <is>
          <t xml:space="preserve"> </t>
        </is>
      </c>
      <c r="T10" t="inlineStr">
        <is>
          <t>No se encontró ejecución en PIIP</t>
        </is>
      </c>
      <c r="U10" t="inlineStr">
        <is>
          <t xml:space="preserve"> </t>
        </is>
      </c>
      <c r="V10" s="104" t="inlineStr">
        <is>
          <t xml:space="preserve"> </t>
        </is>
      </c>
      <c r="W10" t="inlineStr">
        <is>
          <t>No se encontró ejecución en PIIP</t>
        </is>
      </c>
    </row>
    <row r="11">
      <c r="A11" t="inlineStr">
        <is>
          <t>IP-4</t>
        </is>
      </c>
      <c r="B11" t="inlineStr">
        <is>
          <t>17</t>
        </is>
      </c>
      <c r="C11" t="inlineStr">
        <is>
          <t xml:space="preserve">Agricultura y desarrollo rural
</t>
        </is>
      </c>
      <c r="D11" t="inlineStr">
        <is>
          <t>1702</t>
        </is>
      </c>
      <c r="E11" t="inlineStr">
        <is>
          <t>Inclusión productiva de pequeños productores rurales</t>
        </is>
      </c>
      <c r="F11" t="inlineStr">
        <is>
          <t>1702038</t>
        </is>
      </c>
      <c r="G11" t="inlineStr">
        <is>
          <t>Servicio de apoyo a la comercialización</t>
        </is>
      </c>
      <c r="H11" t="inlineStr">
        <is>
          <t>170203806</t>
        </is>
      </c>
      <c r="I11" t="inlineStr">
        <is>
          <t>Ruedas de negocios realizadas</t>
        </is>
      </c>
      <c r="J11" t="inlineStr">
        <is>
          <t>2024258170024</t>
        </is>
      </c>
      <c r="K11" t="inlineStr">
        <is>
          <t>Si</t>
        </is>
      </c>
      <c r="L11" t="inlineStr">
        <is>
          <t>Número</t>
        </is>
      </c>
      <c r="M11">
        <v>4</v>
      </c>
      <c r="N11">
        <v>1</v>
      </c>
      <c r="O11">
        <v>1</v>
      </c>
      <c r="P11">
        <v>1</v>
      </c>
      <c r="Q11">
        <v>1</v>
      </c>
      <c r="R11" t="inlineStr">
        <is>
          <t xml:space="preserve"> </t>
        </is>
      </c>
      <c r="S11" s="103" t="inlineStr">
        <is>
          <t xml:space="preserve"> </t>
        </is>
      </c>
      <c r="T11" t="inlineStr">
        <is>
          <t>No se encontró ejecución en PIIP</t>
        </is>
      </c>
      <c r="U11" t="inlineStr">
        <is>
          <t xml:space="preserve"> </t>
        </is>
      </c>
      <c r="V11" s="104" t="inlineStr">
        <is>
          <t xml:space="preserve"> </t>
        </is>
      </c>
      <c r="W11" t="inlineStr">
        <is>
          <t>No se encontró ejecución en PIIP</t>
        </is>
      </c>
    </row>
    <row r="12">
      <c r="A12" t="inlineStr">
        <is>
          <t>IP-5</t>
        </is>
      </c>
      <c r="B12" t="inlineStr">
        <is>
          <t>35</t>
        </is>
      </c>
      <c r="C12" t="inlineStr">
        <is>
          <t>Comercio, industria y turismo</t>
        </is>
      </c>
      <c r="D12" t="inlineStr">
        <is>
          <t>3502</t>
        </is>
      </c>
      <c r="E12" t="inlineStr">
        <is>
          <t>Productividad y competitividad de las empresas colombianas</t>
        </is>
      </c>
      <c r="F12" t="inlineStr">
        <is>
          <t>3502093</t>
        </is>
      </c>
      <c r="G12" t="inlineStr">
        <is>
          <t>Servicios de información turística a nivel nacional</t>
        </is>
      </c>
      <c r="H12" t="inlineStr">
        <is>
          <t>350209301</t>
        </is>
      </c>
      <c r="I12" t="inlineStr">
        <is>
          <t>Campañas de difusión a nivel nacional realizadas</t>
        </is>
      </c>
      <c r="J12" t="inlineStr">
        <is>
          <t>2024258170013</t>
        </is>
      </c>
      <c r="K12" t="inlineStr">
        <is>
          <t>No</t>
        </is>
      </c>
      <c r="L12" t="inlineStr">
        <is>
          <t>Número</t>
        </is>
      </c>
      <c r="M12">
        <v>2</v>
      </c>
      <c r="N12">
        <v>2</v>
      </c>
      <c r="O12">
        <v>2</v>
      </c>
      <c r="P12">
        <v>2</v>
      </c>
      <c r="Q12">
        <v>2</v>
      </c>
      <c r="R12" t="inlineStr">
        <is>
          <t xml:space="preserve"> </t>
        </is>
      </c>
      <c r="S12" s="103" t="inlineStr">
        <is>
          <t xml:space="preserve"> </t>
        </is>
      </c>
      <c r="T12" t="inlineStr">
        <is>
          <t>No se encontró ejecución en PIIP</t>
        </is>
      </c>
      <c r="U12" t="inlineStr">
        <is>
          <t xml:space="preserve"> </t>
        </is>
      </c>
      <c r="V12" s="104" t="inlineStr">
        <is>
          <t xml:space="preserve"> </t>
        </is>
      </c>
      <c r="W12" t="inlineStr">
        <is>
          <t>No se encontró ejecución en PIIP</t>
        </is>
      </c>
    </row>
    <row r="13">
      <c r="A13" t="inlineStr">
        <is>
          <t>IP-6</t>
        </is>
      </c>
      <c r="B13" t="inlineStr">
        <is>
          <t>41</t>
        </is>
      </c>
      <c r="C13" t="inlineStr">
        <is>
          <t xml:space="preserve">Inclusión social y reconciliación </t>
        </is>
      </c>
      <c r="D13" t="inlineStr">
        <is>
          <t>4101</t>
        </is>
      </c>
      <c r="E13" t="inlineStr">
        <is>
          <t>Atención, asistencia y reparación integral a las víctimas</t>
        </is>
      </c>
      <c r="F13" t="inlineStr">
        <is>
          <t>4101103</t>
        </is>
      </c>
      <c r="G13" t="inlineStr">
        <is>
          <t>Documentos de planeación</t>
        </is>
      </c>
      <c r="H13" t="inlineStr">
        <is>
          <t>410110300</t>
        </is>
      </c>
      <c r="I13" t="inlineStr">
        <is>
          <t>Documentos de planeación elaborados</t>
        </is>
      </c>
      <c r="J13" t="inlineStr">
        <is>
          <t>202400000006511</t>
        </is>
      </c>
      <c r="K13" t="inlineStr">
        <is>
          <t>No</t>
        </is>
      </c>
      <c r="L13" t="inlineStr">
        <is>
          <t>Número</t>
        </is>
      </c>
      <c r="M13">
        <v>1</v>
      </c>
      <c r="N13">
        <v>1</v>
      </c>
      <c r="O13">
        <v>1</v>
      </c>
      <c r="P13">
        <v>1</v>
      </c>
      <c r="Q13">
        <v>1</v>
      </c>
      <c r="R13" t="inlineStr">
        <is>
          <t xml:space="preserve"> </t>
        </is>
      </c>
      <c r="S13" s="103" t="inlineStr">
        <is>
          <t xml:space="preserve"> </t>
        </is>
      </c>
      <c r="T13" t="inlineStr">
        <is>
          <t>No se encontró ejecución en PIIP</t>
        </is>
      </c>
      <c r="U13">
        <v>1</v>
      </c>
      <c r="V13" s="104">
        <v>1</v>
      </c>
      <c r="W13" t="inlineStr">
        <is>
          <t>Se ejecutó el 100% de lo programado en la vigencia</t>
        </is>
      </c>
    </row>
    <row r="14">
      <c r="A14" t="inlineStr">
        <is>
          <t>IP-7</t>
        </is>
      </c>
      <c r="B14" t="inlineStr">
        <is>
          <t>24</t>
        </is>
      </c>
      <c r="C14" t="inlineStr">
        <is>
          <t>Transporte</t>
        </is>
      </c>
      <c r="D14" t="inlineStr">
        <is>
          <t>2402</t>
        </is>
      </c>
      <c r="E14" t="inlineStr">
        <is>
          <t>Infraestructura red vial regional</t>
        </is>
      </c>
      <c r="F14" t="inlineStr">
        <is>
          <t>2402043</t>
        </is>
      </c>
      <c r="G14" t="inlineStr">
        <is>
          <t>Vía terciaria ampliada y/o rectificada</t>
        </is>
      </c>
      <c r="H14" t="inlineStr">
        <is>
          <t>240204300</t>
        </is>
      </c>
      <c r="I14" t="inlineStr">
        <is>
          <t>Vía terciaria mejorada</t>
        </is>
      </c>
      <c r="J14" t="inlineStr">
        <is>
          <t>202400000006693</t>
        </is>
      </c>
      <c r="K14" t="inlineStr">
        <is>
          <t>Si</t>
        </is>
      </c>
      <c r="L14" t="inlineStr">
        <is>
          <t>Kilómetros</t>
        </is>
      </c>
      <c r="M14">
        <v>80</v>
      </c>
      <c r="N14">
        <v>20</v>
      </c>
      <c r="O14">
        <v>20</v>
      </c>
      <c r="P14">
        <v>20</v>
      </c>
      <c r="Q14">
        <v>20</v>
      </c>
      <c r="R14" t="inlineStr">
        <is>
          <t xml:space="preserve"> </t>
        </is>
      </c>
      <c r="S14" s="103" t="inlineStr">
        <is>
          <t xml:space="preserve"> </t>
        </is>
      </c>
      <c r="T14" t="inlineStr">
        <is>
          <t>No se encontró ejecución en PIIP</t>
        </is>
      </c>
      <c r="U14" t="inlineStr">
        <is>
          <t xml:space="preserve"> </t>
        </is>
      </c>
      <c r="V14" s="104" t="inlineStr">
        <is>
          <t xml:space="preserve"> </t>
        </is>
      </c>
      <c r="W14" t="inlineStr">
        <is>
          <t>No se encontró ejecución en PIIP</t>
        </is>
      </c>
    </row>
    <row r="15">
      <c r="A15" t="inlineStr">
        <is>
          <t>IP-8</t>
        </is>
      </c>
      <c r="B15" t="inlineStr">
        <is>
          <t>41</t>
        </is>
      </c>
      <c r="C15" t="inlineStr">
        <is>
          <t xml:space="preserve">Inclusión social y reconciliación </t>
        </is>
      </c>
      <c r="D15" t="inlineStr">
        <is>
          <t>4101</t>
        </is>
      </c>
      <c r="E15" t="inlineStr">
        <is>
          <t>Atención, asistencia y reparación integral a las víctimas</t>
        </is>
      </c>
      <c r="F15" t="inlineStr">
        <is>
          <t>4101091</t>
        </is>
      </c>
      <c r="G15" t="inlineStr">
        <is>
          <t>Servicio de rehabilitación psicosocial a víctimas del conflicto armado</t>
        </is>
      </c>
      <c r="H15" t="inlineStr">
        <is>
          <t>410109100</t>
        </is>
      </c>
      <c r="I15" t="inlineStr">
        <is>
          <t>Víctimas con rehabilitación psicosocial</t>
        </is>
      </c>
      <c r="J15" t="inlineStr">
        <is>
          <t>202400000006511</t>
        </is>
      </c>
      <c r="K15" t="inlineStr">
        <is>
          <t>No</t>
        </is>
      </c>
      <c r="L15" t="inlineStr">
        <is>
          <t>Número</t>
        </is>
      </c>
      <c r="M15">
        <v>100</v>
      </c>
      <c r="N15">
        <v>100</v>
      </c>
      <c r="O15">
        <v>100</v>
      </c>
      <c r="P15">
        <v>100</v>
      </c>
      <c r="Q15">
        <v>100</v>
      </c>
      <c r="R15" t="inlineStr">
        <is>
          <t xml:space="preserve"> </t>
        </is>
      </c>
      <c r="S15" s="103" t="inlineStr">
        <is>
          <t xml:space="preserve"> </t>
        </is>
      </c>
      <c r="T15" t="inlineStr">
        <is>
          <t>No se encontró ejecución en PIIP</t>
        </is>
      </c>
      <c r="U15">
        <v>271</v>
      </c>
      <c r="V15" s="104">
        <v>2.71</v>
      </c>
      <c r="W15" t="inlineStr">
        <is>
          <t>Hubo ejecución por encima de lo programado en SisPT</t>
        </is>
      </c>
    </row>
    <row r="16">
      <c r="A16" t="inlineStr">
        <is>
          <t>IP-9</t>
        </is>
      </c>
      <c r="B16" t="inlineStr">
        <is>
          <t>17</t>
        </is>
      </c>
      <c r="C16" t="inlineStr">
        <is>
          <t xml:space="preserve">Agricultura y desarrollo rural
</t>
        </is>
      </c>
      <c r="D16" t="inlineStr">
        <is>
          <t>1702</t>
        </is>
      </c>
      <c r="E16" t="inlineStr">
        <is>
          <t>Inclusión productiva de pequeños productores rurales</t>
        </is>
      </c>
      <c r="F16" t="inlineStr">
        <is>
          <t>1702007</t>
        </is>
      </c>
      <c r="G16" t="inlineStr">
        <is>
          <t>Servicio de apoyo financiero para proyectos productivos</t>
        </is>
      </c>
      <c r="H16" t="inlineStr">
        <is>
          <t>170200701</t>
        </is>
      </c>
      <c r="I16" t="inlineStr">
        <is>
          <t>Pequeños productores apoyados</t>
        </is>
      </c>
      <c r="J16" t="inlineStr">
        <is>
          <t>2024258170024</t>
        </is>
      </c>
      <c r="K16" t="inlineStr">
        <is>
          <t>Si</t>
        </is>
      </c>
      <c r="L16" t="inlineStr">
        <is>
          <t>Número</t>
        </is>
      </c>
      <c r="M16">
        <v>1</v>
      </c>
      <c r="N16">
        <v>0.1</v>
      </c>
      <c r="O16">
        <v>0.35</v>
      </c>
      <c r="P16">
        <v>0.35</v>
      </c>
      <c r="Q16">
        <v>0.2</v>
      </c>
      <c r="R16" t="inlineStr">
        <is>
          <t xml:space="preserve"> </t>
        </is>
      </c>
      <c r="S16" s="103" t="inlineStr">
        <is>
          <t xml:space="preserve"> </t>
        </is>
      </c>
      <c r="T16" t="inlineStr">
        <is>
          <t>No se encontró ejecución en PIIP</t>
        </is>
      </c>
      <c r="U16" t="inlineStr">
        <is>
          <t xml:space="preserve"> </t>
        </is>
      </c>
      <c r="V16" s="104" t="inlineStr">
        <is>
          <t xml:space="preserve"> </t>
        </is>
      </c>
      <c r="W16" t="inlineStr">
        <is>
          <t>No se encontró ejecución en PIIP</t>
        </is>
      </c>
    </row>
    <row r="17">
      <c r="A17" t="inlineStr">
        <is>
          <t>IP-10</t>
        </is>
      </c>
      <c r="B17" t="inlineStr">
        <is>
          <t>12</t>
        </is>
      </c>
      <c r="C17" t="inlineStr">
        <is>
          <t>Justicia y del derecho</t>
        </is>
      </c>
      <c r="D17" t="inlineStr">
        <is>
          <t>1202</t>
        </is>
      </c>
      <c r="E17" t="inlineStr">
        <is>
          <t>Promoción al acceso a la justicia</t>
        </is>
      </c>
      <c r="F17" t="inlineStr">
        <is>
          <t>1202012</t>
        </is>
      </c>
      <c r="G17" t="inlineStr">
        <is>
          <t>Servicio de educación informal en temas de acceso a la justicia</t>
        </is>
      </c>
      <c r="H17" t="inlineStr">
        <is>
          <t>120201201</t>
        </is>
      </c>
      <c r="I17" t="inlineStr">
        <is>
          <t>Eventos de capacitación a la ciudadanía en al acceso a la justicia</t>
        </is>
      </c>
      <c r="J17" t="inlineStr">
        <is>
          <t>2024258170009</t>
        </is>
      </c>
      <c r="K17" t="inlineStr">
        <is>
          <t>Si</t>
        </is>
      </c>
      <c r="L17" t="inlineStr">
        <is>
          <t>Número</t>
        </is>
      </c>
      <c r="M17">
        <v>28</v>
      </c>
      <c r="N17">
        <v>7</v>
      </c>
      <c r="O17">
        <v>7</v>
      </c>
      <c r="P17">
        <v>7</v>
      </c>
      <c r="Q17">
        <v>7</v>
      </c>
      <c r="R17" t="inlineStr">
        <is>
          <t xml:space="preserve"> </t>
        </is>
      </c>
      <c r="S17" s="103" t="inlineStr">
        <is>
          <t xml:space="preserve"> </t>
        </is>
      </c>
      <c r="T17" t="inlineStr">
        <is>
          <t>No se encontró ejecución en PIIP</t>
        </is>
      </c>
      <c r="U17" t="inlineStr">
        <is>
          <t xml:space="preserve"> </t>
        </is>
      </c>
      <c r="V17" s="104" t="inlineStr">
        <is>
          <t xml:space="preserve"> </t>
        </is>
      </c>
      <c r="W17" t="inlineStr">
        <is>
          <t>No se encontró ejecución en PIIP</t>
        </is>
      </c>
    </row>
    <row r="18">
      <c r="A18" t="inlineStr">
        <is>
          <t>IP-11</t>
        </is>
      </c>
      <c r="B18" t="inlineStr">
        <is>
          <t>36</t>
        </is>
      </c>
      <c r="C18" t="inlineStr">
        <is>
          <t>Trabajo</t>
        </is>
      </c>
      <c r="D18" t="inlineStr">
        <is>
          <t>3603</t>
        </is>
      </c>
      <c r="E18" t="inlineStr">
        <is>
          <t>Formación para el trabajo</t>
        </is>
      </c>
      <c r="F18" t="inlineStr">
        <is>
          <t>3603002</t>
        </is>
      </c>
      <c r="G18" t="inlineStr">
        <is>
          <t>Servicio de formación para el trabajo en competencias para la inserción laboral</t>
        </is>
      </c>
      <c r="H18" t="inlineStr">
        <is>
          <t>360300201</t>
        </is>
      </c>
      <c r="I18" t="inlineStr">
        <is>
          <t>Buenas prácticas en las Instituciones de Formación para el Trabajo Implementadas</t>
        </is>
      </c>
      <c r="J18" t="inlineStr">
        <is>
          <t>202400000006204</t>
        </is>
      </c>
      <c r="K18" t="inlineStr">
        <is>
          <t>No</t>
        </is>
      </c>
      <c r="L18" t="inlineStr">
        <is>
          <t>Número</t>
        </is>
      </c>
      <c r="M18">
        <v>1</v>
      </c>
      <c r="N18">
        <v>1</v>
      </c>
      <c r="O18">
        <v>1</v>
      </c>
      <c r="P18">
        <v>1</v>
      </c>
      <c r="Q18">
        <v>1</v>
      </c>
      <c r="R18" t="inlineStr">
        <is>
          <t xml:space="preserve"> </t>
        </is>
      </c>
      <c r="S18" s="103" t="inlineStr">
        <is>
          <t xml:space="preserve"> </t>
        </is>
      </c>
      <c r="T18" t="inlineStr">
        <is>
          <t>No se encontró ejecución en PIIP</t>
        </is>
      </c>
      <c r="U18" t="inlineStr">
        <is>
          <t xml:space="preserve"> </t>
        </is>
      </c>
      <c r="V18" s="104" t="inlineStr">
        <is>
          <t xml:space="preserve"> </t>
        </is>
      </c>
      <c r="W18" t="inlineStr">
        <is>
          <t>No se encontró ejecución en PIIP</t>
        </is>
      </c>
    </row>
    <row r="19">
      <c r="A19" t="inlineStr">
        <is>
          <t>IP-12</t>
        </is>
      </c>
      <c r="B19" t="inlineStr">
        <is>
          <t>35</t>
        </is>
      </c>
      <c r="C19" t="inlineStr">
        <is>
          <t>Comercio, industria y turismo</t>
        </is>
      </c>
      <c r="D19" t="inlineStr">
        <is>
          <t>3502</t>
        </is>
      </c>
      <c r="E19" t="inlineStr">
        <is>
          <t>Productividad y competitividad de las empresas colombianas</t>
        </is>
      </c>
      <c r="F19" t="inlineStr">
        <is>
          <t>3502095</t>
        </is>
      </c>
      <c r="G19" t="inlineStr">
        <is>
          <t>Servicios de apoyo para el fomento de capacidades en economía circulary sostenibilidad</t>
        </is>
      </c>
      <c r="H19" t="inlineStr">
        <is>
          <t>350209500</t>
        </is>
      </c>
      <c r="I19" t="inlineStr">
        <is>
          <t>Empresas intervenidas en temas de economía circular y sostenibilidad</t>
        </is>
      </c>
      <c r="J19" t="inlineStr">
        <is>
          <t>202400000006193</t>
        </is>
      </c>
      <c r="K19" t="inlineStr">
        <is>
          <t>Si</t>
        </is>
      </c>
      <c r="L19" t="inlineStr">
        <is>
          <t>Número</t>
        </is>
      </c>
      <c r="M19">
        <v>80</v>
      </c>
      <c r="N19">
        <v>20</v>
      </c>
      <c r="O19">
        <v>20</v>
      </c>
      <c r="P19">
        <v>20</v>
      </c>
      <c r="Q19">
        <v>20</v>
      </c>
      <c r="R19" t="inlineStr">
        <is>
          <t xml:space="preserve"> </t>
        </is>
      </c>
      <c r="S19" s="103" t="inlineStr">
        <is>
          <t xml:space="preserve"> </t>
        </is>
      </c>
      <c r="T19" t="inlineStr">
        <is>
          <t>No se encontró ejecución en PIIP</t>
        </is>
      </c>
      <c r="U19">
        <v>17</v>
      </c>
      <c r="V19" s="104">
        <v>0.85</v>
      </c>
      <c r="W19" t="inlineStr">
        <is>
          <t>Lo ejecutado está por debajo de lo programado en la vigencia</t>
        </is>
      </c>
    </row>
    <row r="20">
      <c r="A20" t="inlineStr">
        <is>
          <t>IP-13</t>
        </is>
      </c>
      <c r="B20" t="inlineStr">
        <is>
          <t>45</t>
        </is>
      </c>
      <c r="C20" t="inlineStr">
        <is>
          <t>Gobierno Territorial</t>
        </is>
      </c>
      <c r="D20" t="inlineStr">
        <is>
          <t>4501</t>
        </is>
      </c>
      <c r="E20" t="inlineStr">
        <is>
          <t>Fortalecimiento de la convivencia y la seguridad ciudadana</t>
        </is>
      </c>
      <c r="F20" t="inlineStr">
        <is>
          <t>4501058</t>
        </is>
      </c>
      <c r="G20" t="inlineStr">
        <is>
          <t>Infraestructura para el bienestar animal construida y dotada</t>
        </is>
      </c>
      <c r="H20" t="inlineStr">
        <is>
          <t>450105800</t>
        </is>
      </c>
      <c r="I20" t="inlineStr">
        <is>
          <t>Infraestructura para el bienestar animal construida</t>
        </is>
      </c>
      <c r="J20" t="inlineStr">
        <is>
          <t>202400000004368</t>
        </is>
      </c>
      <c r="K20" t="inlineStr">
        <is>
          <t>Si</t>
        </is>
      </c>
      <c r="L20" t="inlineStr">
        <is>
          <t>Número</t>
        </is>
      </c>
      <c r="M20">
        <v>1</v>
      </c>
      <c r="N20">
        <v>0.1</v>
      </c>
      <c r="O20">
        <v>0.1</v>
      </c>
      <c r="P20">
        <v>0.4</v>
      </c>
      <c r="Q20">
        <v>0.4</v>
      </c>
      <c r="R20" t="inlineStr">
        <is>
          <t xml:space="preserve"> </t>
        </is>
      </c>
      <c r="S20" s="103" t="inlineStr">
        <is>
          <t xml:space="preserve"> </t>
        </is>
      </c>
      <c r="T20" t="inlineStr">
        <is>
          <t>No se encontró ejecución en PIIP</t>
        </is>
      </c>
      <c r="U20" t="inlineStr">
        <is>
          <t xml:space="preserve"> </t>
        </is>
      </c>
      <c r="V20" s="104" t="inlineStr">
        <is>
          <t xml:space="preserve"> </t>
        </is>
      </c>
      <c r="W20" t="inlineStr">
        <is>
          <t>No se encontró ejecución en PIIP</t>
        </is>
      </c>
    </row>
    <row r="21">
      <c r="A21" t="inlineStr">
        <is>
          <t>IP-14</t>
        </is>
      </c>
      <c r="B21" t="inlineStr">
        <is>
          <t>22</t>
        </is>
      </c>
      <c r="C21" t="inlineStr">
        <is>
          <t>Educación</t>
        </is>
      </c>
      <c r="D21" t="inlineStr">
        <is>
          <t>2201</t>
        </is>
      </c>
      <c r="E21" t="inlineStr">
        <is>
          <t>Calidad, cobertura y fortalecimiento de la educación inicial, prescolar, básica y media</t>
        </is>
      </c>
      <c r="F21" t="inlineStr">
        <is>
          <t>2201071</t>
        </is>
      </c>
      <c r="G21" t="inlineStr">
        <is>
          <t>Servicio educativo</t>
        </is>
      </c>
      <c r="H21" t="inlineStr">
        <is>
          <t>220107100</t>
        </is>
      </c>
      <c r="I21" t="inlineStr">
        <is>
          <t>Establecimientos educativos en operación</t>
        </is>
      </c>
      <c r="J21" t="inlineStr">
        <is>
          <t>202400000005692</t>
        </is>
      </c>
      <c r="K21" t="inlineStr">
        <is>
          <t>No</t>
        </is>
      </c>
      <c r="L21" t="inlineStr">
        <is>
          <t>Número</t>
        </is>
      </c>
      <c r="M21">
        <v>3</v>
      </c>
      <c r="N21">
        <v>3</v>
      </c>
      <c r="O21">
        <v>3</v>
      </c>
      <c r="P21">
        <v>3</v>
      </c>
      <c r="Q21">
        <v>3</v>
      </c>
      <c r="R21" t="inlineStr">
        <is>
          <t xml:space="preserve"> </t>
        </is>
      </c>
      <c r="S21" s="103" t="inlineStr">
        <is>
          <t xml:space="preserve"> </t>
        </is>
      </c>
      <c r="T21" t="inlineStr">
        <is>
          <t>No se encontró ejecución en PIIP</t>
        </is>
      </c>
      <c r="U21">
        <v>6.9</v>
      </c>
      <c r="V21" s="104">
        <v>2.3</v>
      </c>
      <c r="W21" t="inlineStr">
        <is>
          <t>Hubo ejecución por encima de lo programado en SisPT</t>
        </is>
      </c>
    </row>
    <row r="22">
      <c r="A22" t="inlineStr">
        <is>
          <t>IP-15</t>
        </is>
      </c>
      <c r="B22" t="inlineStr">
        <is>
          <t>22</t>
        </is>
      </c>
      <c r="C22" t="inlineStr">
        <is>
          <t>Educación</t>
        </is>
      </c>
      <c r="D22" t="inlineStr">
        <is>
          <t>2202</t>
        </is>
      </c>
      <c r="E22" t="inlineStr">
        <is>
          <t>Calidad y fomento de la educación superior</t>
        </is>
      </c>
      <c r="F22" t="inlineStr">
        <is>
          <t>2202073</t>
        </is>
      </c>
      <c r="G22" t="inlineStr">
        <is>
          <t xml:space="preserve">Servicio de fomento para la regionalización en la educación superior </t>
        </is>
      </c>
      <c r="H22" t="inlineStr">
        <is>
          <t>220207300</t>
        </is>
      </c>
      <c r="I22" t="inlineStr">
        <is>
          <t>Instituciones de educación  superior con acompañamiento en procesos de regionalización</t>
        </is>
      </c>
      <c r="J22" t="inlineStr">
        <is>
          <t>202400000005715</t>
        </is>
      </c>
      <c r="K22" t="inlineStr">
        <is>
          <t>Si</t>
        </is>
      </c>
      <c r="L22" t="inlineStr">
        <is>
          <t>Número</t>
        </is>
      </c>
      <c r="M22">
        <v>6</v>
      </c>
      <c r="N22">
        <v>1</v>
      </c>
      <c r="O22">
        <v>2</v>
      </c>
      <c r="P22">
        <v>2</v>
      </c>
      <c r="Q22">
        <v>1</v>
      </c>
      <c r="R22" t="inlineStr">
        <is>
          <t xml:space="preserve"> </t>
        </is>
      </c>
      <c r="S22" s="103" t="inlineStr">
        <is>
          <t xml:space="preserve"> </t>
        </is>
      </c>
      <c r="T22" t="inlineStr">
        <is>
          <t>No se encontró ejecución en PIIP</t>
        </is>
      </c>
      <c r="U22">
        <v>0.415</v>
      </c>
      <c r="V22" s="104">
        <v>0.2075</v>
      </c>
      <c r="W22" t="inlineStr">
        <is>
          <t>Lo ejecutado está por debajo de lo programado en la vigencia</t>
        </is>
      </c>
    </row>
    <row r="23">
      <c r="A23" t="inlineStr">
        <is>
          <t>IP-16</t>
        </is>
      </c>
      <c r="B23" t="inlineStr">
        <is>
          <t>41</t>
        </is>
      </c>
      <c r="C23" t="inlineStr">
        <is>
          <t xml:space="preserve">Inclusión social y reconciliación </t>
        </is>
      </c>
      <c r="D23" t="inlineStr">
        <is>
          <t>4102</t>
        </is>
      </c>
      <c r="E23" t="inlineStr">
        <is>
          <t>Desarrollo integral de la primera infancia a la juventud, y fortalecimiento de las capacidades de las familias de niñas, niños y adolescentes</t>
        </is>
      </c>
      <c r="F23" t="inlineStr">
        <is>
          <t>4102035</t>
        </is>
      </c>
      <c r="G23" t="inlineStr">
        <is>
          <t>Documentos de lineamientos técnicos</t>
        </is>
      </c>
      <c r="H23" t="inlineStr">
        <is>
          <t>410203501</t>
        </is>
      </c>
      <c r="I23" t="inlineStr">
        <is>
          <t>Documentos de lineamientos técnicos en Política y Atención Integral de niños, niñas y adolescentes realizados</t>
        </is>
      </c>
      <c r="J23" t="inlineStr">
        <is>
          <t>202400000006899</t>
        </is>
      </c>
      <c r="K23" t="inlineStr">
        <is>
          <t>Si</t>
        </is>
      </c>
      <c r="L23" t="inlineStr">
        <is>
          <t>Número</t>
        </is>
      </c>
      <c r="M23">
        <v>2000</v>
      </c>
      <c r="N23">
        <v>500</v>
      </c>
      <c r="O23">
        <v>500</v>
      </c>
      <c r="P23">
        <v>500</v>
      </c>
      <c r="Q23">
        <v>500</v>
      </c>
      <c r="R23" t="inlineStr">
        <is>
          <t xml:space="preserve"> </t>
        </is>
      </c>
      <c r="S23" s="103" t="inlineStr">
        <is>
          <t xml:space="preserve"> </t>
        </is>
      </c>
      <c r="T23" t="inlineStr">
        <is>
          <t>No se encontró ejecución en PIIP</t>
        </is>
      </c>
      <c r="U23" t="inlineStr">
        <is>
          <t xml:space="preserve"> </t>
        </is>
      </c>
      <c r="V23" s="104" t="inlineStr">
        <is>
          <t xml:space="preserve"> </t>
        </is>
      </c>
      <c r="W23" t="inlineStr">
        <is>
          <t>No se encontró ejecución en PIIP</t>
        </is>
      </c>
    </row>
    <row r="24">
      <c r="A24" t="inlineStr">
        <is>
          <t>IP-17</t>
        </is>
      </c>
      <c r="B24" t="inlineStr">
        <is>
          <t>40</t>
        </is>
      </c>
      <c r="C24" t="inlineStr">
        <is>
          <t>Vivienda, ciudad y territorio</t>
        </is>
      </c>
      <c r="D24" t="inlineStr">
        <is>
          <t>4002</t>
        </is>
      </c>
      <c r="E24" t="inlineStr">
        <is>
          <t>Ordenamiento territorial y desarrollo urbano</t>
        </is>
      </c>
      <c r="F24" t="inlineStr">
        <is>
          <t>4002016</t>
        </is>
      </c>
      <c r="G24" t="inlineStr">
        <is>
          <t>Documentos de planeación</t>
        </is>
      </c>
      <c r="H24" t="inlineStr">
        <is>
          <t>400201600</t>
        </is>
      </c>
      <c r="I24" t="inlineStr">
        <is>
          <t>Documentos de planeación elaborados</t>
        </is>
      </c>
      <c r="J24" t="inlineStr">
        <is>
          <t/>
        </is>
      </c>
      <c r="K24" t="inlineStr">
        <is>
          <t>Si</t>
        </is>
      </c>
      <c r="L24" t="inlineStr">
        <is>
          <t>Número</t>
        </is>
      </c>
      <c r="M24">
        <v>1</v>
      </c>
      <c r="N24">
        <v>0</v>
      </c>
      <c r="O24">
        <v>0</v>
      </c>
      <c r="P24">
        <v>0.5</v>
      </c>
      <c r="Q24">
        <v>0.5</v>
      </c>
      <c r="R24" t="inlineStr">
        <is>
          <t xml:space="preserve"> </t>
        </is>
      </c>
      <c r="S24" s="103" t="inlineStr">
        <is>
          <t xml:space="preserve"> </t>
        </is>
      </c>
      <c r="T24" t="inlineStr">
        <is>
          <t>Por falta de código BPIN, no se encontró ejecución en PIIP</t>
        </is>
      </c>
      <c r="U24" t="inlineStr">
        <is>
          <t xml:space="preserve"> </t>
        </is>
      </c>
      <c r="V24" s="104" t="inlineStr">
        <is>
          <t xml:space="preserve"> </t>
        </is>
      </c>
      <c r="W24" t="inlineStr">
        <is>
          <t>Por falta de código BPIN, no se encontró ejecución en PIIP</t>
        </is>
      </c>
    </row>
    <row r="25">
      <c r="A25" t="inlineStr">
        <is>
          <t>IP-18</t>
        </is>
      </c>
      <c r="B25" t="inlineStr">
        <is>
          <t>40</t>
        </is>
      </c>
      <c r="C25" t="inlineStr">
        <is>
          <t>Vivienda, ciudad y territorio</t>
        </is>
      </c>
      <c r="D25" t="inlineStr">
        <is>
          <t>4003</t>
        </is>
      </c>
      <c r="E25" t="inlineStr">
        <is>
          <t>Acceso de la población a los servicios de agua potable y saneamiento básico</t>
        </is>
      </c>
      <c r="F25" t="inlineStr">
        <is>
          <t>4003047</t>
        </is>
      </c>
      <c r="G25" t="inlineStr">
        <is>
          <t>Servicio de apoyo financiero para subsidios al consumo en los servicios públicos domiciliarios</t>
        </is>
      </c>
      <c r="H25" t="inlineStr">
        <is>
          <t>400304700</t>
        </is>
      </c>
      <c r="I25" t="inlineStr">
        <is>
          <t>Usuarios beneficiados con subsidios al consumo</t>
        </is>
      </c>
      <c r="J25" t="inlineStr">
        <is>
          <t>2024258170031</t>
        </is>
      </c>
      <c r="K25" t="inlineStr">
        <is>
          <t>No</t>
        </is>
      </c>
      <c r="L25" t="inlineStr">
        <is>
          <t>Número</t>
        </is>
      </c>
      <c r="M25">
        <v>100</v>
      </c>
      <c r="N25">
        <v>100</v>
      </c>
      <c r="O25">
        <v>100</v>
      </c>
      <c r="P25">
        <v>100</v>
      </c>
      <c r="Q25">
        <v>100</v>
      </c>
      <c r="R25">
        <v>0</v>
      </c>
      <c r="S25" s="103">
        <v>0</v>
      </c>
      <c r="T25" t="inlineStr">
        <is>
          <t>No se ejecutó en la vigencia</t>
        </is>
      </c>
      <c r="U25">
        <v>0</v>
      </c>
      <c r="V25" s="104">
        <v>0</v>
      </c>
      <c r="W25" t="inlineStr">
        <is>
          <t>No se ejecutó en la vigencia</t>
        </is>
      </c>
    </row>
    <row r="26">
      <c r="A26" t="inlineStr">
        <is>
          <t>IP-19</t>
        </is>
      </c>
      <c r="B26" t="inlineStr">
        <is>
          <t>36</t>
        </is>
      </c>
      <c r="C26" t="inlineStr">
        <is>
          <t>Trabajo</t>
        </is>
      </c>
      <c r="D26" t="inlineStr">
        <is>
          <t>3602</t>
        </is>
      </c>
      <c r="E26" t="inlineStr">
        <is>
          <t>Generación y formalización del empleo</t>
        </is>
      </c>
      <c r="F26" t="inlineStr">
        <is>
          <t>3602020</t>
        </is>
      </c>
      <c r="G26" t="inlineStr">
        <is>
          <t>Servicio de apoyo al diseño e implementación depolíticas de protección al cesante</t>
        </is>
      </c>
      <c r="H26" t="inlineStr">
        <is>
          <t>360202000</t>
        </is>
      </c>
      <c r="I26" t="inlineStr">
        <is>
          <t>Estrategias de protección al cesante realizadas</t>
        </is>
      </c>
      <c r="J26" t="inlineStr">
        <is>
          <t>202400000006204</t>
        </is>
      </c>
      <c r="K26" t="inlineStr">
        <is>
          <t>No</t>
        </is>
      </c>
      <c r="L26" t="inlineStr">
        <is>
          <t>Número</t>
        </is>
      </c>
      <c r="M26">
        <v>1</v>
      </c>
      <c r="N26">
        <v>1</v>
      </c>
      <c r="O26">
        <v>1</v>
      </c>
      <c r="P26">
        <v>1</v>
      </c>
      <c r="Q26">
        <v>1</v>
      </c>
      <c r="R26" t="inlineStr">
        <is>
          <t xml:space="preserve"> </t>
        </is>
      </c>
      <c r="S26" s="103" t="inlineStr">
        <is>
          <t xml:space="preserve"> </t>
        </is>
      </c>
      <c r="T26" t="inlineStr">
        <is>
          <t>No se encontró ejecución en PIIP</t>
        </is>
      </c>
      <c r="U26">
        <v>6264003</v>
      </c>
      <c r="V26" s="104">
        <v>6264003</v>
      </c>
      <c r="W26" t="inlineStr">
        <is>
          <t>Hubo ejecución por encima de lo programado en SisPT</t>
        </is>
      </c>
    </row>
    <row r="27">
      <c r="A27" t="inlineStr">
        <is>
          <t>IP-20</t>
        </is>
      </c>
      <c r="B27" t="inlineStr">
        <is>
          <t>43</t>
        </is>
      </c>
      <c r="C27" t="inlineStr">
        <is>
          <t>Deporte y Recreación</t>
        </is>
      </c>
      <c r="D27" t="inlineStr">
        <is>
          <t>4301</t>
        </is>
      </c>
      <c r="E27" t="inlineStr">
        <is>
          <t>Fomento a la recreación, la actividad física y el deporte para desarrollar entornos de convivencia y paz</t>
        </is>
      </c>
      <c r="F27" t="inlineStr">
        <is>
          <t>4301018</t>
        </is>
      </c>
      <c r="G27" t="inlineStr">
        <is>
          <t>Canchas multifuncionales mejoradas</t>
        </is>
      </c>
      <c r="H27" t="inlineStr">
        <is>
          <t>430101800</t>
        </is>
      </c>
      <c r="I27" t="inlineStr">
        <is>
          <t>Canchas de eventos recreativos mejorados</t>
        </is>
      </c>
      <c r="J27" t="inlineStr">
        <is>
          <t>202400000005086</t>
        </is>
      </c>
      <c r="K27" t="inlineStr">
        <is>
          <t>Si</t>
        </is>
      </c>
      <c r="L27" t="inlineStr">
        <is>
          <t>Número</t>
        </is>
      </c>
      <c r="M27">
        <v>4</v>
      </c>
      <c r="N27">
        <v>0</v>
      </c>
      <c r="O27">
        <v>1</v>
      </c>
      <c r="P27">
        <v>1</v>
      </c>
      <c r="Q27">
        <v>2</v>
      </c>
      <c r="R27" t="inlineStr">
        <is>
          <t xml:space="preserve"> </t>
        </is>
      </c>
      <c r="S27" s="103" t="inlineStr">
        <is>
          <t xml:space="preserve"> </t>
        </is>
      </c>
      <c r="T27" t="inlineStr">
        <is>
          <t>No se encontró ejecución en PIIP</t>
        </is>
      </c>
      <c r="U27" t="inlineStr">
        <is>
          <t xml:space="preserve"> </t>
        </is>
      </c>
      <c r="V27" s="104" t="inlineStr">
        <is>
          <t xml:space="preserve"> </t>
        </is>
      </c>
      <c r="W27" t="inlineStr">
        <is>
          <t>No se encontró ejecución en PIIP</t>
        </is>
      </c>
    </row>
    <row r="28">
      <c r="A28" t="inlineStr">
        <is>
          <t>IP-21</t>
        </is>
      </c>
      <c r="B28" t="inlineStr">
        <is>
          <t>22</t>
        </is>
      </c>
      <c r="C28" t="inlineStr">
        <is>
          <t>Educación</t>
        </is>
      </c>
      <c r="D28" t="inlineStr">
        <is>
          <t>2201</t>
        </is>
      </c>
      <c r="E28" t="inlineStr">
        <is>
          <t>Calidad, cobertura y fortalecimiento de la educación inicial, prescolar, básica y media</t>
        </is>
      </c>
      <c r="F28" t="inlineStr">
        <is>
          <t>2201047</t>
        </is>
      </c>
      <c r="G28" t="inlineStr">
        <is>
          <t>Servicios de apoyo a la implementación de modelos de innovación educativa</t>
        </is>
      </c>
      <c r="H28" t="inlineStr">
        <is>
          <t>220104700</t>
        </is>
      </c>
      <c r="I28" t="inlineStr">
        <is>
          <t xml:space="preserve">Establecimientos educativos apoyados para la  implementación de modelos de innovación educativa </t>
        </is>
      </c>
      <c r="J28" t="inlineStr">
        <is>
          <t>202400000005692</t>
        </is>
      </c>
      <c r="K28" t="inlineStr">
        <is>
          <t>No</t>
        </is>
      </c>
      <c r="L28" t="inlineStr">
        <is>
          <t>Número</t>
        </is>
      </c>
      <c r="M28">
        <v>3</v>
      </c>
      <c r="N28">
        <v>3</v>
      </c>
      <c r="O28">
        <v>3</v>
      </c>
      <c r="P28">
        <v>3</v>
      </c>
      <c r="Q28">
        <v>3</v>
      </c>
      <c r="R28" t="inlineStr">
        <is>
          <t xml:space="preserve"> </t>
        </is>
      </c>
      <c r="S28" s="103" t="inlineStr">
        <is>
          <t xml:space="preserve"> </t>
        </is>
      </c>
      <c r="T28" t="inlineStr">
        <is>
          <t>No se encontró ejecución en PIIP</t>
        </is>
      </c>
      <c r="U28" t="inlineStr">
        <is>
          <t xml:space="preserve"> </t>
        </is>
      </c>
      <c r="V28" s="104" t="inlineStr">
        <is>
          <t xml:space="preserve"> </t>
        </is>
      </c>
      <c r="W28" t="inlineStr">
        <is>
          <t>No se encontró ejecución en PIIP</t>
        </is>
      </c>
    </row>
    <row r="29">
      <c r="A29" t="inlineStr">
        <is>
          <t>IP-22</t>
        </is>
      </c>
      <c r="B29" t="inlineStr">
        <is>
          <t>22</t>
        </is>
      </c>
      <c r="C29" t="inlineStr">
        <is>
          <t>Educación</t>
        </is>
      </c>
      <c r="D29" t="inlineStr">
        <is>
          <t>2201</t>
        </is>
      </c>
      <c r="E29" t="inlineStr">
        <is>
          <t>Calidad, cobertura y fortalecimiento de la educación inicial, prescolar, básica y media</t>
        </is>
      </c>
      <c r="F29" t="inlineStr">
        <is>
          <t>2201062</t>
        </is>
      </c>
      <c r="G29" t="inlineStr">
        <is>
          <t>Infraestructura educativa mantenida</t>
        </is>
      </c>
      <c r="H29" t="inlineStr">
        <is>
          <t>220106200</t>
        </is>
      </c>
      <c r="I29" t="inlineStr">
        <is>
          <t>Sedes mantenidas</t>
        </is>
      </c>
      <c r="J29" t="inlineStr">
        <is>
          <t>202400000005725</t>
        </is>
      </c>
      <c r="K29" t="inlineStr">
        <is>
          <t>Si</t>
        </is>
      </c>
      <c r="L29" t="inlineStr">
        <is>
          <t>Número</t>
        </is>
      </c>
      <c r="M29">
        <v>11</v>
      </c>
      <c r="N29">
        <v>1</v>
      </c>
      <c r="O29">
        <v>3</v>
      </c>
      <c r="P29">
        <v>3</v>
      </c>
      <c r="Q29">
        <v>4</v>
      </c>
      <c r="R29" t="inlineStr">
        <is>
          <t xml:space="preserve"> </t>
        </is>
      </c>
      <c r="S29" s="103" t="inlineStr">
        <is>
          <t xml:space="preserve"> </t>
        </is>
      </c>
      <c r="T29" t="inlineStr">
        <is>
          <t>No se encontró ejecución en PIIP</t>
        </is>
      </c>
      <c r="U29" t="inlineStr">
        <is>
          <t xml:space="preserve"> </t>
        </is>
      </c>
      <c r="V29" s="104" t="inlineStr">
        <is>
          <t xml:space="preserve"> </t>
        </is>
      </c>
      <c r="W29" t="inlineStr">
        <is>
          <t>No se encontró ejecución en PIIP</t>
        </is>
      </c>
    </row>
    <row r="30">
      <c r="A30" t="inlineStr">
        <is>
          <t>IP-23</t>
        </is>
      </c>
      <c r="B30" t="inlineStr">
        <is>
          <t>40</t>
        </is>
      </c>
      <c r="C30" t="inlineStr">
        <is>
          <t>Vivienda, ciudad y territorio</t>
        </is>
      </c>
      <c r="D30" t="inlineStr">
        <is>
          <t>4003</t>
        </is>
      </c>
      <c r="E30" t="inlineStr">
        <is>
          <t>Acceso de la población a los servicios de agua potable y saneamiento básico</t>
        </is>
      </c>
      <c r="F30" t="inlineStr">
        <is>
          <t>4003015</t>
        </is>
      </c>
      <c r="G30" t="inlineStr">
        <is>
          <t>Acueductos construidos</t>
        </is>
      </c>
      <c r="H30" t="inlineStr">
        <is>
          <t>400301506</t>
        </is>
      </c>
      <c r="I30" t="inlineStr">
        <is>
          <t>Tanques de almacenamiento instalados</t>
        </is>
      </c>
      <c r="J30" t="inlineStr">
        <is>
          <t>202400000007000</t>
        </is>
      </c>
      <c r="K30" t="inlineStr">
        <is>
          <t>Si</t>
        </is>
      </c>
      <c r="L30" t="inlineStr">
        <is>
          <t>Número</t>
        </is>
      </c>
      <c r="M30">
        <v>1</v>
      </c>
      <c r="N30">
        <v>0.25</v>
      </c>
      <c r="O30">
        <v>0.25</v>
      </c>
      <c r="P30">
        <v>0.5</v>
      </c>
      <c r="Q30">
        <v>0</v>
      </c>
      <c r="R30" t="inlineStr">
        <is>
          <t xml:space="preserve"> </t>
        </is>
      </c>
      <c r="S30" s="103" t="inlineStr">
        <is>
          <t xml:space="preserve"> </t>
        </is>
      </c>
      <c r="T30" t="inlineStr">
        <is>
          <t>No se encontró ejecución en PIIP</t>
        </is>
      </c>
      <c r="U30" t="inlineStr">
        <is>
          <t xml:space="preserve"> </t>
        </is>
      </c>
      <c r="V30" s="104" t="inlineStr">
        <is>
          <t xml:space="preserve"> </t>
        </is>
      </c>
      <c r="W30" t="inlineStr">
        <is>
          <t>No se encontró ejecución en PIIP</t>
        </is>
      </c>
    </row>
    <row r="31">
      <c r="A31" t="inlineStr">
        <is>
          <t>IP-24</t>
        </is>
      </c>
      <c r="B31" t="inlineStr">
        <is>
          <t>43</t>
        </is>
      </c>
      <c r="C31" t="inlineStr">
        <is>
          <t>Deporte y Recreación</t>
        </is>
      </c>
      <c r="D31" t="inlineStr">
        <is>
          <t>4302</t>
        </is>
      </c>
      <c r="E31" t="inlineStr">
        <is>
          <t>Formación y preparación de deportistas</t>
        </is>
      </c>
      <c r="F31" t="inlineStr">
        <is>
          <t>4302006</t>
        </is>
      </c>
      <c r="G31" t="inlineStr">
        <is>
          <t>Documentos de planeación</t>
        </is>
      </c>
      <c r="H31" t="inlineStr">
        <is>
          <t>430200600</t>
        </is>
      </c>
      <c r="I31" t="inlineStr">
        <is>
          <t>Documentos de planeación realizados</t>
        </is>
      </c>
      <c r="J31" t="inlineStr">
        <is>
          <t>2024258170019</t>
        </is>
      </c>
      <c r="K31" t="inlineStr">
        <is>
          <t>Si</t>
        </is>
      </c>
      <c r="L31" t="inlineStr">
        <is>
          <t>Número</t>
        </is>
      </c>
      <c r="M31">
        <v>1</v>
      </c>
      <c r="N31">
        <v>0.25</v>
      </c>
      <c r="O31">
        <v>0.25</v>
      </c>
      <c r="P31">
        <v>0.25</v>
      </c>
      <c r="Q31">
        <v>0.25</v>
      </c>
      <c r="R31" t="inlineStr">
        <is>
          <t xml:space="preserve"> </t>
        </is>
      </c>
      <c r="S31" s="103" t="inlineStr">
        <is>
          <t xml:space="preserve"> </t>
        </is>
      </c>
      <c r="T31" t="inlineStr">
        <is>
          <t>No se encontró ejecución en PIIP</t>
        </is>
      </c>
      <c r="U31" t="inlineStr">
        <is>
          <t xml:space="preserve"> </t>
        </is>
      </c>
      <c r="V31" s="104" t="inlineStr">
        <is>
          <t xml:space="preserve"> </t>
        </is>
      </c>
      <c r="W31" t="inlineStr">
        <is>
          <t>No se encontró ejecución en PIIP</t>
        </is>
      </c>
    </row>
    <row r="32">
      <c r="A32" t="inlineStr">
        <is>
          <t>IP-25</t>
        </is>
      </c>
      <c r="B32" t="inlineStr">
        <is>
          <t>33</t>
        </is>
      </c>
      <c r="C32" t="inlineStr">
        <is>
          <t>Cultura</t>
        </is>
      </c>
      <c r="D32" t="inlineStr">
        <is>
          <t>3301</t>
        </is>
      </c>
      <c r="E32" t="inlineStr">
        <is>
          <t>Promoción y acceso efectivo a procesos culturales y artísticos</t>
        </is>
      </c>
      <c r="F32" t="inlineStr">
        <is>
          <t>3301085</t>
        </is>
      </c>
      <c r="G32" t="inlineStr">
        <is>
          <t>Servicios bibliotecarios</t>
        </is>
      </c>
      <c r="H32" t="inlineStr">
        <is>
          <t>330108500</t>
        </is>
      </c>
      <c r="I32" t="inlineStr">
        <is>
          <t>Usuarios atendidos</t>
        </is>
      </c>
      <c r="J32" t="inlineStr">
        <is>
          <t>2024258170016</t>
        </is>
      </c>
      <c r="K32" t="inlineStr">
        <is>
          <t>Si</t>
        </is>
      </c>
      <c r="L32" t="inlineStr">
        <is>
          <t>Número</t>
        </is>
      </c>
      <c r="M32">
        <v>1737</v>
      </c>
      <c r="N32">
        <v>434</v>
      </c>
      <c r="O32">
        <v>434</v>
      </c>
      <c r="P32">
        <v>434</v>
      </c>
      <c r="Q32">
        <v>435</v>
      </c>
      <c r="R32" t="inlineStr">
        <is>
          <t xml:space="preserve"> </t>
        </is>
      </c>
      <c r="S32" s="103" t="inlineStr">
        <is>
          <t xml:space="preserve"> </t>
        </is>
      </c>
      <c r="T32" t="inlineStr">
        <is>
          <t>No se encontró ejecución en PIIP</t>
        </is>
      </c>
      <c r="U32" t="inlineStr">
        <is>
          <t xml:space="preserve"> </t>
        </is>
      </c>
      <c r="V32" s="104" t="inlineStr">
        <is>
          <t xml:space="preserve"> </t>
        </is>
      </c>
      <c r="W32" t="inlineStr">
        <is>
          <t>No se encontró ejecución en PIIP</t>
        </is>
      </c>
    </row>
    <row r="33">
      <c r="A33" t="inlineStr">
        <is>
          <t>IP-26</t>
        </is>
      </c>
      <c r="B33" t="inlineStr">
        <is>
          <t>22</t>
        </is>
      </c>
      <c r="C33" t="inlineStr">
        <is>
          <t>Educación</t>
        </is>
      </c>
      <c r="D33" t="inlineStr">
        <is>
          <t>2201</t>
        </is>
      </c>
      <c r="E33" t="inlineStr">
        <is>
          <t>Calidad, cobertura y fortalecimiento de la educación inicial, prescolar, básica y media</t>
        </is>
      </c>
      <c r="F33" t="inlineStr">
        <is>
          <t>2201051</t>
        </is>
      </c>
      <c r="G33" t="inlineStr">
        <is>
          <t>Infraestructura educativa construida</t>
        </is>
      </c>
      <c r="H33" t="inlineStr">
        <is>
          <t>220105100</t>
        </is>
      </c>
      <c r="I33" t="inlineStr">
        <is>
          <t xml:space="preserve">Sedes educativas nuevas construidas </t>
        </is>
      </c>
      <c r="J33" t="inlineStr">
        <is>
          <t>202400000005725</t>
        </is>
      </c>
      <c r="K33" t="inlineStr">
        <is>
          <t>Si</t>
        </is>
      </c>
      <c r="L33" t="inlineStr">
        <is>
          <t>Número</t>
        </is>
      </c>
      <c r="M33">
        <v>1</v>
      </c>
      <c r="N33">
        <v>0.25</v>
      </c>
      <c r="O33">
        <v>0.25</v>
      </c>
      <c r="P33">
        <v>0.25</v>
      </c>
      <c r="Q33">
        <v>0.25</v>
      </c>
      <c r="R33" t="inlineStr">
        <is>
          <t xml:space="preserve"> </t>
        </is>
      </c>
      <c r="S33" s="103" t="inlineStr">
        <is>
          <t xml:space="preserve"> </t>
        </is>
      </c>
      <c r="T33" t="inlineStr">
        <is>
          <t>No se encontró ejecución en PIIP</t>
        </is>
      </c>
      <c r="U33" t="inlineStr">
        <is>
          <t xml:space="preserve"> </t>
        </is>
      </c>
      <c r="V33" s="104" t="inlineStr">
        <is>
          <t xml:space="preserve"> </t>
        </is>
      </c>
      <c r="W33" t="inlineStr">
        <is>
          <t>No se encontró ejecución en PIIP</t>
        </is>
      </c>
    </row>
    <row r="34">
      <c r="A34" t="inlineStr">
        <is>
          <t>IP-27</t>
        </is>
      </c>
      <c r="B34" t="inlineStr">
        <is>
          <t>45</t>
        </is>
      </c>
      <c r="C34" t="inlineStr">
        <is>
          <t>Gobierno Territorial</t>
        </is>
      </c>
      <c r="D34" t="inlineStr">
        <is>
          <t>4502</t>
        </is>
      </c>
      <c r="E34" t="inlineStr">
        <is>
          <t>Fortalecimiento del buen gobierno para el respeto y garantía de los derechos humanos.</t>
        </is>
      </c>
      <c r="F34" t="inlineStr">
        <is>
          <t>4502033</t>
        </is>
      </c>
      <c r="G34" t="inlineStr">
        <is>
          <t>Servicio de integración de la oferta pública</t>
        </is>
      </c>
      <c r="H34" t="inlineStr">
        <is>
          <t>450203300</t>
        </is>
      </c>
      <c r="I34" t="inlineStr">
        <is>
          <t>Espacios de integración de oferta pública generados</t>
        </is>
      </c>
      <c r="J34" t="inlineStr">
        <is>
          <t>202400000006494</t>
        </is>
      </c>
      <c r="K34" t="inlineStr">
        <is>
          <t>No</t>
        </is>
      </c>
      <c r="L34" t="inlineStr">
        <is>
          <t>Número</t>
        </is>
      </c>
      <c r="M34">
        <v>1</v>
      </c>
      <c r="N34">
        <v>1</v>
      </c>
      <c r="O34">
        <v>1</v>
      </c>
      <c r="P34">
        <v>1</v>
      </c>
      <c r="Q34">
        <v>1</v>
      </c>
      <c r="R34" t="inlineStr">
        <is>
          <t xml:space="preserve"> </t>
        </is>
      </c>
      <c r="S34" s="103" t="inlineStr">
        <is>
          <t xml:space="preserve"> </t>
        </is>
      </c>
      <c r="T34" t="inlineStr">
        <is>
          <t>No se encontró ejecución en PIIP</t>
        </is>
      </c>
      <c r="U34">
        <v>0</v>
      </c>
      <c r="V34" s="104">
        <v>0</v>
      </c>
      <c r="W34" t="inlineStr">
        <is>
          <t>No se ejecutó en la vigencia</t>
        </is>
      </c>
    </row>
    <row r="35">
      <c r="A35" t="inlineStr">
        <is>
          <t>IP-28</t>
        </is>
      </c>
      <c r="B35" t="inlineStr">
        <is>
          <t>19</t>
        </is>
      </c>
      <c r="C35" t="inlineStr">
        <is>
          <t>Salud y protección social</t>
        </is>
      </c>
      <c r="D35" t="inlineStr">
        <is>
          <t>1905</t>
        </is>
      </c>
      <c r="E35" t="inlineStr">
        <is>
          <t>Salud pública</t>
        </is>
      </c>
      <c r="F35" t="inlineStr">
        <is>
          <t>1905035</t>
        </is>
      </c>
      <c r="G35" t="inlineStr">
        <is>
          <t>Servicio de gestión territorial para atención en salud -pandemias- a población afectada por emergencias o desastres</t>
        </is>
      </c>
      <c r="H35" t="inlineStr">
        <is>
          <t>190503505</t>
        </is>
      </c>
      <c r="I35" t="inlineStr">
        <is>
          <t>Estrategias de gestión territorial para atención en salud -pandemias- a población afectada por emergencias o desastres implementadas</t>
        </is>
      </c>
      <c r="J35" t="inlineStr">
        <is>
          <t>2024258170054</t>
        </is>
      </c>
      <c r="K35" t="inlineStr">
        <is>
          <t>No</t>
        </is>
      </c>
      <c r="L35" t="inlineStr">
        <is>
          <t>Número</t>
        </is>
      </c>
      <c r="M35">
        <v>52</v>
      </c>
      <c r="N35">
        <v>52</v>
      </c>
      <c r="O35">
        <v>52</v>
      </c>
      <c r="P35">
        <v>52</v>
      </c>
      <c r="Q35">
        <v>52</v>
      </c>
      <c r="R35" t="inlineStr">
        <is>
          <t xml:space="preserve"> </t>
        </is>
      </c>
      <c r="S35" s="103" t="inlineStr">
        <is>
          <t xml:space="preserve"> </t>
        </is>
      </c>
      <c r="T35" t="inlineStr">
        <is>
          <t>No se encontró ejecución en PIIP</t>
        </is>
      </c>
      <c r="U35" t="inlineStr">
        <is>
          <t xml:space="preserve"> </t>
        </is>
      </c>
      <c r="V35" s="104" t="inlineStr">
        <is>
          <t xml:space="preserve"> </t>
        </is>
      </c>
      <c r="W35" t="inlineStr">
        <is>
          <t>No se encontró ejecución en PIIP</t>
        </is>
      </c>
    </row>
    <row r="36">
      <c r="A36" t="inlineStr">
        <is>
          <t>IP-29</t>
        </is>
      </c>
      <c r="B36" t="inlineStr">
        <is>
          <t>45</t>
        </is>
      </c>
      <c r="C36" t="inlineStr">
        <is>
          <t>Gobierno Territorial</t>
        </is>
      </c>
      <c r="D36" t="inlineStr">
        <is>
          <t>4501</t>
        </is>
      </c>
      <c r="E36" t="inlineStr">
        <is>
          <t>Fortalecimiento de la convivencia y la seguridad ciudadana</t>
        </is>
      </c>
      <c r="F36" t="inlineStr">
        <is>
          <t>4501069</t>
        </is>
      </c>
      <c r="G36" t="inlineStr">
        <is>
          <t>Infraestructura de soporte construida</t>
        </is>
      </c>
      <c r="H36" t="inlineStr">
        <is>
          <t>450106900</t>
        </is>
      </c>
      <c r="I36" t="inlineStr">
        <is>
          <t>Infraestructura de soporte construida</t>
        </is>
      </c>
      <c r="J36" t="inlineStr">
        <is>
          <t>202400000004368</t>
        </is>
      </c>
      <c r="K36" t="inlineStr">
        <is>
          <t>Si</t>
        </is>
      </c>
      <c r="L36" t="inlineStr">
        <is>
          <t>Número</t>
        </is>
      </c>
      <c r="M36">
        <v>1</v>
      </c>
      <c r="N36">
        <v>0.1</v>
      </c>
      <c r="O36">
        <v>0.1</v>
      </c>
      <c r="P36">
        <v>0.4</v>
      </c>
      <c r="Q36">
        <v>0.4</v>
      </c>
      <c r="R36" t="inlineStr">
        <is>
          <t xml:space="preserve"> </t>
        </is>
      </c>
      <c r="S36" s="103" t="inlineStr">
        <is>
          <t xml:space="preserve"> </t>
        </is>
      </c>
      <c r="T36" t="inlineStr">
        <is>
          <t>No se encontró ejecución en PIIP</t>
        </is>
      </c>
      <c r="U36" t="inlineStr">
        <is>
          <t xml:space="preserve"> </t>
        </is>
      </c>
      <c r="V36" s="104" t="inlineStr">
        <is>
          <t xml:space="preserve"> </t>
        </is>
      </c>
      <c r="W36" t="inlineStr">
        <is>
          <t>No se encontró ejecución en PIIP</t>
        </is>
      </c>
    </row>
    <row r="37">
      <c r="A37" t="inlineStr">
        <is>
          <t>IP-30</t>
        </is>
      </c>
      <c r="B37" t="inlineStr">
        <is>
          <t>32</t>
        </is>
      </c>
      <c r="C37" t="inlineStr">
        <is>
          <t>Ambiente y desarrollo sostenible</t>
        </is>
      </c>
      <c r="D37" t="inlineStr">
        <is>
          <t>3202</t>
        </is>
      </c>
      <c r="E37" t="inlineStr">
        <is>
          <t>Conservación de la biodiversidad y sus servicios ecosistémicos</t>
        </is>
      </c>
      <c r="F37" t="inlineStr">
        <is>
          <t>3202002</t>
        </is>
      </c>
      <c r="G37" t="inlineStr">
        <is>
          <t>Documentos de planeación para la conservación de la biodiversidad y sus servicios eco sistémicos</t>
        </is>
      </c>
      <c r="H37" t="inlineStr">
        <is>
          <t>320200200</t>
        </is>
      </c>
      <c r="I37" t="inlineStr">
        <is>
          <t xml:space="preserve">Documentos de planeación realizados </t>
        </is>
      </c>
      <c r="J37" t="inlineStr">
        <is>
          <t>2024258170026</t>
        </is>
      </c>
      <c r="K37" t="inlineStr">
        <is>
          <t>Si</t>
        </is>
      </c>
      <c r="L37" t="inlineStr">
        <is>
          <t>Número</t>
        </is>
      </c>
      <c r="M37">
        <v>1</v>
      </c>
      <c r="N37">
        <v>0.15</v>
      </c>
      <c r="O37">
        <v>0.25</v>
      </c>
      <c r="P37">
        <v>0.3</v>
      </c>
      <c r="Q37">
        <v>0.3</v>
      </c>
      <c r="R37" t="inlineStr">
        <is>
          <t xml:space="preserve"> </t>
        </is>
      </c>
      <c r="S37" s="103" t="inlineStr">
        <is>
          <t xml:space="preserve"> </t>
        </is>
      </c>
      <c r="T37" t="inlineStr">
        <is>
          <t>No se encontró ejecución en PIIP</t>
        </is>
      </c>
      <c r="U37" t="inlineStr">
        <is>
          <t xml:space="preserve"> </t>
        </is>
      </c>
      <c r="V37" s="104" t="inlineStr">
        <is>
          <t xml:space="preserve"> </t>
        </is>
      </c>
      <c r="W37" t="inlineStr">
        <is>
          <t>No se encontró ejecución en PIIP</t>
        </is>
      </c>
    </row>
    <row r="38">
      <c r="A38" t="inlineStr">
        <is>
          <t>IP-31</t>
        </is>
      </c>
      <c r="B38" t="inlineStr">
        <is>
          <t>22</t>
        </is>
      </c>
      <c r="C38" t="inlineStr">
        <is>
          <t>Educación</t>
        </is>
      </c>
      <c r="D38" t="inlineStr">
        <is>
          <t>2201</t>
        </is>
      </c>
      <c r="E38" t="inlineStr">
        <is>
          <t>Calidad, cobertura y fortalecimiento de la educación inicial, prescolar, básica y media</t>
        </is>
      </c>
      <c r="F38" t="inlineStr">
        <is>
          <t>2201029</t>
        </is>
      </c>
      <c r="G38" t="inlineStr">
        <is>
          <t>Servicio de apoyo a la permanencia con transporte escolar</t>
        </is>
      </c>
      <c r="H38" t="inlineStr">
        <is>
          <t>220102900</t>
        </is>
      </c>
      <c r="I38" t="inlineStr">
        <is>
          <t>Beneficiarios de transporte escolar</t>
        </is>
      </c>
      <c r="J38" t="inlineStr">
        <is>
          <t>202400000005692</t>
        </is>
      </c>
      <c r="K38" t="inlineStr">
        <is>
          <t>No</t>
        </is>
      </c>
      <c r="L38" t="inlineStr">
        <is>
          <t>Número</t>
        </is>
      </c>
      <c r="M38">
        <v>100</v>
      </c>
      <c r="N38">
        <v>100</v>
      </c>
      <c r="O38">
        <v>100</v>
      </c>
      <c r="P38">
        <v>100</v>
      </c>
      <c r="Q38">
        <v>100</v>
      </c>
      <c r="R38" t="inlineStr">
        <is>
          <t xml:space="preserve"> </t>
        </is>
      </c>
      <c r="S38" s="103" t="inlineStr">
        <is>
          <t xml:space="preserve"> </t>
        </is>
      </c>
      <c r="T38" t="inlineStr">
        <is>
          <t>No se encontró ejecución en PIIP</t>
        </is>
      </c>
      <c r="U38">
        <v>3014</v>
      </c>
      <c r="V38" s="104">
        <v>30.14</v>
      </c>
      <c r="W38" t="inlineStr">
        <is>
          <t>Hubo ejecución por encima de lo programado en SisPT</t>
        </is>
      </c>
    </row>
    <row r="39">
      <c r="A39" t="inlineStr">
        <is>
          <t>IP-32</t>
        </is>
      </c>
      <c r="B39" t="inlineStr">
        <is>
          <t>24</t>
        </is>
      </c>
      <c r="C39" t="inlineStr">
        <is>
          <t>Transporte</t>
        </is>
      </c>
      <c r="D39" t="inlineStr">
        <is>
          <t>2402</t>
        </is>
      </c>
      <c r="E39" t="inlineStr">
        <is>
          <t>Infraestructura red vial regional</t>
        </is>
      </c>
      <c r="F39" t="inlineStr">
        <is>
          <t>2402115</t>
        </is>
      </c>
      <c r="G39" t="inlineStr">
        <is>
          <t>Vía urbana con mantenimiento periódico o rutinario</t>
        </is>
      </c>
      <c r="H39" t="inlineStr">
        <is>
          <t>240211500</t>
        </is>
      </c>
      <c r="I39" t="inlineStr">
        <is>
          <t xml:space="preserve">Vía urbana con mantenimiento  </t>
        </is>
      </c>
      <c r="J39" t="inlineStr">
        <is>
          <t>202400000006693</t>
        </is>
      </c>
      <c r="K39" t="inlineStr">
        <is>
          <t>Si</t>
        </is>
      </c>
      <c r="L39" t="inlineStr">
        <is>
          <t>Kilómetros</t>
        </is>
      </c>
      <c r="M39">
        <v>15</v>
      </c>
      <c r="N39">
        <v>0.5</v>
      </c>
      <c r="O39">
        <v>2</v>
      </c>
      <c r="P39">
        <v>5</v>
      </c>
      <c r="Q39">
        <v>7.5</v>
      </c>
      <c r="R39" t="inlineStr">
        <is>
          <t xml:space="preserve"> </t>
        </is>
      </c>
      <c r="S39" s="103" t="inlineStr">
        <is>
          <t xml:space="preserve"> </t>
        </is>
      </c>
      <c r="T39" t="inlineStr">
        <is>
          <t>No se encontró ejecución en PIIP</t>
        </is>
      </c>
      <c r="U39" t="inlineStr">
        <is>
          <t xml:space="preserve"> </t>
        </is>
      </c>
      <c r="V39" s="104" t="inlineStr">
        <is>
          <t xml:space="preserve"> </t>
        </is>
      </c>
      <c r="W39" t="inlineStr">
        <is>
          <t>No se encontró ejecución en PIIP</t>
        </is>
      </c>
    </row>
    <row r="40">
      <c r="A40" t="inlineStr">
        <is>
          <t>IP-33</t>
        </is>
      </c>
      <c r="B40" t="inlineStr">
        <is>
          <t>35</t>
        </is>
      </c>
      <c r="C40" t="inlineStr">
        <is>
          <t>Comercio, industria y turismo</t>
        </is>
      </c>
      <c r="D40" t="inlineStr">
        <is>
          <t>3502</t>
        </is>
      </c>
      <c r="E40" t="inlineStr">
        <is>
          <t>Productividad y competitividad de las empresas colombianas</t>
        </is>
      </c>
      <c r="F40" t="inlineStr">
        <is>
          <t>3502012</t>
        </is>
      </c>
      <c r="G40" t="inlineStr">
        <is>
          <t>Servicio de apoyo para la modernización y fomento de la innovación empresarial</t>
        </is>
      </c>
      <c r="H40" t="inlineStr">
        <is>
          <t>350201206</t>
        </is>
      </c>
      <c r="I40" t="inlineStr">
        <is>
          <t>Empresas evaluadas para la entrega de reconocimientos</t>
        </is>
      </c>
      <c r="J40" t="inlineStr">
        <is>
          <t>202400000006193</t>
        </is>
      </c>
      <c r="K40" t="inlineStr">
        <is>
          <t>Si</t>
        </is>
      </c>
      <c r="L40" t="inlineStr">
        <is>
          <t>Número</t>
        </is>
      </c>
      <c r="M40">
        <v>40</v>
      </c>
      <c r="N40">
        <v>1</v>
      </c>
      <c r="O40">
        <v>15</v>
      </c>
      <c r="P40">
        <v>15</v>
      </c>
      <c r="Q40">
        <v>9</v>
      </c>
      <c r="R40" t="inlineStr">
        <is>
          <t xml:space="preserve"> </t>
        </is>
      </c>
      <c r="S40" s="103" t="inlineStr">
        <is>
          <t xml:space="preserve"> </t>
        </is>
      </c>
      <c r="T40" t="inlineStr">
        <is>
          <t>No se encontró ejecución en PIIP</t>
        </is>
      </c>
      <c r="U40" t="inlineStr">
        <is>
          <t xml:space="preserve"> </t>
        </is>
      </c>
      <c r="V40" s="104" t="inlineStr">
        <is>
          <t xml:space="preserve"> </t>
        </is>
      </c>
      <c r="W40" t="inlineStr">
        <is>
          <t>No se encontró ejecución en PIIP</t>
        </is>
      </c>
    </row>
    <row r="41">
      <c r="A41" t="inlineStr">
        <is>
          <t>IP-34</t>
        </is>
      </c>
      <c r="B41" t="inlineStr">
        <is>
          <t>24</t>
        </is>
      </c>
      <c r="C41" t="inlineStr">
        <is>
          <t>Transporte</t>
        </is>
      </c>
      <c r="D41" t="inlineStr">
        <is>
          <t>2409</t>
        </is>
      </c>
      <c r="E41" t="inlineStr">
        <is>
          <t>Seguridad de transporte</t>
        </is>
      </c>
      <c r="F41" t="inlineStr">
        <is>
          <t>2409058</t>
        </is>
      </c>
      <c r="G41" t="inlineStr">
        <is>
          <t>Cicloinfraestructura construida</t>
        </is>
      </c>
      <c r="H41" t="inlineStr">
        <is>
          <t>240905800</t>
        </is>
      </c>
      <c r="I41" t="inlineStr">
        <is>
          <t>Cicloinfraestructura construida</t>
        </is>
      </c>
      <c r="J41" t="inlineStr">
        <is>
          <t>202400000006694</t>
        </is>
      </c>
      <c r="K41" t="inlineStr">
        <is>
          <t>Si</t>
        </is>
      </c>
      <c r="L41" t="inlineStr">
        <is>
          <t>Kilómetros</t>
        </is>
      </c>
      <c r="M41">
        <v>8</v>
      </c>
      <c r="N41">
        <v>0</v>
      </c>
      <c r="O41">
        <v>0</v>
      </c>
      <c r="P41">
        <v>4</v>
      </c>
      <c r="Q41">
        <v>4</v>
      </c>
      <c r="R41" t="inlineStr">
        <is>
          <t xml:space="preserve"> </t>
        </is>
      </c>
      <c r="S41" s="103" t="inlineStr">
        <is>
          <t xml:space="preserve"> </t>
        </is>
      </c>
      <c r="T41" t="inlineStr">
        <is>
          <t>No se encontró ejecución en PIIP</t>
        </is>
      </c>
      <c r="U41" t="inlineStr">
        <is>
          <t xml:space="preserve"> </t>
        </is>
      </c>
      <c r="V41" s="104" t="inlineStr">
        <is>
          <t xml:space="preserve"> </t>
        </is>
      </c>
      <c r="W41" t="inlineStr">
        <is>
          <t>No se encontró ejecución en PIIP</t>
        </is>
      </c>
    </row>
    <row r="42">
      <c r="A42" t="inlineStr">
        <is>
          <t>IP-35</t>
        </is>
      </c>
      <c r="B42" t="inlineStr">
        <is>
          <t>32</t>
        </is>
      </c>
      <c r="C42" t="inlineStr">
        <is>
          <t>Ambiente y desarrollo sostenible</t>
        </is>
      </c>
      <c r="D42" t="inlineStr">
        <is>
          <t>3201</t>
        </is>
      </c>
      <c r="E42" t="inlineStr">
        <is>
          <t>Fortalecimiento del desempeño ambiental de los sectores productivos</t>
        </is>
      </c>
      <c r="F42" t="inlineStr">
        <is>
          <t>3201013</t>
        </is>
      </c>
      <c r="G42" t="inlineStr">
        <is>
          <t>Documentos de lineamientos técnicos para mejorar la calidad ambiental de las áreas urbanas</t>
        </is>
      </c>
      <c r="H42" t="inlineStr">
        <is>
          <t>320101300</t>
        </is>
      </c>
      <c r="I42" t="inlineStr">
        <is>
          <t>Documentos de lineamientos técnicos para para mejorar la calidad ambiental de las áreas urbanas elaborados</t>
        </is>
      </c>
      <c r="J42" t="inlineStr">
        <is>
          <t>2024258170055</t>
        </is>
      </c>
      <c r="K42" t="inlineStr">
        <is>
          <t>Si</t>
        </is>
      </c>
      <c r="L42" t="inlineStr">
        <is>
          <t>Número</t>
        </is>
      </c>
      <c r="M42">
        <v>1</v>
      </c>
      <c r="N42">
        <v>0.25</v>
      </c>
      <c r="O42">
        <v>0.25</v>
      </c>
      <c r="P42">
        <v>0.25</v>
      </c>
      <c r="Q42">
        <v>0.25</v>
      </c>
      <c r="R42">
        <v>0</v>
      </c>
      <c r="S42" s="103">
        <v>0</v>
      </c>
      <c r="T42" t="inlineStr">
        <is>
          <t>No se ejecutó en la vigencia</t>
        </is>
      </c>
      <c r="U42">
        <v>0.03</v>
      </c>
      <c r="V42" s="104">
        <v>0.12</v>
      </c>
      <c r="W42" t="inlineStr">
        <is>
          <t>Lo ejecutado está por debajo de lo programado en la vigencia</t>
        </is>
      </c>
    </row>
    <row r="43">
      <c r="A43" t="inlineStr">
        <is>
          <t>IP-36</t>
        </is>
      </c>
      <c r="B43" t="inlineStr">
        <is>
          <t>35</t>
        </is>
      </c>
      <c r="C43" t="inlineStr">
        <is>
          <t>Comercio, industria y turismo</t>
        </is>
      </c>
      <c r="D43" t="inlineStr">
        <is>
          <t>3502</t>
        </is>
      </c>
      <c r="E43" t="inlineStr">
        <is>
          <t>Productividad y competitividad de las empresas colombianas</t>
        </is>
      </c>
      <c r="F43" t="inlineStr">
        <is>
          <t>3502004</t>
        </is>
      </c>
      <c r="G43" t="inlineStr">
        <is>
          <t>Servicio de apoyo financiero para el mejoramiento de productos o procesos</t>
        </is>
      </c>
      <c r="H43" t="inlineStr">
        <is>
          <t>350200401</t>
        </is>
      </c>
      <c r="I43" t="inlineStr">
        <is>
          <t>Proyectos de mejoramiento de producto financiados.</t>
        </is>
      </c>
      <c r="J43" t="inlineStr">
        <is>
          <t>202400000006193</t>
        </is>
      </c>
      <c r="K43" t="inlineStr">
        <is>
          <t>Si</t>
        </is>
      </c>
      <c r="L43" t="inlineStr">
        <is>
          <t>Número</t>
        </is>
      </c>
      <c r="M43">
        <v>400</v>
      </c>
      <c r="N43">
        <v>100</v>
      </c>
      <c r="O43">
        <v>100</v>
      </c>
      <c r="P43">
        <v>100</v>
      </c>
      <c r="Q43">
        <v>100</v>
      </c>
      <c r="R43" t="inlineStr">
        <is>
          <t xml:space="preserve"> </t>
        </is>
      </c>
      <c r="S43" s="103" t="inlineStr">
        <is>
          <t xml:space="preserve"> </t>
        </is>
      </c>
      <c r="T43" t="inlineStr">
        <is>
          <t>No se encontró ejecución en PIIP</t>
        </is>
      </c>
      <c r="U43" t="inlineStr">
        <is>
          <t xml:space="preserve"> </t>
        </is>
      </c>
      <c r="V43" s="104" t="inlineStr">
        <is>
          <t xml:space="preserve"> </t>
        </is>
      </c>
      <c r="W43" t="inlineStr">
        <is>
          <t>No se encontró ejecución en PIIP</t>
        </is>
      </c>
    </row>
    <row r="44">
      <c r="A44" t="inlineStr">
        <is>
          <t>IP-37</t>
        </is>
      </c>
      <c r="B44" t="inlineStr">
        <is>
          <t>41</t>
        </is>
      </c>
      <c r="C44" t="inlineStr">
        <is>
          <t xml:space="preserve">Inclusión social y reconciliación </t>
        </is>
      </c>
      <c r="D44" t="inlineStr">
        <is>
          <t>4101</t>
        </is>
      </c>
      <c r="E44" t="inlineStr">
        <is>
          <t>Atención, asistencia y reparación integral a las víctimas</t>
        </is>
      </c>
      <c r="F44" t="inlineStr">
        <is>
          <t>4101027</t>
        </is>
      </c>
      <c r="G44" t="inlineStr">
        <is>
          <t>Servicio de asistencia funeraria</t>
        </is>
      </c>
      <c r="H44" t="inlineStr">
        <is>
          <t>410102701</t>
        </is>
      </c>
      <c r="I44" t="inlineStr">
        <is>
          <t xml:space="preserve">Hogares subsidiados en asistencia funeraria </t>
        </is>
      </c>
      <c r="J44" t="inlineStr">
        <is>
          <t>202400000006511</t>
        </is>
      </c>
      <c r="K44" t="inlineStr">
        <is>
          <t>No</t>
        </is>
      </c>
      <c r="L44" t="inlineStr">
        <is>
          <t>Número</t>
        </is>
      </c>
      <c r="M44">
        <v>100</v>
      </c>
      <c r="N44">
        <v>100</v>
      </c>
      <c r="O44">
        <v>100</v>
      </c>
      <c r="P44">
        <v>100</v>
      </c>
      <c r="Q44">
        <v>100</v>
      </c>
      <c r="R44" t="inlineStr">
        <is>
          <t xml:space="preserve"> </t>
        </is>
      </c>
      <c r="S44" s="103" t="inlineStr">
        <is>
          <t xml:space="preserve"> </t>
        </is>
      </c>
      <c r="T44" t="inlineStr">
        <is>
          <t>No se encontró ejecución en PIIP</t>
        </is>
      </c>
      <c r="U44" t="inlineStr">
        <is>
          <t xml:space="preserve"> </t>
        </is>
      </c>
      <c r="V44" s="104" t="inlineStr">
        <is>
          <t xml:space="preserve"> </t>
        </is>
      </c>
      <c r="W44" t="inlineStr">
        <is>
          <t>No se encontró ejecución en PIIP</t>
        </is>
      </c>
    </row>
    <row r="45">
      <c r="A45" t="inlineStr">
        <is>
          <t>IP-38</t>
        </is>
      </c>
      <c r="B45" t="inlineStr">
        <is>
          <t>32</t>
        </is>
      </c>
      <c r="C45" t="inlineStr">
        <is>
          <t>Ambiente y desarrollo sostenible</t>
        </is>
      </c>
      <c r="D45" t="inlineStr">
        <is>
          <t>3202</t>
        </is>
      </c>
      <c r="E45" t="inlineStr">
        <is>
          <t>Conservación de la biodiversidad y sus servicios ecosistémicos</t>
        </is>
      </c>
      <c r="F45" t="inlineStr">
        <is>
          <t>3202005</t>
        </is>
      </c>
      <c r="G45" t="inlineStr">
        <is>
          <t>Servicio de restauración de ecosistemas</t>
        </is>
      </c>
      <c r="H45" t="inlineStr">
        <is>
          <t>320200500</t>
        </is>
      </c>
      <c r="I45" t="inlineStr">
        <is>
          <t>Áreas en proceso de restauración</t>
        </is>
      </c>
      <c r="J45" t="inlineStr">
        <is>
          <t>2024258170026</t>
        </is>
      </c>
      <c r="K45" t="inlineStr">
        <is>
          <t>No</t>
        </is>
      </c>
      <c r="L45" t="inlineStr">
        <is>
          <t>Hectáreas</t>
        </is>
      </c>
      <c r="M45">
        <v>306</v>
      </c>
      <c r="N45">
        <v>283</v>
      </c>
      <c r="O45">
        <v>285</v>
      </c>
      <c r="P45">
        <v>290</v>
      </c>
      <c r="Q45">
        <v>306</v>
      </c>
      <c r="R45">
        <v>556</v>
      </c>
      <c r="S45" s="103">
        <v>1.96466431095406</v>
      </c>
      <c r="T45" t="inlineStr">
        <is>
          <t>Hubo ejecución por encima de lo programado en SisPT</t>
        </is>
      </c>
      <c r="U45">
        <v>282.19</v>
      </c>
      <c r="V45" s="104">
        <v>0.990140350877193</v>
      </c>
      <c r="W45" t="inlineStr">
        <is>
          <t>Lo ejecutado está por debajo de lo programado en la vigencia</t>
        </is>
      </c>
    </row>
    <row r="46">
      <c r="A46" t="inlineStr">
        <is>
          <t>IP-39</t>
        </is>
      </c>
      <c r="B46" t="inlineStr">
        <is>
          <t>41</t>
        </is>
      </c>
      <c r="C46" t="inlineStr">
        <is>
          <t xml:space="preserve">Inclusión social y reconciliación </t>
        </is>
      </c>
      <c r="D46" t="inlineStr">
        <is>
          <t>4102</t>
        </is>
      </c>
      <c r="E46" t="inlineStr">
        <is>
          <t>Desarrollo integral de la primera infancia a la juventud, y fortalecimiento de las capacidades de las familias de niñas, niños y adolescentes</t>
        </is>
      </c>
      <c r="F46" t="inlineStr">
        <is>
          <t>4102038</t>
        </is>
      </c>
      <c r="G46" t="inlineStr">
        <is>
          <t>Servicio dirigidos a la atención de niños, niñas, adolescentes y jóvenes, con enfoque pedagógico y restaurativo encaminados a la inclusión social</t>
        </is>
      </c>
      <c r="H46" t="inlineStr">
        <is>
          <t>410203800</t>
        </is>
      </c>
      <c r="I46" t="inlineStr">
        <is>
          <t>Niños, niñas, adolescentes y jóvenes atendidios en los servicios de restablecimiento en la administración de justicia</t>
        </is>
      </c>
      <c r="J46" t="inlineStr">
        <is>
          <t>202400000006899</t>
        </is>
      </c>
      <c r="K46" t="inlineStr">
        <is>
          <t>No</t>
        </is>
      </c>
      <c r="L46" t="inlineStr">
        <is>
          <t>Número</t>
        </is>
      </c>
      <c r="M46">
        <v>1</v>
      </c>
      <c r="N46">
        <v>1</v>
      </c>
      <c r="O46">
        <v>1</v>
      </c>
      <c r="P46">
        <v>1</v>
      </c>
      <c r="Q46">
        <v>1</v>
      </c>
      <c r="R46" t="inlineStr">
        <is>
          <t xml:space="preserve"> </t>
        </is>
      </c>
      <c r="S46" s="103" t="inlineStr">
        <is>
          <t xml:space="preserve"> </t>
        </is>
      </c>
      <c r="T46" t="inlineStr">
        <is>
          <t>No se encontró ejecución en PIIP</t>
        </is>
      </c>
      <c r="U46" t="inlineStr">
        <is>
          <t xml:space="preserve"> </t>
        </is>
      </c>
      <c r="V46" s="104" t="inlineStr">
        <is>
          <t xml:space="preserve"> </t>
        </is>
      </c>
      <c r="W46" t="inlineStr">
        <is>
          <t>No se encontró ejecución en PIIP</t>
        </is>
      </c>
    </row>
    <row r="47">
      <c r="A47" t="inlineStr">
        <is>
          <t>IP-40</t>
        </is>
      </c>
      <c r="B47" t="inlineStr">
        <is>
          <t>45</t>
        </is>
      </c>
      <c r="C47" t="inlineStr">
        <is>
          <t>Gobierno Territorial</t>
        </is>
      </c>
      <c r="D47" t="inlineStr">
        <is>
          <t>4599</t>
        </is>
      </c>
      <c r="E47" t="inlineStr">
        <is>
          <t>Fortalecimiento a la gestión y dirección de la administración pública territorial</t>
        </is>
      </c>
      <c r="F47" t="inlineStr">
        <is>
          <t>4599025</t>
        </is>
      </c>
      <c r="G47" t="inlineStr">
        <is>
          <t>Servicios de información implementados</t>
        </is>
      </c>
      <c r="H47" t="inlineStr">
        <is>
          <t>459902500</t>
        </is>
      </c>
      <c r="I47" t="inlineStr">
        <is>
          <t>Sistemas de información implementados</t>
        </is>
      </c>
      <c r="J47" t="inlineStr">
        <is>
          <t>202400000006673</t>
        </is>
      </c>
      <c r="K47" t="inlineStr">
        <is>
          <t>Si</t>
        </is>
      </c>
      <c r="L47" t="inlineStr">
        <is>
          <t>Número</t>
        </is>
      </c>
      <c r="M47">
        <v>3</v>
      </c>
      <c r="N47">
        <v>1</v>
      </c>
      <c r="O47">
        <v>0.5</v>
      </c>
      <c r="P47">
        <v>1</v>
      </c>
      <c r="Q47">
        <v>0.5</v>
      </c>
      <c r="R47" t="inlineStr">
        <is>
          <t xml:space="preserve"> </t>
        </is>
      </c>
      <c r="S47" s="103" t="inlineStr">
        <is>
          <t xml:space="preserve"> </t>
        </is>
      </c>
      <c r="T47" t="inlineStr">
        <is>
          <t>No se encontró ejecución en PIIP</t>
        </is>
      </c>
      <c r="U47" t="inlineStr">
        <is>
          <t xml:space="preserve"> </t>
        </is>
      </c>
      <c r="V47" s="104" t="inlineStr">
        <is>
          <t xml:space="preserve"> </t>
        </is>
      </c>
      <c r="W47" t="inlineStr">
        <is>
          <t>No se encontró ejecución en PIIP</t>
        </is>
      </c>
    </row>
    <row r="48">
      <c r="A48" t="inlineStr">
        <is>
          <t>IP-41</t>
        </is>
      </c>
      <c r="B48" t="inlineStr">
        <is>
          <t>41</t>
        </is>
      </c>
      <c r="C48" t="inlineStr">
        <is>
          <t xml:space="preserve">Inclusión social y reconciliación </t>
        </is>
      </c>
      <c r="D48" t="inlineStr">
        <is>
          <t>4104</t>
        </is>
      </c>
      <c r="E48" t="inlineStr">
        <is>
          <t>Atención integral de población en situación permanente de desprotección social y/o familiar</t>
        </is>
      </c>
      <c r="F48" t="inlineStr">
        <is>
          <t>4104008</t>
        </is>
      </c>
      <c r="G48" t="inlineStr">
        <is>
          <t>Servicio de atención y protección integral al adulto mayor</t>
        </is>
      </c>
      <c r="H48" t="inlineStr">
        <is>
          <t>410400800</t>
        </is>
      </c>
      <c r="I48" t="inlineStr">
        <is>
          <t>Adultos mayores atendidos con servicios integrales</t>
        </is>
      </c>
      <c r="J48" t="inlineStr">
        <is>
          <t>202500000003385</t>
        </is>
      </c>
      <c r="K48" t="inlineStr">
        <is>
          <t>Si</t>
        </is>
      </c>
      <c r="L48" t="inlineStr">
        <is>
          <t>Número</t>
        </is>
      </c>
      <c r="M48">
        <v>3600</v>
      </c>
      <c r="N48">
        <v>900</v>
      </c>
      <c r="O48">
        <v>900</v>
      </c>
      <c r="P48">
        <v>900</v>
      </c>
      <c r="Q48">
        <v>900</v>
      </c>
      <c r="R48" t="inlineStr">
        <is>
          <t xml:space="preserve"> </t>
        </is>
      </c>
      <c r="S48" s="103" t="inlineStr">
        <is>
          <t xml:space="preserve"> </t>
        </is>
      </c>
      <c r="T48" t="inlineStr">
        <is>
          <t>No se encontró ejecución en PIIP</t>
        </is>
      </c>
      <c r="U48" t="inlineStr">
        <is>
          <t xml:space="preserve"> </t>
        </is>
      </c>
      <c r="V48" s="104" t="inlineStr">
        <is>
          <t xml:space="preserve"> </t>
        </is>
      </c>
      <c r="W48" t="inlineStr">
        <is>
          <t>No se encontró ejecución en PIIP</t>
        </is>
      </c>
    </row>
    <row r="49">
      <c r="A49" t="inlineStr">
        <is>
          <t>IP-42</t>
        </is>
      </c>
      <c r="B49" t="inlineStr">
        <is>
          <t>40</t>
        </is>
      </c>
      <c r="C49" t="inlineStr">
        <is>
          <t>Vivienda, ciudad y territorio</t>
        </is>
      </c>
      <c r="D49" t="inlineStr">
        <is>
          <t>4003</t>
        </is>
      </c>
      <c r="E49" t="inlineStr">
        <is>
          <t>Acceso de la población a los servicios de agua potable y saneamiento básico</t>
        </is>
      </c>
      <c r="F49" t="inlineStr">
        <is>
          <t>4003020</t>
        </is>
      </c>
      <c r="G49" t="inlineStr">
        <is>
          <t>Alcantarillados optimizados</t>
        </is>
      </c>
      <c r="H49" t="inlineStr">
        <is>
          <t>400302003</t>
        </is>
      </c>
      <c r="I49" t="inlineStr">
        <is>
          <t>Red de alcantarillado optimizada</t>
        </is>
      </c>
      <c r="J49" t="inlineStr">
        <is>
          <t>202400000006996</t>
        </is>
      </c>
      <c r="K49" t="inlineStr">
        <is>
          <t>Si</t>
        </is>
      </c>
      <c r="L49" t="inlineStr">
        <is>
          <t xml:space="preserve">Metros </t>
        </is>
      </c>
      <c r="M49">
        <v>1.8</v>
      </c>
      <c r="N49">
        <v>0.2</v>
      </c>
      <c r="O49">
        <v>0.6</v>
      </c>
      <c r="P49">
        <v>0.5</v>
      </c>
      <c r="Q49">
        <v>0.5</v>
      </c>
      <c r="R49" t="inlineStr">
        <is>
          <t xml:space="preserve"> </t>
        </is>
      </c>
      <c r="S49" s="103" t="inlineStr">
        <is>
          <t xml:space="preserve"> </t>
        </is>
      </c>
      <c r="T49" t="inlineStr">
        <is>
          <t>No se encontró ejecución en PIIP</t>
        </is>
      </c>
      <c r="U49" t="inlineStr">
        <is>
          <t xml:space="preserve"> </t>
        </is>
      </c>
      <c r="V49" s="104" t="inlineStr">
        <is>
          <t xml:space="preserve"> </t>
        </is>
      </c>
      <c r="W49" t="inlineStr">
        <is>
          <t>No se encontró ejecución en PIIP</t>
        </is>
      </c>
    </row>
    <row r="50">
      <c r="A50" t="inlineStr">
        <is>
          <t>IP-44</t>
        </is>
      </c>
      <c r="B50" t="inlineStr">
        <is>
          <t>19</t>
        </is>
      </c>
      <c r="C50" t="inlineStr">
        <is>
          <t>Salud y protección social</t>
        </is>
      </c>
      <c r="D50" t="inlineStr">
        <is>
          <t>1906</t>
        </is>
      </c>
      <c r="E50" t="inlineStr">
        <is>
          <t>Aseguramiento y prestación integral de servicios de salud</t>
        </is>
      </c>
      <c r="F50" t="inlineStr">
        <is>
          <t>1906030</t>
        </is>
      </c>
      <c r="G50" t="inlineStr">
        <is>
          <t>Hospitales de primer nivel de atención construidos y dotados</t>
        </is>
      </c>
      <c r="H50" t="inlineStr">
        <is>
          <t>190603000</t>
        </is>
      </c>
      <c r="I50" t="inlineStr">
        <is>
          <t>Hospitales de primer nivel de atención construidos y dotados</t>
        </is>
      </c>
      <c r="J50" t="inlineStr">
        <is>
          <t>202400000006244</t>
        </is>
      </c>
      <c r="K50" t="inlineStr">
        <is>
          <t>No</t>
        </is>
      </c>
      <c r="L50" t="inlineStr">
        <is>
          <t>Número</t>
        </is>
      </c>
      <c r="M50">
        <v>1</v>
      </c>
      <c r="N50">
        <v>1</v>
      </c>
      <c r="O50">
        <v>1</v>
      </c>
      <c r="P50">
        <v>1</v>
      </c>
      <c r="Q50">
        <v>1</v>
      </c>
      <c r="R50" t="inlineStr">
        <is>
          <t xml:space="preserve"> </t>
        </is>
      </c>
      <c r="S50" s="103" t="inlineStr">
        <is>
          <t xml:space="preserve"> </t>
        </is>
      </c>
      <c r="T50" t="inlineStr">
        <is>
          <t>No se encontró ejecución en PIIP</t>
        </is>
      </c>
      <c r="U50" t="inlineStr">
        <is>
          <t xml:space="preserve"> </t>
        </is>
      </c>
      <c r="V50" s="104" t="inlineStr">
        <is>
          <t xml:space="preserve"> </t>
        </is>
      </c>
      <c r="W50" t="inlineStr">
        <is>
          <t>No se encontró ejecución en PIIP</t>
        </is>
      </c>
    </row>
    <row r="51">
      <c r="A51" t="inlineStr">
        <is>
          <t>IP-45</t>
        </is>
      </c>
      <c r="B51" t="inlineStr">
        <is>
          <t>33</t>
        </is>
      </c>
      <c r="C51" t="inlineStr">
        <is>
          <t>Cultura</t>
        </is>
      </c>
      <c r="D51" t="inlineStr">
        <is>
          <t>3301</t>
        </is>
      </c>
      <c r="E51" t="inlineStr">
        <is>
          <t>Promoción y acceso efectivo a procesos culturales y artísticos</t>
        </is>
      </c>
      <c r="F51" t="inlineStr">
        <is>
          <t>3301053</t>
        </is>
      </c>
      <c r="G51" t="inlineStr">
        <is>
          <t>Servicio de promoción de actividades culturales</t>
        </is>
      </c>
      <c r="H51" t="inlineStr">
        <is>
          <t>330105302</t>
        </is>
      </c>
      <c r="I51" t="inlineStr">
        <is>
          <t>Espectáculos artísticos realizados</t>
        </is>
      </c>
      <c r="J51" t="inlineStr">
        <is>
          <t>2024258170016</t>
        </is>
      </c>
      <c r="K51" t="inlineStr">
        <is>
          <t>Si</t>
        </is>
      </c>
      <c r="L51" t="inlineStr">
        <is>
          <t>Número</t>
        </is>
      </c>
      <c r="M51">
        <v>44</v>
      </c>
      <c r="N51">
        <v>11</v>
      </c>
      <c r="O51">
        <v>11</v>
      </c>
      <c r="P51">
        <v>11</v>
      </c>
      <c r="Q51">
        <v>11</v>
      </c>
      <c r="R51" t="inlineStr">
        <is>
          <t xml:space="preserve"> </t>
        </is>
      </c>
      <c r="S51" s="103" t="inlineStr">
        <is>
          <t xml:space="preserve"> </t>
        </is>
      </c>
      <c r="T51" t="inlineStr">
        <is>
          <t>No se encontró ejecución en PIIP</t>
        </is>
      </c>
      <c r="U51" t="inlineStr">
        <is>
          <t xml:space="preserve"> </t>
        </is>
      </c>
      <c r="V51" s="104" t="inlineStr">
        <is>
          <t xml:space="preserve"> </t>
        </is>
      </c>
      <c r="W51" t="inlineStr">
        <is>
          <t>No se encontró ejecución en PIIP</t>
        </is>
      </c>
    </row>
    <row r="52">
      <c r="A52" t="inlineStr">
        <is>
          <t>IP-46</t>
        </is>
      </c>
      <c r="B52" t="inlineStr">
        <is>
          <t>32</t>
        </is>
      </c>
      <c r="C52" t="inlineStr">
        <is>
          <t>Ambiente y desarrollo sostenible</t>
        </is>
      </c>
      <c r="D52" t="inlineStr">
        <is>
          <t>3201</t>
        </is>
      </c>
      <c r="E52" t="inlineStr">
        <is>
          <t>Fortalecimiento del desempeño ambiental de los sectores productivos</t>
        </is>
      </c>
      <c r="F52" t="inlineStr">
        <is>
          <t>3201015</t>
        </is>
      </c>
      <c r="G52" t="inlineStr">
        <is>
          <t>Documentos de lineamientos técnicos parapromover la gestión sostenible del suelo</t>
        </is>
      </c>
      <c r="H52" t="inlineStr">
        <is>
          <t>320101500</t>
        </is>
      </c>
      <c r="I52" t="inlineStr">
        <is>
          <t xml:space="preserve">Documentos de lineamientos técnicos para  promover la gestión sostenible del suelo elaborados </t>
        </is>
      </c>
      <c r="J52" t="inlineStr">
        <is>
          <t>2024258170055</t>
        </is>
      </c>
      <c r="K52" t="inlineStr">
        <is>
          <t>Si</t>
        </is>
      </c>
      <c r="L52" t="inlineStr">
        <is>
          <t>Número</t>
        </is>
      </c>
      <c r="M52">
        <v>1</v>
      </c>
      <c r="N52">
        <v>0.25</v>
      </c>
      <c r="O52">
        <v>0.3</v>
      </c>
      <c r="P52">
        <v>0.3</v>
      </c>
      <c r="Q52">
        <v>0.15</v>
      </c>
      <c r="R52">
        <v>0</v>
      </c>
      <c r="S52" s="103">
        <v>0</v>
      </c>
      <c r="T52" t="inlineStr">
        <is>
          <t>No se ejecutó en la vigencia</t>
        </is>
      </c>
      <c r="U52">
        <v>0.15</v>
      </c>
      <c r="V52" s="104">
        <v>0.5</v>
      </c>
      <c r="W52" t="inlineStr">
        <is>
          <t>Lo ejecutado está por debajo de lo programado en la vigencia</t>
        </is>
      </c>
    </row>
    <row r="53">
      <c r="A53" t="inlineStr">
        <is>
          <t>IP-47</t>
        </is>
      </c>
      <c r="B53" t="inlineStr">
        <is>
          <t>32</t>
        </is>
      </c>
      <c r="C53" t="inlineStr">
        <is>
          <t>Ambiente y desarrollo sostenible</t>
        </is>
      </c>
      <c r="D53" t="inlineStr">
        <is>
          <t>3202</t>
        </is>
      </c>
      <c r="E53" t="inlineStr">
        <is>
          <t>Conservación de la biodiversidad y sus servicios ecosistémicos</t>
        </is>
      </c>
      <c r="F53" t="inlineStr">
        <is>
          <t>3202001</t>
        </is>
      </c>
      <c r="G53" t="inlineStr">
        <is>
          <t>Documentos de lineamientos técnicos para la conservación de la biodiversidad y sus servicios eco sistémicos</t>
        </is>
      </c>
      <c r="H53" t="inlineStr">
        <is>
          <t>320200110</t>
        </is>
      </c>
      <c r="I53" t="inlineStr">
        <is>
          <t>Documento de lineamientos técnicos para las administración del recurso hídrico</t>
        </is>
      </c>
      <c r="J53" t="inlineStr">
        <is>
          <t>2024258170026</t>
        </is>
      </c>
      <c r="K53" t="inlineStr">
        <is>
          <t>Si</t>
        </is>
      </c>
      <c r="L53" t="inlineStr">
        <is>
          <t>Número</t>
        </is>
      </c>
      <c r="M53">
        <v>1</v>
      </c>
      <c r="N53">
        <v>0.1</v>
      </c>
      <c r="O53">
        <v>0.3</v>
      </c>
      <c r="P53">
        <v>0.3</v>
      </c>
      <c r="Q53">
        <v>0.3</v>
      </c>
      <c r="R53" t="inlineStr">
        <is>
          <t xml:space="preserve"> </t>
        </is>
      </c>
      <c r="S53" s="103" t="inlineStr">
        <is>
          <t xml:space="preserve"> </t>
        </is>
      </c>
      <c r="T53" t="inlineStr">
        <is>
          <t>No se encontró ejecución en PIIP</t>
        </is>
      </c>
      <c r="U53" t="inlineStr">
        <is>
          <t xml:space="preserve"> </t>
        </is>
      </c>
      <c r="V53" s="104" t="inlineStr">
        <is>
          <t xml:space="preserve"> </t>
        </is>
      </c>
      <c r="W53" t="inlineStr">
        <is>
          <t>No se encontró ejecución en PIIP</t>
        </is>
      </c>
    </row>
    <row r="54">
      <c r="A54" t="inlineStr">
        <is>
          <t>IP-48</t>
        </is>
      </c>
      <c r="B54" t="inlineStr">
        <is>
          <t>43</t>
        </is>
      </c>
      <c r="C54" t="inlineStr">
        <is>
          <t>Deporte y Recreación</t>
        </is>
      </c>
      <c r="D54" t="inlineStr">
        <is>
          <t>4301</t>
        </is>
      </c>
      <c r="E54" t="inlineStr">
        <is>
          <t>Fomento a la recreación, la actividad física y el deporte para desarrollar entornos de convivencia y paz</t>
        </is>
      </c>
      <c r="F54" t="inlineStr">
        <is>
          <t>4301015</t>
        </is>
      </c>
      <c r="G54" t="inlineStr">
        <is>
          <t>Canchas multifuncionales construidas y dotadas</t>
        </is>
      </c>
      <c r="H54" t="inlineStr">
        <is>
          <t>430101500</t>
        </is>
      </c>
      <c r="I54" t="inlineStr">
        <is>
          <t>Canchas multifuncionales construidas y dotadas</t>
        </is>
      </c>
      <c r="J54" t="inlineStr">
        <is>
          <t>202400000005086</t>
        </is>
      </c>
      <c r="K54" t="inlineStr">
        <is>
          <t>Si</t>
        </is>
      </c>
      <c r="L54" t="inlineStr">
        <is>
          <t>Número</t>
        </is>
      </c>
      <c r="M54">
        <v>4</v>
      </c>
      <c r="N54">
        <v>0.4</v>
      </c>
      <c r="O54">
        <v>1.2</v>
      </c>
      <c r="P54">
        <v>1.2</v>
      </c>
      <c r="Q54">
        <v>1.2</v>
      </c>
      <c r="R54" t="inlineStr">
        <is>
          <t xml:space="preserve"> </t>
        </is>
      </c>
      <c r="S54" s="103" t="inlineStr">
        <is>
          <t xml:space="preserve"> </t>
        </is>
      </c>
      <c r="T54" t="inlineStr">
        <is>
          <t>No se encontró ejecución en PIIP</t>
        </is>
      </c>
      <c r="U54" t="inlineStr">
        <is>
          <t xml:space="preserve"> </t>
        </is>
      </c>
      <c r="V54" s="104" t="inlineStr">
        <is>
          <t xml:space="preserve"> </t>
        </is>
      </c>
      <c r="W54" t="inlineStr">
        <is>
          <t>No se encontró ejecución en PIIP</t>
        </is>
      </c>
    </row>
    <row r="55">
      <c r="A55" t="inlineStr">
        <is>
          <t>IP-49</t>
        </is>
      </c>
      <c r="B55" t="inlineStr">
        <is>
          <t>32</t>
        </is>
      </c>
      <c r="C55" t="inlineStr">
        <is>
          <t>Ambiente y desarrollo sostenible</t>
        </is>
      </c>
      <c r="D55" t="inlineStr">
        <is>
          <t>3202</t>
        </is>
      </c>
      <c r="E55" t="inlineStr">
        <is>
          <t>Conservación de la biodiversidad y sus servicios ecosistémicos</t>
        </is>
      </c>
      <c r="F55" t="inlineStr">
        <is>
          <t>3202045</t>
        </is>
      </c>
      <c r="G55" t="inlineStr">
        <is>
          <t>Servicio de identificación de suelo de protección</t>
        </is>
      </c>
      <c r="H55" t="inlineStr">
        <is>
          <t>320204500</t>
        </is>
      </c>
      <c r="I55" t="inlineStr">
        <is>
          <t>Nuevas áreas identificadas como suelo de protección</t>
        </is>
      </c>
      <c r="J55" t="inlineStr">
        <is>
          <t>2024258170026</t>
        </is>
      </c>
      <c r="K55" t="inlineStr">
        <is>
          <t>Si</t>
        </is>
      </c>
      <c r="L55" t="inlineStr">
        <is>
          <t>Hectáreas</t>
        </is>
      </c>
      <c r="M55">
        <v>10</v>
      </c>
      <c r="N55">
        <v>1</v>
      </c>
      <c r="O55">
        <v>4</v>
      </c>
      <c r="P55">
        <v>4</v>
      </c>
      <c r="Q55">
        <v>1</v>
      </c>
      <c r="R55">
        <v>0</v>
      </c>
      <c r="S55" s="103">
        <v>0</v>
      </c>
      <c r="T55" t="inlineStr">
        <is>
          <t>No se ejecutó en la vigencia</t>
        </is>
      </c>
      <c r="U55">
        <v>2.08</v>
      </c>
      <c r="V55" s="104">
        <v>0.52</v>
      </c>
      <c r="W55" t="inlineStr">
        <is>
          <t>Lo ejecutado está por debajo de lo programado en la vigencia</t>
        </is>
      </c>
    </row>
    <row r="56">
      <c r="A56" t="inlineStr">
        <is>
          <t>IP-50</t>
        </is>
      </c>
      <c r="B56" t="inlineStr">
        <is>
          <t>24</t>
        </is>
      </c>
      <c r="C56" t="inlineStr">
        <is>
          <t>Transporte</t>
        </is>
      </c>
      <c r="D56" t="inlineStr">
        <is>
          <t>2402</t>
        </is>
      </c>
      <c r="E56" t="inlineStr">
        <is>
          <t>Infraestructura red vial regional</t>
        </is>
      </c>
      <c r="F56" t="inlineStr">
        <is>
          <t>2402130</t>
        </is>
      </c>
      <c r="G56" t="inlineStr">
        <is>
          <t>Puente peatonal de la red urbana construido</t>
        </is>
      </c>
      <c r="H56" t="inlineStr">
        <is>
          <t>240213000</t>
        </is>
      </c>
      <c r="I56" t="inlineStr">
        <is>
          <t>Puentes peatonales de la red urbana construidos</t>
        </is>
      </c>
      <c r="J56" t="inlineStr">
        <is>
          <t>202400000006693</t>
        </is>
      </c>
      <c r="K56" t="inlineStr">
        <is>
          <t>Si</t>
        </is>
      </c>
      <c r="L56" t="inlineStr">
        <is>
          <t>Número</t>
        </is>
      </c>
      <c r="M56">
        <v>3</v>
      </c>
      <c r="N56">
        <v>0</v>
      </c>
      <c r="O56">
        <v>1</v>
      </c>
      <c r="P56">
        <v>1</v>
      </c>
      <c r="Q56">
        <v>1</v>
      </c>
      <c r="R56" t="inlineStr">
        <is>
          <t xml:space="preserve"> </t>
        </is>
      </c>
      <c r="S56" s="103" t="inlineStr">
        <is>
          <t xml:space="preserve"> </t>
        </is>
      </c>
      <c r="T56" t="inlineStr">
        <is>
          <t>No se encontró ejecución en PIIP</t>
        </is>
      </c>
      <c r="U56" t="inlineStr">
        <is>
          <t xml:space="preserve"> </t>
        </is>
      </c>
      <c r="V56" s="104" t="inlineStr">
        <is>
          <t xml:space="preserve"> </t>
        </is>
      </c>
      <c r="W56" t="inlineStr">
        <is>
          <t>No se encontró ejecución en PIIP</t>
        </is>
      </c>
    </row>
    <row r="57">
      <c r="A57" t="inlineStr">
        <is>
          <t>IP-51</t>
        </is>
      </c>
      <c r="B57" t="inlineStr">
        <is>
          <t>41</t>
        </is>
      </c>
      <c r="C57" t="inlineStr">
        <is>
          <t xml:space="preserve">Inclusión social y reconciliación </t>
        </is>
      </c>
      <c r="D57" t="inlineStr">
        <is>
          <t>4104</t>
        </is>
      </c>
      <c r="E57" t="inlineStr">
        <is>
          <t>Atención integral de población en situación permanente de desprotección social y/o familiar</t>
        </is>
      </c>
      <c r="F57" t="inlineStr">
        <is>
          <t>4104020</t>
        </is>
      </c>
      <c r="G57" t="inlineStr">
        <is>
          <t>Servicio de atención integral a población en condición de discapacidad</t>
        </is>
      </c>
      <c r="H57" t="inlineStr">
        <is>
          <t>410402000</t>
        </is>
      </c>
      <c r="I57" t="inlineStr">
        <is>
          <t>Personas con discapacidad atendidas con servicios integrales</t>
        </is>
      </c>
      <c r="J57" t="inlineStr">
        <is>
          <t>202500000003427</t>
        </is>
      </c>
      <c r="K57" t="inlineStr">
        <is>
          <t>No</t>
        </is>
      </c>
      <c r="L57" t="inlineStr">
        <is>
          <t>Número</t>
        </is>
      </c>
      <c r="M57">
        <v>480</v>
      </c>
      <c r="N57">
        <v>120</v>
      </c>
      <c r="O57">
        <v>240</v>
      </c>
      <c r="P57">
        <v>360</v>
      </c>
      <c r="Q57">
        <v>480</v>
      </c>
      <c r="R57" t="inlineStr">
        <is>
          <t xml:space="preserve"> </t>
        </is>
      </c>
      <c r="S57" s="103" t="inlineStr">
        <is>
          <t xml:space="preserve"> </t>
        </is>
      </c>
      <c r="T57" t="inlineStr">
        <is>
          <t>No se encontró ejecución en PIIP</t>
        </is>
      </c>
      <c r="U57">
        <v>87</v>
      </c>
      <c r="V57" s="104">
        <v>0.3625</v>
      </c>
      <c r="W57" t="inlineStr">
        <is>
          <t>Lo ejecutado está por debajo de lo programado en la vigencia</t>
        </is>
      </c>
    </row>
    <row r="58">
      <c r="A58" t="inlineStr">
        <is>
          <t>IP-52</t>
        </is>
      </c>
      <c r="B58" t="inlineStr">
        <is>
          <t>43</t>
        </is>
      </c>
      <c r="C58" t="inlineStr">
        <is>
          <t>Deporte y Recreación</t>
        </is>
      </c>
      <c r="D58" t="inlineStr">
        <is>
          <t>4301</t>
        </is>
      </c>
      <c r="E58" t="inlineStr">
        <is>
          <t>Fomento a la recreación, la actividad física y el deporte para desarrollar entornos de convivencia y paz</t>
        </is>
      </c>
      <c r="F58" t="inlineStr">
        <is>
          <t>4301006</t>
        </is>
      </c>
      <c r="G58" t="inlineStr">
        <is>
          <t>Documentos normativos</t>
        </is>
      </c>
      <c r="H58" t="inlineStr">
        <is>
          <t>430100600</t>
        </is>
      </c>
      <c r="I58" t="inlineStr">
        <is>
          <t>Documentos normativos realizados</t>
        </is>
      </c>
      <c r="J58" t="inlineStr">
        <is>
          <t>2024258170020</t>
        </is>
      </c>
      <c r="K58" t="inlineStr">
        <is>
          <t>Si</t>
        </is>
      </c>
      <c r="L58" t="inlineStr">
        <is>
          <t>Número</t>
        </is>
      </c>
      <c r="M58">
        <v>1</v>
      </c>
      <c r="N58">
        <v>0.5</v>
      </c>
      <c r="O58">
        <v>0.5</v>
      </c>
      <c r="P58">
        <v>0</v>
      </c>
      <c r="Q58">
        <v>0</v>
      </c>
      <c r="R58" t="inlineStr">
        <is>
          <t xml:space="preserve"> </t>
        </is>
      </c>
      <c r="S58" s="103" t="inlineStr">
        <is>
          <t xml:space="preserve"> </t>
        </is>
      </c>
      <c r="T58" t="inlineStr">
        <is>
          <t>No se encontró ejecución en PIIP</t>
        </is>
      </c>
      <c r="U58" t="inlineStr">
        <is>
          <t xml:space="preserve"> </t>
        </is>
      </c>
      <c r="V58" s="104" t="inlineStr">
        <is>
          <t xml:space="preserve"> </t>
        </is>
      </c>
      <c r="W58" t="inlineStr">
        <is>
          <t>No se encontró ejecución en PIIP</t>
        </is>
      </c>
    </row>
    <row r="59">
      <c r="A59" t="inlineStr">
        <is>
          <t>IP-53</t>
        </is>
      </c>
      <c r="B59" t="inlineStr">
        <is>
          <t>36</t>
        </is>
      </c>
      <c r="C59" t="inlineStr">
        <is>
          <t>Trabajo</t>
        </is>
      </c>
      <c r="D59" t="inlineStr">
        <is>
          <t>3602</t>
        </is>
      </c>
      <c r="E59" t="inlineStr">
        <is>
          <t>Generación y formalización del empleo</t>
        </is>
      </c>
      <c r="F59" t="inlineStr">
        <is>
          <t>3602031</t>
        </is>
      </c>
      <c r="G59" t="inlineStr">
        <is>
          <t>Servicio de formación para el trabajo en competencias para la inserción laboral</t>
        </is>
      </c>
      <c r="H59" t="inlineStr">
        <is>
          <t>360203100</t>
        </is>
      </c>
      <c r="I59" t="inlineStr">
        <is>
          <t>Personas formadas</t>
        </is>
      </c>
      <c r="J59" t="inlineStr">
        <is>
          <t>202400000006204</t>
        </is>
      </c>
      <c r="K59" t="inlineStr">
        <is>
          <t>No</t>
        </is>
      </c>
      <c r="L59" t="inlineStr">
        <is>
          <t>Número</t>
        </is>
      </c>
      <c r="M59">
        <v>1</v>
      </c>
      <c r="N59">
        <v>1</v>
      </c>
      <c r="O59">
        <v>1</v>
      </c>
      <c r="P59">
        <v>1</v>
      </c>
      <c r="Q59">
        <v>1</v>
      </c>
      <c r="R59" t="inlineStr">
        <is>
          <t xml:space="preserve"> </t>
        </is>
      </c>
      <c r="S59" s="103" t="inlineStr">
        <is>
          <t xml:space="preserve"> </t>
        </is>
      </c>
      <c r="T59" t="inlineStr">
        <is>
          <t>No se encontró ejecución en PIIP</t>
        </is>
      </c>
      <c r="U59">
        <v>3726003</v>
      </c>
      <c r="V59" s="104">
        <v>3726003</v>
      </c>
      <c r="W59" t="inlineStr">
        <is>
          <t>Hubo ejecución por encima de lo programado en SisPT</t>
        </is>
      </c>
    </row>
    <row r="60">
      <c r="A60" t="inlineStr">
        <is>
          <t>IP-54</t>
        </is>
      </c>
      <c r="B60" t="inlineStr">
        <is>
          <t>43</t>
        </is>
      </c>
      <c r="C60" t="inlineStr">
        <is>
          <t>Deporte y Recreación</t>
        </is>
      </c>
      <c r="D60" t="inlineStr">
        <is>
          <t>4301</t>
        </is>
      </c>
      <c r="E60" t="inlineStr">
        <is>
          <t>Fomento a la recreación, la actividad física y el deporte para desarrollar entornos de convivencia y paz</t>
        </is>
      </c>
      <c r="F60" t="inlineStr">
        <is>
          <t>4301032</t>
        </is>
      </c>
      <c r="G60" t="inlineStr">
        <is>
          <t>Servicio de organización de eventos deportivos comunitarios</t>
        </is>
      </c>
      <c r="H60" t="inlineStr">
        <is>
          <t>430103201</t>
        </is>
      </c>
      <c r="I60" t="inlineStr">
        <is>
          <t>Personas beneficiadas</t>
        </is>
      </c>
      <c r="J60" t="inlineStr">
        <is>
          <t>2024258170020</t>
        </is>
      </c>
      <c r="K60" t="inlineStr">
        <is>
          <t>Si</t>
        </is>
      </c>
      <c r="L60" t="inlineStr">
        <is>
          <t>Número</t>
        </is>
      </c>
      <c r="M60">
        <v>40</v>
      </c>
      <c r="N60">
        <v>10</v>
      </c>
      <c r="O60">
        <v>10</v>
      </c>
      <c r="P60">
        <v>10</v>
      </c>
      <c r="Q60">
        <v>10</v>
      </c>
      <c r="R60" t="inlineStr">
        <is>
          <t xml:space="preserve"> </t>
        </is>
      </c>
      <c r="S60" s="103" t="inlineStr">
        <is>
          <t xml:space="preserve"> </t>
        </is>
      </c>
      <c r="T60" t="inlineStr">
        <is>
          <t>No se encontró ejecución en PIIP</t>
        </is>
      </c>
      <c r="U60" t="inlineStr">
        <is>
          <t xml:space="preserve"> </t>
        </is>
      </c>
      <c r="V60" s="104" t="inlineStr">
        <is>
          <t xml:space="preserve"> </t>
        </is>
      </c>
      <c r="W60" t="inlineStr">
        <is>
          <t>No se encontró ejecución en PIIP</t>
        </is>
      </c>
    </row>
    <row r="61">
      <c r="A61" t="inlineStr">
        <is>
          <t>IP-55</t>
        </is>
      </c>
      <c r="B61" t="inlineStr">
        <is>
          <t>43</t>
        </is>
      </c>
      <c r="C61" t="inlineStr">
        <is>
          <t>Deporte y Recreación</t>
        </is>
      </c>
      <c r="D61" t="inlineStr">
        <is>
          <t>4301</t>
        </is>
      </c>
      <c r="E61" t="inlineStr">
        <is>
          <t>Fomento a la recreación, la actividad física y el deporte para desarrollar entornos de convivencia y paz</t>
        </is>
      </c>
      <c r="F61" t="inlineStr">
        <is>
          <t>4301030</t>
        </is>
      </c>
      <c r="G61" t="inlineStr">
        <is>
          <t>Parque recreo-deportivo construido y dotado</t>
        </is>
      </c>
      <c r="H61" t="inlineStr">
        <is>
          <t>430103000</t>
        </is>
      </c>
      <c r="I61" t="inlineStr">
        <is>
          <t>Parque recreo-deportivo construido y dotado</t>
        </is>
      </c>
      <c r="J61" t="inlineStr">
        <is>
          <t>2024258170020</t>
        </is>
      </c>
      <c r="K61" t="inlineStr">
        <is>
          <t>Si</t>
        </is>
      </c>
      <c r="L61" t="inlineStr">
        <is>
          <t>Número</t>
        </is>
      </c>
      <c r="M61">
        <v>5</v>
      </c>
      <c r="N61">
        <v>1</v>
      </c>
      <c r="O61">
        <v>2</v>
      </c>
      <c r="P61">
        <v>1</v>
      </c>
      <c r="Q61">
        <v>1</v>
      </c>
      <c r="R61">
        <v>0</v>
      </c>
      <c r="S61" s="103">
        <v>0</v>
      </c>
      <c r="T61" t="inlineStr">
        <is>
          <t>No se ejecutó en la vigencia</t>
        </is>
      </c>
      <c r="U61" t="inlineStr">
        <is>
          <t xml:space="preserve"> </t>
        </is>
      </c>
      <c r="V61" s="104" t="inlineStr">
        <is>
          <t xml:space="preserve"> </t>
        </is>
      </c>
      <c r="W61" t="inlineStr">
        <is>
          <t>No se encontró ejecución en PIIP</t>
        </is>
      </c>
    </row>
    <row r="62">
      <c r="A62" t="inlineStr">
        <is>
          <t>IP-56</t>
        </is>
      </c>
      <c r="B62" t="inlineStr">
        <is>
          <t>45</t>
        </is>
      </c>
      <c r="C62" t="inlineStr">
        <is>
          <t>Gobierno Territorial</t>
        </is>
      </c>
      <c r="D62" t="inlineStr">
        <is>
          <t>4599</t>
        </is>
      </c>
      <c r="E62" t="inlineStr">
        <is>
          <t>Fortalecimiento a la gestión y dirección de la administración pública territorial</t>
        </is>
      </c>
      <c r="F62" t="inlineStr">
        <is>
          <t>4599008</t>
        </is>
      </c>
      <c r="G62" t="inlineStr">
        <is>
          <t>Sede construida y dotada</t>
        </is>
      </c>
      <c r="H62" t="inlineStr">
        <is>
          <t>459900800</t>
        </is>
      </c>
      <c r="I62" t="inlineStr">
        <is>
          <t>Sede construida y dotada</t>
        </is>
      </c>
      <c r="J62" t="inlineStr">
        <is>
          <t>202500000042157</t>
        </is>
      </c>
      <c r="K62" t="inlineStr">
        <is>
          <t>Si</t>
        </is>
      </c>
      <c r="L62" t="inlineStr">
        <is>
          <t>Número</t>
        </is>
      </c>
      <c r="M62">
        <v>1</v>
      </c>
      <c r="N62">
        <v>0</v>
      </c>
      <c r="O62">
        <v>0</v>
      </c>
      <c r="P62">
        <v>1</v>
      </c>
      <c r="Q62">
        <v>0</v>
      </c>
      <c r="R62" t="inlineStr">
        <is>
          <t xml:space="preserve"> </t>
        </is>
      </c>
      <c r="S62" s="103" t="inlineStr">
        <is>
          <t xml:space="preserve"> </t>
        </is>
      </c>
      <c r="T62" t="inlineStr">
        <is>
          <t>No se encontró ejecución en PIIP</t>
        </is>
      </c>
      <c r="U62" t="inlineStr">
        <is>
          <t xml:space="preserve"> </t>
        </is>
      </c>
      <c r="V62" s="104" t="inlineStr">
        <is>
          <t xml:space="preserve"> </t>
        </is>
      </c>
      <c r="W62" t="inlineStr">
        <is>
          <t>No se encontró ejecución en PIIP</t>
        </is>
      </c>
    </row>
    <row r="63">
      <c r="A63" t="inlineStr">
        <is>
          <t>IP-57</t>
        </is>
      </c>
      <c r="B63" t="inlineStr">
        <is>
          <t>12</t>
        </is>
      </c>
      <c r="C63" t="inlineStr">
        <is>
          <t>Justicia y del derecho</t>
        </is>
      </c>
      <c r="D63" t="inlineStr">
        <is>
          <t>1202</t>
        </is>
      </c>
      <c r="E63" t="inlineStr">
        <is>
          <t>Promoción al acceso a la justicia</t>
        </is>
      </c>
      <c r="F63" t="inlineStr">
        <is>
          <t>1202013</t>
        </is>
      </c>
      <c r="G63" t="inlineStr">
        <is>
          <t>Casa de justicia dotada</t>
        </is>
      </c>
      <c r="H63" t="inlineStr">
        <is>
          <t>120201300</t>
        </is>
      </c>
      <c r="I63" t="inlineStr">
        <is>
          <t>Casas de justicia dotadas</t>
        </is>
      </c>
      <c r="J63" t="inlineStr">
        <is>
          <t>2024258170009</t>
        </is>
      </c>
      <c r="K63" t="inlineStr">
        <is>
          <t>Si</t>
        </is>
      </c>
      <c r="L63" t="inlineStr">
        <is>
          <t>Número</t>
        </is>
      </c>
      <c r="M63">
        <v>1</v>
      </c>
      <c r="N63">
        <v>0.1</v>
      </c>
      <c r="O63">
        <v>0.3</v>
      </c>
      <c r="P63">
        <v>0.3</v>
      </c>
      <c r="Q63">
        <v>0.3</v>
      </c>
      <c r="R63" t="inlineStr">
        <is>
          <t xml:space="preserve"> </t>
        </is>
      </c>
      <c r="S63" s="103" t="inlineStr">
        <is>
          <t xml:space="preserve"> </t>
        </is>
      </c>
      <c r="T63" t="inlineStr">
        <is>
          <t>No se encontró ejecución en PIIP</t>
        </is>
      </c>
      <c r="U63" t="inlineStr">
        <is>
          <t xml:space="preserve"> </t>
        </is>
      </c>
      <c r="V63" s="104" t="inlineStr">
        <is>
          <t xml:space="preserve"> </t>
        </is>
      </c>
      <c r="W63" t="inlineStr">
        <is>
          <t>No se encontró ejecución en PIIP</t>
        </is>
      </c>
    </row>
    <row r="64">
      <c r="A64" t="inlineStr">
        <is>
          <t>IP-58</t>
        </is>
      </c>
      <c r="B64" t="inlineStr">
        <is>
          <t>40</t>
        </is>
      </c>
      <c r="C64" t="inlineStr">
        <is>
          <t>Vivienda, ciudad y territorio</t>
        </is>
      </c>
      <c r="D64" t="inlineStr">
        <is>
          <t>4003</t>
        </is>
      </c>
      <c r="E64" t="inlineStr">
        <is>
          <t>Acceso de la población a los servicios de agua potable y saneamiento básico</t>
        </is>
      </c>
      <c r="F64" t="inlineStr">
        <is>
          <t>4003015</t>
        </is>
      </c>
      <c r="G64" t="inlineStr">
        <is>
          <t>Acueductos construidos</t>
        </is>
      </c>
      <c r="H64" t="inlineStr">
        <is>
          <t>400301504</t>
        </is>
      </c>
      <c r="I64" t="inlineStr">
        <is>
          <t>Red de distribución construida</t>
        </is>
      </c>
      <c r="J64" t="inlineStr">
        <is>
          <t>202400000007000</t>
        </is>
      </c>
      <c r="K64" t="inlineStr">
        <is>
          <t>Si</t>
        </is>
      </c>
      <c r="L64" t="inlineStr">
        <is>
          <t xml:space="preserve">Metros </t>
        </is>
      </c>
      <c r="M64">
        <v>1.5</v>
      </c>
      <c r="N64">
        <v>0.5</v>
      </c>
      <c r="O64">
        <v>0.5</v>
      </c>
      <c r="P64">
        <v>0.5</v>
      </c>
      <c r="Q64">
        <v>0</v>
      </c>
      <c r="R64" t="inlineStr">
        <is>
          <t xml:space="preserve"> </t>
        </is>
      </c>
      <c r="S64" s="103" t="inlineStr">
        <is>
          <t xml:space="preserve"> </t>
        </is>
      </c>
      <c r="T64" t="inlineStr">
        <is>
          <t>No se encontró ejecución en PIIP</t>
        </is>
      </c>
      <c r="U64" t="inlineStr">
        <is>
          <t xml:space="preserve"> </t>
        </is>
      </c>
      <c r="V64" s="104" t="inlineStr">
        <is>
          <t xml:space="preserve"> </t>
        </is>
      </c>
      <c r="W64" t="inlineStr">
        <is>
          <t>No se encontró ejecución en PIIP</t>
        </is>
      </c>
    </row>
    <row r="65">
      <c r="A65" t="inlineStr">
        <is>
          <t>IP-60</t>
        </is>
      </c>
      <c r="B65" t="inlineStr">
        <is>
          <t>45</t>
        </is>
      </c>
      <c r="C65" t="inlineStr">
        <is>
          <t>Gobierno Territorial</t>
        </is>
      </c>
      <c r="D65" t="inlineStr">
        <is>
          <t>4599</t>
        </is>
      </c>
      <c r="E65" t="inlineStr">
        <is>
          <t>Fortalecimiento a la gestión y dirección de la administración pública territorial</t>
        </is>
      </c>
      <c r="F65" t="inlineStr">
        <is>
          <t>4599002</t>
        </is>
      </c>
      <c r="G65" t="inlineStr">
        <is>
          <t>Servicio de saneamiento fiscal y financiero</t>
        </is>
      </c>
      <c r="H65" t="inlineStr">
        <is>
          <t>459900201</t>
        </is>
      </c>
      <c r="I65" t="inlineStr">
        <is>
          <t>Estrategia para el mejoramiento del Índice de Desempeño Fiscal ejecutada</t>
        </is>
      </c>
      <c r="J65" t="inlineStr">
        <is>
          <t>2024258170042</t>
        </is>
      </c>
      <c r="K65" t="inlineStr">
        <is>
          <t>Si</t>
        </is>
      </c>
      <c r="L65" t="inlineStr">
        <is>
          <t>Número</t>
        </is>
      </c>
      <c r="M65">
        <v>11</v>
      </c>
      <c r="N65">
        <v>2</v>
      </c>
      <c r="O65">
        <v>3</v>
      </c>
      <c r="P65">
        <v>3</v>
      </c>
      <c r="Q65">
        <v>3</v>
      </c>
      <c r="R65" t="inlineStr">
        <is>
          <t xml:space="preserve"> </t>
        </is>
      </c>
      <c r="S65" s="103" t="inlineStr">
        <is>
          <t xml:space="preserve"> </t>
        </is>
      </c>
      <c r="T65" t="inlineStr">
        <is>
          <t>No se encontró ejecución en PIIP</t>
        </is>
      </c>
      <c r="U65" t="inlineStr">
        <is>
          <t xml:space="preserve"> </t>
        </is>
      </c>
      <c r="V65" s="104" t="inlineStr">
        <is>
          <t xml:space="preserve"> </t>
        </is>
      </c>
      <c r="W65" t="inlineStr">
        <is>
          <t>No se encontró ejecución en PIIP</t>
        </is>
      </c>
    </row>
    <row r="66">
      <c r="A66" t="inlineStr">
        <is>
          <t>IP-61</t>
        </is>
      </c>
      <c r="B66" t="inlineStr">
        <is>
          <t>33</t>
        </is>
      </c>
      <c r="C66" t="inlineStr">
        <is>
          <t>Cultura</t>
        </is>
      </c>
      <c r="D66" t="inlineStr">
        <is>
          <t>3301</t>
        </is>
      </c>
      <c r="E66" t="inlineStr">
        <is>
          <t>Promoción y acceso efectivo a procesos culturales y artísticos</t>
        </is>
      </c>
      <c r="F66" t="inlineStr">
        <is>
          <t>3301068</t>
        </is>
      </c>
      <c r="G66" t="inlineStr">
        <is>
          <t>Servicio de mantenimiento de infraestructura cultural</t>
        </is>
      </c>
      <c r="H66" t="inlineStr">
        <is>
          <t>330106800</t>
        </is>
      </c>
      <c r="I66" t="inlineStr">
        <is>
          <t>Infraestructura cultural intervenida</t>
        </is>
      </c>
      <c r="J66" t="inlineStr">
        <is>
          <t>2024258170044</t>
        </is>
      </c>
      <c r="K66" t="inlineStr">
        <is>
          <t>Si</t>
        </is>
      </c>
      <c r="L66" t="inlineStr">
        <is>
          <t>Número</t>
        </is>
      </c>
      <c r="M66">
        <v>4</v>
      </c>
      <c r="N66">
        <v>1</v>
      </c>
      <c r="O66">
        <v>1</v>
      </c>
      <c r="P66">
        <v>1</v>
      </c>
      <c r="Q66">
        <v>1</v>
      </c>
      <c r="R66" t="inlineStr">
        <is>
          <t xml:space="preserve"> </t>
        </is>
      </c>
      <c r="S66" s="103" t="inlineStr">
        <is>
          <t xml:space="preserve"> </t>
        </is>
      </c>
      <c r="T66" t="inlineStr">
        <is>
          <t>No se encontró ejecución en PIIP</t>
        </is>
      </c>
      <c r="U66" t="inlineStr">
        <is>
          <t xml:space="preserve"> </t>
        </is>
      </c>
      <c r="V66" s="104" t="inlineStr">
        <is>
          <t xml:space="preserve"> </t>
        </is>
      </c>
      <c r="W66" t="inlineStr">
        <is>
          <t>No se encontró ejecución en PIIP</t>
        </is>
      </c>
    </row>
    <row r="67">
      <c r="A67" t="inlineStr">
        <is>
          <t>IP-62</t>
        </is>
      </c>
      <c r="B67" t="inlineStr">
        <is>
          <t>24</t>
        </is>
      </c>
      <c r="C67" t="inlineStr">
        <is>
          <t>Transporte</t>
        </is>
      </c>
      <c r="D67" t="inlineStr">
        <is>
          <t>2402</t>
        </is>
      </c>
      <c r="E67" t="inlineStr">
        <is>
          <t>Infraestructura red vial regional</t>
        </is>
      </c>
      <c r="F67" t="inlineStr">
        <is>
          <t>2402034</t>
        </is>
      </c>
      <c r="G67" t="inlineStr">
        <is>
          <t>Ciclo infraestructura de la redsecundaria con mantenimiento</t>
        </is>
      </c>
      <c r="H67" t="inlineStr">
        <is>
          <t>240203401</t>
        </is>
      </c>
      <c r="I67" t="inlineStr">
        <is>
          <t>Ciclo infraestructura de la red secundaria con mantenimiento</t>
        </is>
      </c>
      <c r="J67" t="inlineStr">
        <is>
          <t>202400000006693</t>
        </is>
      </c>
      <c r="K67" t="inlineStr">
        <is>
          <t>Si</t>
        </is>
      </c>
      <c r="L67" t="inlineStr">
        <is>
          <t>Kilómetros</t>
        </is>
      </c>
      <c r="M67">
        <v>10</v>
      </c>
      <c r="N67">
        <v>0</v>
      </c>
      <c r="O67">
        <v>2</v>
      </c>
      <c r="P67">
        <v>3</v>
      </c>
      <c r="Q67">
        <v>5</v>
      </c>
      <c r="R67" t="inlineStr">
        <is>
          <t xml:space="preserve"> </t>
        </is>
      </c>
      <c r="S67" s="103" t="inlineStr">
        <is>
          <t xml:space="preserve"> </t>
        </is>
      </c>
      <c r="T67" t="inlineStr">
        <is>
          <t>No se encontró ejecución en PIIP</t>
        </is>
      </c>
      <c r="U67" t="inlineStr">
        <is>
          <t xml:space="preserve"> </t>
        </is>
      </c>
      <c r="V67" s="104" t="inlineStr">
        <is>
          <t xml:space="preserve"> </t>
        </is>
      </c>
      <c r="W67" t="inlineStr">
        <is>
          <t>No se encontró ejecución en PIIP</t>
        </is>
      </c>
    </row>
    <row r="68">
      <c r="A68" t="inlineStr">
        <is>
          <t>IP-63</t>
        </is>
      </c>
      <c r="B68" t="inlineStr">
        <is>
          <t>41</t>
        </is>
      </c>
      <c r="C68" t="inlineStr">
        <is>
          <t xml:space="preserve">Inclusión social y reconciliación </t>
        </is>
      </c>
      <c r="D68" t="inlineStr">
        <is>
          <t>4102</t>
        </is>
      </c>
      <c r="E68" t="inlineStr">
        <is>
          <t>Desarrollo integral de la primera infancia a la juventud, y fortalecimiento de las capacidades de las familias de niñas, niños y adolescentes</t>
        </is>
      </c>
      <c r="F68" t="inlineStr">
        <is>
          <t>4102047</t>
        </is>
      </c>
      <c r="G68" t="inlineStr">
        <is>
          <t>Servicios de asistencia técnica en políticas públicas de infancia, adolescencia y juventud</t>
        </is>
      </c>
      <c r="H68" t="inlineStr">
        <is>
          <t>410204700</t>
        </is>
      </c>
      <c r="I68" t="inlineStr">
        <is>
          <t>Agentes de la institucionalidad de infancia, adolescencia y juventud  asistidos técnicamente</t>
        </is>
      </c>
      <c r="J68" t="inlineStr">
        <is>
          <t>202400000006899</t>
        </is>
      </c>
      <c r="K68" t="inlineStr">
        <is>
          <t>No</t>
        </is>
      </c>
      <c r="L68" t="inlineStr">
        <is>
          <t>Número</t>
        </is>
      </c>
      <c r="M68">
        <v>1</v>
      </c>
      <c r="N68">
        <v>0</v>
      </c>
      <c r="O68">
        <v>0</v>
      </c>
      <c r="P68">
        <v>0.5</v>
      </c>
      <c r="Q68">
        <v>0.5</v>
      </c>
      <c r="R68" t="inlineStr">
        <is>
          <t xml:space="preserve"> </t>
        </is>
      </c>
      <c r="S68" s="103" t="inlineStr">
        <is>
          <t xml:space="preserve"> </t>
        </is>
      </c>
      <c r="T68" t="inlineStr">
        <is>
          <t>No se encontró ejecución en PIIP</t>
        </is>
      </c>
      <c r="U68" t="inlineStr">
        <is>
          <t xml:space="preserve"> </t>
        </is>
      </c>
      <c r="V68" s="104" t="inlineStr">
        <is>
          <t xml:space="preserve"> </t>
        </is>
      </c>
      <c r="W68" t="inlineStr">
        <is>
          <t>No se encontró ejecución en PIIP</t>
        </is>
      </c>
    </row>
    <row r="69">
      <c r="A69" t="inlineStr">
        <is>
          <t>IP-64</t>
        </is>
      </c>
      <c r="B69" t="inlineStr">
        <is>
          <t>24</t>
        </is>
      </c>
      <c r="C69" t="inlineStr">
        <is>
          <t>Transporte</t>
        </is>
      </c>
      <c r="D69" t="inlineStr">
        <is>
          <t>2409</t>
        </is>
      </c>
      <c r="E69" t="inlineStr">
        <is>
          <t>Seguridad de transporte</t>
        </is>
      </c>
      <c r="F69" t="inlineStr">
        <is>
          <t>2409014</t>
        </is>
      </c>
      <c r="G69" t="inlineStr">
        <is>
          <t>Documentos de planeación</t>
        </is>
      </c>
      <c r="H69" t="inlineStr">
        <is>
          <t>240901400</t>
        </is>
      </c>
      <c r="I69" t="inlineStr">
        <is>
          <t>Documentos de planeación realizados</t>
        </is>
      </c>
      <c r="J69" t="inlineStr">
        <is>
          <t>202500000004852</t>
        </is>
      </c>
      <c r="K69" t="inlineStr">
        <is>
          <t>Si</t>
        </is>
      </c>
      <c r="L69" t="inlineStr">
        <is>
          <t>Número</t>
        </is>
      </c>
      <c r="M69">
        <v>1</v>
      </c>
      <c r="N69">
        <v>0.5</v>
      </c>
      <c r="O69">
        <v>0.5</v>
      </c>
      <c r="P69">
        <v>0</v>
      </c>
      <c r="Q69">
        <v>0</v>
      </c>
      <c r="R69" t="inlineStr">
        <is>
          <t xml:space="preserve"> </t>
        </is>
      </c>
      <c r="S69" s="103" t="inlineStr">
        <is>
          <t xml:space="preserve"> </t>
        </is>
      </c>
      <c r="T69" t="inlineStr">
        <is>
          <t>No se encontró ejecución en PIIP</t>
        </is>
      </c>
      <c r="U69" t="inlineStr">
        <is>
          <t xml:space="preserve"> </t>
        </is>
      </c>
      <c r="V69" s="104" t="inlineStr">
        <is>
          <t xml:space="preserve"> </t>
        </is>
      </c>
      <c r="W69" t="inlineStr">
        <is>
          <t>No se encontró ejecución en PIIP</t>
        </is>
      </c>
    </row>
    <row r="70">
      <c r="A70" t="inlineStr">
        <is>
          <t>IP-65</t>
        </is>
      </c>
      <c r="B70" t="inlineStr">
        <is>
          <t>41</t>
        </is>
      </c>
      <c r="C70" t="inlineStr">
        <is>
          <t xml:space="preserve">Inclusión social y reconciliación </t>
        </is>
      </c>
      <c r="D70" t="inlineStr">
        <is>
          <t>4102</t>
        </is>
      </c>
      <c r="E70" t="inlineStr">
        <is>
          <t>Desarrollo integral de la primera infancia a la juventud, y fortalecimiento de las capacidades de las familias de niñas, niños y adolescentes</t>
        </is>
      </c>
      <c r="F70" t="inlineStr">
        <is>
          <t>4102043</t>
        </is>
      </c>
      <c r="G70" t="inlineStr">
        <is>
          <t>Servicio de promoción de temas de dinámica relacional y desarrollo autónomo</t>
        </is>
      </c>
      <c r="H70" t="inlineStr">
        <is>
          <t>410204300</t>
        </is>
      </c>
      <c r="I70" t="inlineStr">
        <is>
          <t>Familias atendidas</t>
        </is>
      </c>
      <c r="J70" t="inlineStr">
        <is>
          <t>202400000006899</t>
        </is>
      </c>
      <c r="K70" t="inlineStr">
        <is>
          <t>Si</t>
        </is>
      </c>
      <c r="L70" t="inlineStr">
        <is>
          <t>Número</t>
        </is>
      </c>
      <c r="M70">
        <v>4</v>
      </c>
      <c r="N70">
        <v>1</v>
      </c>
      <c r="O70">
        <v>1</v>
      </c>
      <c r="P70">
        <v>1</v>
      </c>
      <c r="Q70">
        <v>1</v>
      </c>
      <c r="R70" t="inlineStr">
        <is>
          <t xml:space="preserve"> </t>
        </is>
      </c>
      <c r="S70" s="103" t="inlineStr">
        <is>
          <t xml:space="preserve"> </t>
        </is>
      </c>
      <c r="T70" t="inlineStr">
        <is>
          <t>No se encontró ejecución en PIIP</t>
        </is>
      </c>
      <c r="U70" t="inlineStr">
        <is>
          <t xml:space="preserve"> </t>
        </is>
      </c>
      <c r="V70" s="104" t="inlineStr">
        <is>
          <t xml:space="preserve"> </t>
        </is>
      </c>
      <c r="W70" t="inlineStr">
        <is>
          <t>No se encontró ejecución en PIIP</t>
        </is>
      </c>
    </row>
    <row r="71">
      <c r="A71" t="inlineStr">
        <is>
          <t>IP-66</t>
        </is>
      </c>
      <c r="B71" t="inlineStr">
        <is>
          <t>24</t>
        </is>
      </c>
      <c r="C71" t="inlineStr">
        <is>
          <t>Transporte</t>
        </is>
      </c>
      <c r="D71" t="inlineStr">
        <is>
          <t>2409</t>
        </is>
      </c>
      <c r="E71" t="inlineStr">
        <is>
          <t>Seguridad de transporte</t>
        </is>
      </c>
      <c r="F71" t="inlineStr">
        <is>
          <t>2409013</t>
        </is>
      </c>
      <c r="G71" t="inlineStr">
        <is>
          <t>Infraestructura de transporte para la seguridad vial</t>
        </is>
      </c>
      <c r="H71" t="inlineStr">
        <is>
          <t>240901300</t>
        </is>
      </c>
      <c r="I71" t="inlineStr">
        <is>
          <t xml:space="preserve">Vías con infraestructura instalada </t>
        </is>
      </c>
      <c r="J71" t="inlineStr">
        <is>
          <t>202400000006694</t>
        </is>
      </c>
      <c r="K71" t="inlineStr">
        <is>
          <t>Si</t>
        </is>
      </c>
      <c r="L71" t="inlineStr">
        <is>
          <t>Metros lineales</t>
        </is>
      </c>
      <c r="M71">
        <v>8000</v>
      </c>
      <c r="N71">
        <v>0</v>
      </c>
      <c r="O71">
        <v>1000</v>
      </c>
      <c r="P71">
        <v>2000</v>
      </c>
      <c r="Q71">
        <v>5000</v>
      </c>
      <c r="R71" t="inlineStr">
        <is>
          <t xml:space="preserve"> </t>
        </is>
      </c>
      <c r="S71" s="103" t="inlineStr">
        <is>
          <t xml:space="preserve"> </t>
        </is>
      </c>
      <c r="T71" t="inlineStr">
        <is>
          <t>No se encontró ejecución en PIIP</t>
        </is>
      </c>
      <c r="U71" t="inlineStr">
        <is>
          <t xml:space="preserve"> </t>
        </is>
      </c>
      <c r="V71" s="104" t="inlineStr">
        <is>
          <t xml:space="preserve"> </t>
        </is>
      </c>
      <c r="W71" t="inlineStr">
        <is>
          <t>No se encontró ejecución en PIIP</t>
        </is>
      </c>
    </row>
    <row r="72">
      <c r="A72" t="inlineStr">
        <is>
          <t>IP-67</t>
        </is>
      </c>
      <c r="B72" t="inlineStr">
        <is>
          <t>40</t>
        </is>
      </c>
      <c r="C72" t="inlineStr">
        <is>
          <t>Vivienda, ciudad y territorio</t>
        </is>
      </c>
      <c r="D72" t="inlineStr">
        <is>
          <t>4001</t>
        </is>
      </c>
      <c r="E72" t="inlineStr">
        <is>
          <t>Acceso a soluciones de vivienda</t>
        </is>
      </c>
      <c r="F72" t="inlineStr">
        <is>
          <t>4001007</t>
        </is>
      </c>
      <c r="G72" t="inlineStr">
        <is>
          <t>Servicio de saneamiento y titulación de bienes fiscales</t>
        </is>
      </c>
      <c r="H72" t="inlineStr">
        <is>
          <t>400100700</t>
        </is>
      </c>
      <c r="I72" t="inlineStr">
        <is>
          <t>Bienes fiscales saneados y titulados</t>
        </is>
      </c>
      <c r="J72" t="inlineStr">
        <is>
          <t>2024258170043</t>
        </is>
      </c>
      <c r="K72" t="inlineStr">
        <is>
          <t>No</t>
        </is>
      </c>
      <c r="L72" t="inlineStr">
        <is>
          <t>Número</t>
        </is>
      </c>
      <c r="M72">
        <v>1</v>
      </c>
      <c r="N72">
        <v>1</v>
      </c>
      <c r="O72">
        <v>1</v>
      </c>
      <c r="P72">
        <v>1</v>
      </c>
      <c r="Q72">
        <v>1</v>
      </c>
      <c r="R72" t="inlineStr">
        <is>
          <t xml:space="preserve"> </t>
        </is>
      </c>
      <c r="S72" s="103" t="inlineStr">
        <is>
          <t xml:space="preserve"> </t>
        </is>
      </c>
      <c r="T72" t="inlineStr">
        <is>
          <t>No se encontró ejecución en PIIP</t>
        </is>
      </c>
      <c r="U72" t="inlineStr">
        <is>
          <t xml:space="preserve"> </t>
        </is>
      </c>
      <c r="V72" s="104" t="inlineStr">
        <is>
          <t xml:space="preserve"> </t>
        </is>
      </c>
      <c r="W72" t="inlineStr">
        <is>
          <t>No se encontró ejecución en PIIP</t>
        </is>
      </c>
    </row>
    <row r="73">
      <c r="A73" t="inlineStr">
        <is>
          <t>IP-69</t>
        </is>
      </c>
      <c r="B73" t="inlineStr">
        <is>
          <t>40</t>
        </is>
      </c>
      <c r="C73" t="inlineStr">
        <is>
          <t>Vivienda, ciudad y territorio</t>
        </is>
      </c>
      <c r="D73" t="inlineStr">
        <is>
          <t>4003</t>
        </is>
      </c>
      <c r="E73" t="inlineStr">
        <is>
          <t>Acceso de la población a los servicios de agua potable y saneamiento básico</t>
        </is>
      </c>
      <c r="F73" t="inlineStr">
        <is>
          <t>4003017</t>
        </is>
      </c>
      <c r="G73" t="inlineStr">
        <is>
          <t>Acueductos optimizados</t>
        </is>
      </c>
      <c r="H73" t="inlineStr">
        <is>
          <t>400301702</t>
        </is>
      </c>
      <c r="I73" t="inlineStr">
        <is>
          <t>Plantas de tratamiento de agua potable optimizadas</t>
        </is>
      </c>
      <c r="J73" t="inlineStr">
        <is>
          <t>202400000007000</t>
        </is>
      </c>
      <c r="K73" t="inlineStr">
        <is>
          <t>Si</t>
        </is>
      </c>
      <c r="L73" t="inlineStr">
        <is>
          <t>Número</t>
        </is>
      </c>
      <c r="M73">
        <v>3</v>
      </c>
      <c r="N73">
        <v>1</v>
      </c>
      <c r="O73">
        <v>0</v>
      </c>
      <c r="P73">
        <v>1</v>
      </c>
      <c r="Q73">
        <v>1</v>
      </c>
      <c r="R73" t="inlineStr">
        <is>
          <t xml:space="preserve"> </t>
        </is>
      </c>
      <c r="S73" s="103" t="inlineStr">
        <is>
          <t xml:space="preserve"> </t>
        </is>
      </c>
      <c r="T73" t="inlineStr">
        <is>
          <t>No se encontró ejecución en PIIP</t>
        </is>
      </c>
      <c r="U73" t="inlineStr">
        <is>
          <t xml:space="preserve"> </t>
        </is>
      </c>
      <c r="V73" s="104" t="inlineStr">
        <is>
          <t xml:space="preserve"> </t>
        </is>
      </c>
      <c r="W73" t="inlineStr">
        <is>
          <t>No se encontró ejecución en PIIP</t>
        </is>
      </c>
    </row>
    <row r="74">
      <c r="A74" t="inlineStr">
        <is>
          <t>IP-70</t>
        </is>
      </c>
      <c r="B74" t="inlineStr">
        <is>
          <t>40</t>
        </is>
      </c>
      <c r="C74" t="inlineStr">
        <is>
          <t>Vivienda, ciudad y territorio</t>
        </is>
      </c>
      <c r="D74" t="inlineStr">
        <is>
          <t>4003</t>
        </is>
      </c>
      <c r="E74" t="inlineStr">
        <is>
          <t>Acceso de la población a los servicios de agua potable y saneamiento básico</t>
        </is>
      </c>
      <c r="F74" t="inlineStr">
        <is>
          <t>4003020</t>
        </is>
      </c>
      <c r="G74" t="inlineStr">
        <is>
          <t>Alcantarillados optimizados</t>
        </is>
      </c>
      <c r="H74" t="inlineStr">
        <is>
          <t>400302002</t>
        </is>
      </c>
      <c r="I74" t="inlineStr">
        <is>
          <t>Plantas de tratamiento de aguas residuales optimizadas</t>
        </is>
      </c>
      <c r="J74" t="inlineStr">
        <is>
          <t>202400000006996</t>
        </is>
      </c>
      <c r="K74" t="inlineStr">
        <is>
          <t>Si</t>
        </is>
      </c>
      <c r="L74" t="inlineStr">
        <is>
          <t>Número</t>
        </is>
      </c>
      <c r="M74">
        <v>1</v>
      </c>
      <c r="N74">
        <v>0</v>
      </c>
      <c r="O74">
        <v>0.2</v>
      </c>
      <c r="P74">
        <v>0.3</v>
      </c>
      <c r="Q74">
        <v>0.5</v>
      </c>
      <c r="R74" t="inlineStr">
        <is>
          <t xml:space="preserve"> </t>
        </is>
      </c>
      <c r="S74" s="103" t="inlineStr">
        <is>
          <t xml:space="preserve"> </t>
        </is>
      </c>
      <c r="T74" t="inlineStr">
        <is>
          <t>No se encontró ejecución en PIIP</t>
        </is>
      </c>
      <c r="U74" t="inlineStr">
        <is>
          <t xml:space="preserve"> </t>
        </is>
      </c>
      <c r="V74" s="104" t="inlineStr">
        <is>
          <t xml:space="preserve"> </t>
        </is>
      </c>
      <c r="W74" t="inlineStr">
        <is>
          <t>No se encontró ejecución en PIIP</t>
        </is>
      </c>
    </row>
    <row r="75">
      <c r="A75" t="inlineStr">
        <is>
          <t>IP-71</t>
        </is>
      </c>
      <c r="B75" t="inlineStr">
        <is>
          <t>41</t>
        </is>
      </c>
      <c r="C75" t="inlineStr">
        <is>
          <t xml:space="preserve">Inclusión social y reconciliación </t>
        </is>
      </c>
      <c r="D75" t="inlineStr">
        <is>
          <t>4104</t>
        </is>
      </c>
      <c r="E75" t="inlineStr">
        <is>
          <t>Atención integral de población en situación permanente de desprotección social y/o familiar</t>
        </is>
      </c>
      <c r="F75" t="inlineStr">
        <is>
          <t>4104026</t>
        </is>
      </c>
      <c r="G75" t="inlineStr">
        <is>
          <t>Servicio de articulación de oferta social para la población habitante de calle</t>
        </is>
      </c>
      <c r="H75" t="inlineStr">
        <is>
          <t>410402600</t>
        </is>
      </c>
      <c r="I75" t="inlineStr">
        <is>
          <t>Personas atendidas con oferta institucional</t>
        </is>
      </c>
      <c r="J75" t="inlineStr">
        <is>
          <t>202500000003427</t>
        </is>
      </c>
      <c r="K75" t="inlineStr">
        <is>
          <t>No</t>
        </is>
      </c>
      <c r="L75" t="inlineStr">
        <is>
          <t>Número</t>
        </is>
      </c>
      <c r="M75">
        <v>1</v>
      </c>
      <c r="N75">
        <v>0</v>
      </c>
      <c r="O75">
        <v>0</v>
      </c>
      <c r="P75">
        <v>1</v>
      </c>
      <c r="Q75">
        <v>0</v>
      </c>
      <c r="R75" t="inlineStr">
        <is>
          <t xml:space="preserve"> </t>
        </is>
      </c>
      <c r="S75" s="103" t="inlineStr">
        <is>
          <t xml:space="preserve"> </t>
        </is>
      </c>
      <c r="T75" t="inlineStr">
        <is>
          <t>No se encontró ejecución en PIIP</t>
        </is>
      </c>
      <c r="U75" t="inlineStr">
        <is>
          <t xml:space="preserve"> </t>
        </is>
      </c>
      <c r="V75" s="104" t="inlineStr">
        <is>
          <t xml:space="preserve"> </t>
        </is>
      </c>
      <c r="W75" t="inlineStr">
        <is>
          <t>No se encontró ejecución en PIIP</t>
        </is>
      </c>
    </row>
    <row r="76">
      <c r="A76" t="inlineStr">
        <is>
          <t>IP-72</t>
        </is>
      </c>
      <c r="B76" t="inlineStr">
        <is>
          <t>35</t>
        </is>
      </c>
      <c r="C76" t="inlineStr">
        <is>
          <t>Comercio, industria y turismo</t>
        </is>
      </c>
      <c r="D76" t="inlineStr">
        <is>
          <t>3502</t>
        </is>
      </c>
      <c r="E76" t="inlineStr">
        <is>
          <t>Productividad y competitividad de las empresas colombianas</t>
        </is>
      </c>
      <c r="F76" t="inlineStr">
        <is>
          <t>3502046</t>
        </is>
      </c>
      <c r="G76" t="inlineStr">
        <is>
          <t>Servicio de promoción turística</t>
        </is>
      </c>
      <c r="H76" t="inlineStr">
        <is>
          <t>350204600</t>
        </is>
      </c>
      <c r="I76" t="inlineStr">
        <is>
          <t>Campañas realizadas</t>
        </is>
      </c>
      <c r="J76" t="inlineStr">
        <is>
          <t>2024258170013</t>
        </is>
      </c>
      <c r="K76" t="inlineStr">
        <is>
          <t>Si</t>
        </is>
      </c>
      <c r="L76" t="inlineStr">
        <is>
          <t>Número</t>
        </is>
      </c>
      <c r="M76">
        <v>3</v>
      </c>
      <c r="N76">
        <v>0.5</v>
      </c>
      <c r="O76">
        <v>0.5</v>
      </c>
      <c r="P76">
        <v>1</v>
      </c>
      <c r="Q76">
        <v>1</v>
      </c>
      <c r="R76">
        <v>1</v>
      </c>
      <c r="S76" s="103">
        <v>2</v>
      </c>
      <c r="T76" t="inlineStr">
        <is>
          <t>Hubo ejecución por encima de lo programado en SisPT</t>
        </is>
      </c>
      <c r="U76">
        <v>0.2</v>
      </c>
      <c r="V76" s="104">
        <v>0.4</v>
      </c>
      <c r="W76" t="inlineStr">
        <is>
          <t>Lo ejecutado está por debajo de lo programado en la vigencia</t>
        </is>
      </c>
    </row>
    <row r="77">
      <c r="A77" t="inlineStr">
        <is>
          <t>IP-73</t>
        </is>
      </c>
      <c r="B77" t="inlineStr">
        <is>
          <t>45</t>
        </is>
      </c>
      <c r="C77" t="inlineStr">
        <is>
          <t>Gobierno Territorial</t>
        </is>
      </c>
      <c r="D77" t="inlineStr">
        <is>
          <t>4599</t>
        </is>
      </c>
      <c r="E77" t="inlineStr">
        <is>
          <t>Fortalecimiento a la gestión y dirección de la administración pública territorial</t>
        </is>
      </c>
      <c r="F77" t="inlineStr">
        <is>
          <t>4599032</t>
        </is>
      </c>
      <c r="G77" t="inlineStr">
        <is>
          <t>Documentos de política</t>
        </is>
      </c>
      <c r="H77" t="inlineStr">
        <is>
          <t>459903200</t>
        </is>
      </c>
      <c r="I77" t="inlineStr">
        <is>
          <t>Documentos de política elaborados</t>
        </is>
      </c>
      <c r="J77" t="inlineStr">
        <is>
          <t>202400000006673</t>
        </is>
      </c>
      <c r="K77" t="inlineStr">
        <is>
          <t>Si</t>
        </is>
      </c>
      <c r="L77" t="inlineStr">
        <is>
          <t>Número</t>
        </is>
      </c>
      <c r="M77">
        <v>1</v>
      </c>
      <c r="N77">
        <v>0.25</v>
      </c>
      <c r="O77">
        <v>0.25</v>
      </c>
      <c r="P77">
        <v>0.25</v>
      </c>
      <c r="Q77">
        <v>0.25</v>
      </c>
      <c r="R77" t="inlineStr">
        <is>
          <t xml:space="preserve"> </t>
        </is>
      </c>
      <c r="S77" s="103" t="inlineStr">
        <is>
          <t xml:space="preserve"> </t>
        </is>
      </c>
      <c r="T77" t="inlineStr">
        <is>
          <t>No se encontró ejecución en PIIP</t>
        </is>
      </c>
      <c r="U77" t="inlineStr">
        <is>
          <t xml:space="preserve"> </t>
        </is>
      </c>
      <c r="V77" s="104" t="inlineStr">
        <is>
          <t xml:space="preserve"> </t>
        </is>
      </c>
      <c r="W77" t="inlineStr">
        <is>
          <t>No se encontró ejecución en PIIP</t>
        </is>
      </c>
    </row>
    <row r="78">
      <c r="A78" t="inlineStr">
        <is>
          <t>IP-74</t>
        </is>
      </c>
      <c r="B78" t="inlineStr">
        <is>
          <t>35</t>
        </is>
      </c>
      <c r="C78" t="inlineStr">
        <is>
          <t>Comercio, industria y turismo</t>
        </is>
      </c>
      <c r="D78" t="inlineStr">
        <is>
          <t>3502</t>
        </is>
      </c>
      <c r="E78" t="inlineStr">
        <is>
          <t>Productividad y competitividad de las empresas colombianas</t>
        </is>
      </c>
      <c r="F78" t="inlineStr">
        <is>
          <t>3502004</t>
        </is>
      </c>
      <c r="G78" t="inlineStr">
        <is>
          <t>Servicio de apoyo financiero para el mejoramiento de productos o procesos</t>
        </is>
      </c>
      <c r="H78" t="inlineStr">
        <is>
          <t>350200401</t>
        </is>
      </c>
      <c r="I78" t="inlineStr">
        <is>
          <t>Proyectos de mejoramiento de producto financiados.</t>
        </is>
      </c>
      <c r="J78" t="inlineStr">
        <is>
          <t>2024258170013</t>
        </is>
      </c>
      <c r="K78" t="inlineStr">
        <is>
          <t>Si</t>
        </is>
      </c>
      <c r="L78" t="inlineStr">
        <is>
          <t>Número</t>
        </is>
      </c>
      <c r="M78">
        <v>100</v>
      </c>
      <c r="N78">
        <v>25</v>
      </c>
      <c r="O78">
        <v>25</v>
      </c>
      <c r="P78">
        <v>25</v>
      </c>
      <c r="Q78">
        <v>25</v>
      </c>
      <c r="R78" t="inlineStr">
        <is>
          <t xml:space="preserve"> </t>
        </is>
      </c>
      <c r="S78" s="103" t="inlineStr">
        <is>
          <t xml:space="preserve"> </t>
        </is>
      </c>
      <c r="T78" t="inlineStr">
        <is>
          <t>No se encontró ejecución en PIIP</t>
        </is>
      </c>
      <c r="U78" t="inlineStr">
        <is>
          <t xml:space="preserve"> </t>
        </is>
      </c>
      <c r="V78" s="104" t="inlineStr">
        <is>
          <t xml:space="preserve"> </t>
        </is>
      </c>
      <c r="W78" t="inlineStr">
        <is>
          <t>No se encontró ejecución en PIIP</t>
        </is>
      </c>
    </row>
    <row r="79">
      <c r="A79" t="inlineStr">
        <is>
          <t>IP-75</t>
        </is>
      </c>
      <c r="B79" t="inlineStr">
        <is>
          <t>40</t>
        </is>
      </c>
      <c r="C79" t="inlineStr">
        <is>
          <t>Vivienda, ciudad y territorio</t>
        </is>
      </c>
      <c r="D79" t="inlineStr">
        <is>
          <t>4001</t>
        </is>
      </c>
      <c r="E79" t="inlineStr">
        <is>
          <t>Acceso a soluciones de vivienda</t>
        </is>
      </c>
      <c r="F79" t="inlineStr">
        <is>
          <t>4001032</t>
        </is>
      </c>
      <c r="G79" t="inlineStr">
        <is>
          <t>Servicio de apoyo financiero para mejoramiento de vivienda</t>
        </is>
      </c>
      <c r="H79" t="inlineStr">
        <is>
          <t>400103200</t>
        </is>
      </c>
      <c r="I79" t="inlineStr">
        <is>
          <t>Hogares beneficiados con mejoramiento de una vivienda  </t>
        </is>
      </c>
      <c r="J79" t="inlineStr">
        <is>
          <t>2024258170043</t>
        </is>
      </c>
      <c r="K79" t="inlineStr">
        <is>
          <t>Si</t>
        </is>
      </c>
      <c r="L79" t="inlineStr">
        <is>
          <t>Número</t>
        </is>
      </c>
      <c r="M79">
        <v>200</v>
      </c>
      <c r="N79">
        <v>0</v>
      </c>
      <c r="O79">
        <v>100</v>
      </c>
      <c r="P79">
        <v>50</v>
      </c>
      <c r="Q79">
        <v>50</v>
      </c>
      <c r="R79" t="inlineStr">
        <is>
          <t xml:space="preserve"> </t>
        </is>
      </c>
      <c r="S79" s="103" t="inlineStr">
        <is>
          <t xml:space="preserve"> </t>
        </is>
      </c>
      <c r="T79" t="inlineStr">
        <is>
          <t>No se encontró ejecución en PIIP</t>
        </is>
      </c>
      <c r="U79" t="inlineStr">
        <is>
          <t xml:space="preserve"> </t>
        </is>
      </c>
      <c r="V79" s="104" t="inlineStr">
        <is>
          <t xml:space="preserve"> </t>
        </is>
      </c>
      <c r="W79" t="inlineStr">
        <is>
          <t>No se encontró ejecución en PIIP</t>
        </is>
      </c>
    </row>
    <row r="80">
      <c r="A80" t="inlineStr">
        <is>
          <t>IP-76</t>
        </is>
      </c>
      <c r="B80" t="inlineStr">
        <is>
          <t>22</t>
        </is>
      </c>
      <c r="C80" t="inlineStr">
        <is>
          <t>Educación</t>
        </is>
      </c>
      <c r="D80" t="inlineStr">
        <is>
          <t>2202</t>
        </is>
      </c>
      <c r="E80" t="inlineStr">
        <is>
          <t>Calidad y fomento de la educación superior</t>
        </is>
      </c>
      <c r="F80" t="inlineStr">
        <is>
          <t>2202067</t>
        </is>
      </c>
      <c r="G80" t="inlineStr">
        <is>
          <t>Servicio de articulación entre la educación superior  y el sector productivo.</t>
        </is>
      </c>
      <c r="H80" t="inlineStr">
        <is>
          <t>220206700</t>
        </is>
      </c>
      <c r="I80" t="inlineStr">
        <is>
          <t xml:space="preserve">Programas y proyectos de educación o investigación articulados con el sector productivo </t>
        </is>
      </c>
      <c r="J80" t="inlineStr">
        <is>
          <t>202400000005715</t>
        </is>
      </c>
      <c r="K80" t="inlineStr">
        <is>
          <t>Si</t>
        </is>
      </c>
      <c r="L80" t="inlineStr">
        <is>
          <t>Número</t>
        </is>
      </c>
      <c r="M80">
        <v>5</v>
      </c>
      <c r="N80">
        <v>1</v>
      </c>
      <c r="O80">
        <v>2</v>
      </c>
      <c r="P80">
        <v>1</v>
      </c>
      <c r="Q80">
        <v>1</v>
      </c>
      <c r="R80" t="inlineStr">
        <is>
          <t xml:space="preserve"> </t>
        </is>
      </c>
      <c r="S80" s="103" t="inlineStr">
        <is>
          <t xml:space="preserve"> </t>
        </is>
      </c>
      <c r="T80" t="inlineStr">
        <is>
          <t>No se encontró ejecución en PIIP</t>
        </is>
      </c>
      <c r="U80" t="inlineStr">
        <is>
          <t xml:space="preserve"> </t>
        </is>
      </c>
      <c r="V80" s="104" t="inlineStr">
        <is>
          <t xml:space="preserve"> </t>
        </is>
      </c>
      <c r="W80" t="inlineStr">
        <is>
          <t>No se encontró ejecución en PIIP</t>
        </is>
      </c>
    </row>
    <row r="81">
      <c r="A81" t="inlineStr">
        <is>
          <t>IP-77</t>
        </is>
      </c>
      <c r="B81" t="inlineStr">
        <is>
          <t>04</t>
        </is>
      </c>
      <c r="C81" t="inlineStr">
        <is>
          <t>Información Estadística</t>
        </is>
      </c>
      <c r="D81" t="inlineStr">
        <is>
          <t>0406</t>
        </is>
      </c>
      <c r="E81" t="inlineStr">
        <is>
          <t>Generación de la información geográfica del territorio nacional</t>
        </is>
      </c>
      <c r="F81" t="inlineStr">
        <is>
          <t>0406005</t>
        </is>
      </c>
      <c r="G81" t="inlineStr">
        <is>
          <t>Servicios de asistencia técnica</t>
        </is>
      </c>
      <c r="H81" t="inlineStr">
        <is>
          <t>040600500</t>
        </is>
      </c>
      <c r="I81" t="inlineStr">
        <is>
          <t>Entidades asistidas técnicamente</t>
        </is>
      </c>
      <c r="J81" t="inlineStr">
        <is>
          <t>202400000005453</t>
        </is>
      </c>
      <c r="K81" t="inlineStr">
        <is>
          <t>No</t>
        </is>
      </c>
      <c r="L81" t="inlineStr">
        <is>
          <t>Número</t>
        </is>
      </c>
      <c r="M81">
        <v>1</v>
      </c>
      <c r="N81">
        <v>1</v>
      </c>
      <c r="O81">
        <v>1</v>
      </c>
      <c r="P81">
        <v>1</v>
      </c>
      <c r="Q81">
        <v>1</v>
      </c>
      <c r="R81" t="inlineStr">
        <is>
          <t xml:space="preserve"> </t>
        </is>
      </c>
      <c r="S81" s="103" t="inlineStr">
        <is>
          <t xml:space="preserve"> </t>
        </is>
      </c>
      <c r="T81" t="inlineStr">
        <is>
          <t>No se encontró ejecución en PIIP</t>
        </is>
      </c>
      <c r="U81" t="inlineStr">
        <is>
          <t xml:space="preserve"> </t>
        </is>
      </c>
      <c r="V81" s="104" t="inlineStr">
        <is>
          <t xml:space="preserve"> </t>
        </is>
      </c>
      <c r="W81" t="inlineStr">
        <is>
          <t>No se encontró ejecución en PIIP</t>
        </is>
      </c>
    </row>
    <row r="82">
      <c r="A82" t="inlineStr">
        <is>
          <t>IP-78</t>
        </is>
      </c>
      <c r="B82" t="inlineStr">
        <is>
          <t>24</t>
        </is>
      </c>
      <c r="C82" t="inlineStr">
        <is>
          <t>Transporte</t>
        </is>
      </c>
      <c r="D82" t="inlineStr">
        <is>
          <t>2409</t>
        </is>
      </c>
      <c r="E82" t="inlineStr">
        <is>
          <t>Seguridad de transporte</t>
        </is>
      </c>
      <c r="F82" t="inlineStr">
        <is>
          <t>2409029</t>
        </is>
      </c>
      <c r="G82" t="inlineStr">
        <is>
          <t>Documentos metodológicos</t>
        </is>
      </c>
      <c r="H82" t="inlineStr">
        <is>
          <t>240902900</t>
        </is>
      </c>
      <c r="I82" t="inlineStr">
        <is>
          <t>Documentos metodológicos realizados</t>
        </is>
      </c>
      <c r="J82" t="inlineStr">
        <is>
          <t>202500000004852</t>
        </is>
      </c>
      <c r="K82" t="inlineStr">
        <is>
          <t>No</t>
        </is>
      </c>
      <c r="L82" t="inlineStr">
        <is>
          <t>Número</t>
        </is>
      </c>
      <c r="M82">
        <v>1</v>
      </c>
      <c r="N82">
        <v>0</v>
      </c>
      <c r="O82">
        <v>1</v>
      </c>
      <c r="P82">
        <v>0</v>
      </c>
      <c r="Q82">
        <v>0</v>
      </c>
      <c r="R82" t="inlineStr">
        <is>
          <t xml:space="preserve"> </t>
        </is>
      </c>
      <c r="S82" s="103" t="inlineStr">
        <is>
          <t xml:space="preserve"> </t>
        </is>
      </c>
      <c r="T82" t="inlineStr">
        <is>
          <t>No se encontró ejecución en PIIP</t>
        </is>
      </c>
      <c r="U82" t="inlineStr">
        <is>
          <t xml:space="preserve"> </t>
        </is>
      </c>
      <c r="V82" s="104" t="inlineStr">
        <is>
          <t xml:space="preserve"> </t>
        </is>
      </c>
      <c r="W82" t="inlineStr">
        <is>
          <t>No se encontró ejecución en PIIP</t>
        </is>
      </c>
    </row>
    <row r="83">
      <c r="A83" t="inlineStr">
        <is>
          <t>IP-79</t>
        </is>
      </c>
      <c r="B83" t="inlineStr">
        <is>
          <t>32</t>
        </is>
      </c>
      <c r="C83" t="inlineStr">
        <is>
          <t>Ambiente y desarrollo sostenible</t>
        </is>
      </c>
      <c r="D83" t="inlineStr">
        <is>
          <t>3202</t>
        </is>
      </c>
      <c r="E83" t="inlineStr">
        <is>
          <t>Conservación de la biodiversidad y sus servicios ecosistémicos</t>
        </is>
      </c>
      <c r="F83" t="inlineStr">
        <is>
          <t>3202046</t>
        </is>
      </c>
      <c r="G83" t="inlineStr">
        <is>
          <t>Servicio de control y vigilancia al tráfico ilegal de especies</t>
        </is>
      </c>
      <c r="H83" t="inlineStr">
        <is>
          <t>320204601</t>
        </is>
      </c>
      <c r="I83" t="inlineStr">
        <is>
          <t>Individuos decomisados</t>
        </is>
      </c>
      <c r="J83" t="inlineStr">
        <is>
          <t>2024258170026</t>
        </is>
      </c>
      <c r="K83" t="inlineStr">
        <is>
          <t>No</t>
        </is>
      </c>
      <c r="L83" t="inlineStr">
        <is>
          <t>Número</t>
        </is>
      </c>
      <c r="M83">
        <v>100</v>
      </c>
      <c r="N83">
        <v>100</v>
      </c>
      <c r="O83">
        <v>100</v>
      </c>
      <c r="P83">
        <v>100</v>
      </c>
      <c r="Q83">
        <v>100</v>
      </c>
      <c r="R83" t="inlineStr">
        <is>
          <t xml:space="preserve"> </t>
        </is>
      </c>
      <c r="S83" s="103" t="inlineStr">
        <is>
          <t xml:space="preserve"> </t>
        </is>
      </c>
      <c r="T83" t="inlineStr">
        <is>
          <t>No se encontró ejecución en PIIP</t>
        </is>
      </c>
      <c r="U83" t="inlineStr">
        <is>
          <t xml:space="preserve"> </t>
        </is>
      </c>
      <c r="V83" s="104" t="inlineStr">
        <is>
          <t xml:space="preserve"> </t>
        </is>
      </c>
      <c r="W83" t="inlineStr">
        <is>
          <t>No se encontró ejecución en PIIP</t>
        </is>
      </c>
    </row>
    <row r="84">
      <c r="A84" t="inlineStr">
        <is>
          <t>IP-81</t>
        </is>
      </c>
      <c r="B84" t="inlineStr">
        <is>
          <t>43</t>
        </is>
      </c>
      <c r="C84" t="inlineStr">
        <is>
          <t>Deporte y Recreación</t>
        </is>
      </c>
      <c r="D84" t="inlineStr">
        <is>
          <t>4302</t>
        </is>
      </c>
      <c r="E84" t="inlineStr">
        <is>
          <t>Formación y preparación de deportistas</t>
        </is>
      </c>
      <c r="F84" t="inlineStr">
        <is>
          <t>4302028</t>
        </is>
      </c>
      <c r="G84" t="inlineStr">
        <is>
          <t>Coliseos cubiertos mejorados</t>
        </is>
      </c>
      <c r="H84" t="inlineStr">
        <is>
          <t>430202800</t>
        </is>
      </c>
      <c r="I84" t="inlineStr">
        <is>
          <t>Coliseos mejorados</t>
        </is>
      </c>
      <c r="J84" t="inlineStr">
        <is>
          <t>202500000016367</t>
        </is>
      </c>
      <c r="K84" t="inlineStr">
        <is>
          <t>Si</t>
        </is>
      </c>
      <c r="L84" t="inlineStr">
        <is>
          <t>Número</t>
        </is>
      </c>
      <c r="M84">
        <v>1</v>
      </c>
      <c r="N84">
        <v>0.25</v>
      </c>
      <c r="O84">
        <v>0.25</v>
      </c>
      <c r="P84">
        <v>0.5</v>
      </c>
      <c r="Q84">
        <v>0</v>
      </c>
      <c r="R84" t="inlineStr">
        <is>
          <t xml:space="preserve"> </t>
        </is>
      </c>
      <c r="S84" s="103" t="inlineStr">
        <is>
          <t xml:space="preserve"> </t>
        </is>
      </c>
      <c r="T84" t="inlineStr">
        <is>
          <t>No se encontró ejecución en PIIP</t>
        </is>
      </c>
      <c r="U84" t="inlineStr">
        <is>
          <t xml:space="preserve"> </t>
        </is>
      </c>
      <c r="V84" s="104" t="inlineStr">
        <is>
          <t xml:space="preserve"> </t>
        </is>
      </c>
      <c r="W84" t="inlineStr">
        <is>
          <t>No se encontró ejecución en PIIP</t>
        </is>
      </c>
    </row>
    <row r="85">
      <c r="A85" t="inlineStr">
        <is>
          <t>IP-82</t>
        </is>
      </c>
      <c r="B85" t="inlineStr">
        <is>
          <t>04</t>
        </is>
      </c>
      <c r="C85" t="inlineStr">
        <is>
          <t>Información Estadística</t>
        </is>
      </c>
      <c r="D85" t="inlineStr">
        <is>
          <t>0401</t>
        </is>
      </c>
      <c r="E85" t="inlineStr">
        <is>
          <t>Levantamiento y actualización de información estadística de calidad</t>
        </is>
      </c>
      <c r="F85" t="inlineStr">
        <is>
          <t>0401102</t>
        </is>
      </c>
      <c r="G85" t="inlineStr">
        <is>
          <t>Servicio de información implementado</t>
        </is>
      </c>
      <c r="H85" t="inlineStr">
        <is>
          <t>040110200</t>
        </is>
      </c>
      <c r="I85" t="inlineStr">
        <is>
          <t>Sistemas de información implementados</t>
        </is>
      </c>
      <c r="J85" t="inlineStr">
        <is>
          <t>2024258170030</t>
        </is>
      </c>
      <c r="K85" t="inlineStr">
        <is>
          <t>No</t>
        </is>
      </c>
      <c r="L85" t="inlineStr">
        <is>
          <t>Número</t>
        </is>
      </c>
      <c r="M85">
        <v>1</v>
      </c>
      <c r="N85">
        <v>1</v>
      </c>
      <c r="O85">
        <v>1</v>
      </c>
      <c r="P85">
        <v>1</v>
      </c>
      <c r="Q85">
        <v>1</v>
      </c>
      <c r="R85">
        <v>1</v>
      </c>
      <c r="S85" s="103">
        <v>1</v>
      </c>
      <c r="T85" t="inlineStr">
        <is>
          <t>Se ejecutó el 100% de lo programado en la vigencia</t>
        </is>
      </c>
      <c r="U85">
        <v>6</v>
      </c>
      <c r="V85" s="104">
        <v>6</v>
      </c>
      <c r="W85" t="inlineStr">
        <is>
          <t>Hubo ejecución por encima de lo programado en SisPT</t>
        </is>
      </c>
    </row>
    <row r="86">
      <c r="A86" t="inlineStr">
        <is>
          <t>IP-83</t>
        </is>
      </c>
      <c r="B86" t="inlineStr">
        <is>
          <t>32</t>
        </is>
      </c>
      <c r="C86" t="inlineStr">
        <is>
          <t>Ambiente y desarrollo sostenible</t>
        </is>
      </c>
      <c r="D86" t="inlineStr">
        <is>
          <t>3201</t>
        </is>
      </c>
      <c r="E86" t="inlineStr">
        <is>
          <t>Fortalecimiento del desempeño ambiental de los sectores productivos</t>
        </is>
      </c>
      <c r="F86" t="inlineStr">
        <is>
          <t>3201009</t>
        </is>
      </c>
      <c r="G86" t="inlineStr">
        <is>
          <t>Servicio de seguimiento y evaluación de los programas de recolección de residuos pos consumo</t>
        </is>
      </c>
      <c r="H86" t="inlineStr">
        <is>
          <t>320100900</t>
        </is>
      </c>
      <c r="I86" t="inlineStr">
        <is>
          <t>Programas de recolección de residuos pos consumo evaluados</t>
        </is>
      </c>
      <c r="J86" t="inlineStr">
        <is>
          <t>2024258170055</t>
        </is>
      </c>
      <c r="K86" t="inlineStr">
        <is>
          <t>Si</t>
        </is>
      </c>
      <c r="L86" t="inlineStr">
        <is>
          <t>Número</t>
        </is>
      </c>
      <c r="M86">
        <v>1</v>
      </c>
      <c r="N86">
        <v>0.25</v>
      </c>
      <c r="O86">
        <v>0.25</v>
      </c>
      <c r="P86">
        <v>0.25</v>
      </c>
      <c r="Q86">
        <v>0.25</v>
      </c>
      <c r="R86">
        <v>0</v>
      </c>
      <c r="S86" s="103">
        <v>0</v>
      </c>
      <c r="T86" t="inlineStr">
        <is>
          <t>No se ejecutó en la vigencia</t>
        </is>
      </c>
      <c r="U86">
        <v>0.15</v>
      </c>
      <c r="V86" s="104">
        <v>0.6</v>
      </c>
      <c r="W86" t="inlineStr">
        <is>
          <t>Lo ejecutado está por debajo de lo programado en la vigencia</t>
        </is>
      </c>
    </row>
    <row r="87">
      <c r="A87" t="inlineStr">
        <is>
          <t>IP-84</t>
        </is>
      </c>
      <c r="B87" t="inlineStr">
        <is>
          <t>32</t>
        </is>
      </c>
      <c r="C87" t="inlineStr">
        <is>
          <t>Ambiente y desarrollo sostenible</t>
        </is>
      </c>
      <c r="D87" t="inlineStr">
        <is>
          <t>3201</t>
        </is>
      </c>
      <c r="E87" t="inlineStr">
        <is>
          <t>Fortalecimiento del desempeño ambiental de los sectores productivos</t>
        </is>
      </c>
      <c r="F87" t="inlineStr">
        <is>
          <t>3201005</t>
        </is>
      </c>
      <c r="G87" t="inlineStr">
        <is>
          <t>Documentos de estudios técnicos para el fortalecimiento del desempeño ambiental de los sectores productivos</t>
        </is>
      </c>
      <c r="H87" t="inlineStr">
        <is>
          <t>320100500</t>
        </is>
      </c>
      <c r="I87" t="inlineStr">
        <is>
          <t>Documentos de estudios técnicos con la evaluación ambiental estratégica realizados</t>
        </is>
      </c>
      <c r="J87" t="inlineStr">
        <is>
          <t>2024258170055</t>
        </is>
      </c>
      <c r="K87" t="inlineStr">
        <is>
          <t>Si</t>
        </is>
      </c>
      <c r="L87" t="inlineStr">
        <is>
          <t>Número</t>
        </is>
      </c>
      <c r="M87">
        <v>1</v>
      </c>
      <c r="N87">
        <v>0.25</v>
      </c>
      <c r="O87">
        <v>0.25</v>
      </c>
      <c r="P87">
        <v>0.25</v>
      </c>
      <c r="Q87">
        <v>0.25</v>
      </c>
      <c r="R87">
        <v>0</v>
      </c>
      <c r="S87" s="103">
        <v>0</v>
      </c>
      <c r="T87" t="inlineStr">
        <is>
          <t>No se ejecutó en la vigencia</t>
        </is>
      </c>
      <c r="U87">
        <v>0.15</v>
      </c>
      <c r="V87" s="104">
        <v>0.6</v>
      </c>
      <c r="W87" t="inlineStr">
        <is>
          <t>Lo ejecutado está por debajo de lo programado en la vigencia</t>
        </is>
      </c>
    </row>
    <row r="88">
      <c r="A88" t="inlineStr">
        <is>
          <t>IP-86</t>
        </is>
      </c>
      <c r="B88" t="inlineStr">
        <is>
          <t>45</t>
        </is>
      </c>
      <c r="C88" t="inlineStr">
        <is>
          <t>Gobierno Territorial</t>
        </is>
      </c>
      <c r="D88" t="inlineStr">
        <is>
          <t>4501</t>
        </is>
      </c>
      <c r="E88" t="inlineStr">
        <is>
          <t>Fortalecimiento de la convivencia y la seguridad ciudadana</t>
        </is>
      </c>
      <c r="F88" t="inlineStr">
        <is>
          <t>4501004</t>
        </is>
      </c>
      <c r="G88" t="inlineStr">
        <is>
          <t>Servicio de promoción de convivencia y no repetición</t>
        </is>
      </c>
      <c r="H88" t="inlineStr">
        <is>
          <t>450100400</t>
        </is>
      </c>
      <c r="I88" t="inlineStr">
        <is>
          <t>Iniciativas para la promoción de la convivencia implementadas</t>
        </is>
      </c>
      <c r="J88" t="inlineStr">
        <is>
          <t>2024258170018</t>
        </is>
      </c>
      <c r="K88" t="inlineStr">
        <is>
          <t>Si</t>
        </is>
      </c>
      <c r="L88" t="inlineStr">
        <is>
          <t>Número</t>
        </is>
      </c>
      <c r="M88">
        <v>4</v>
      </c>
      <c r="N88">
        <v>1</v>
      </c>
      <c r="O88">
        <v>1</v>
      </c>
      <c r="P88">
        <v>1</v>
      </c>
      <c r="Q88">
        <v>1</v>
      </c>
      <c r="R88">
        <v>0</v>
      </c>
      <c r="S88" s="103">
        <v>0</v>
      </c>
      <c r="T88" t="inlineStr">
        <is>
          <t>No se ejecutó en la vigencia</t>
        </is>
      </c>
      <c r="U88" t="inlineStr">
        <is>
          <t xml:space="preserve"> </t>
        </is>
      </c>
      <c r="V88" s="104" t="inlineStr">
        <is>
          <t xml:space="preserve"> </t>
        </is>
      </c>
      <c r="W88" t="inlineStr">
        <is>
          <t>No se encontró ejecución en PIIP</t>
        </is>
      </c>
    </row>
    <row r="89">
      <c r="A89" t="inlineStr">
        <is>
          <t>IP-87</t>
        </is>
      </c>
      <c r="B89" t="inlineStr">
        <is>
          <t>41</t>
        </is>
      </c>
      <c r="C89" t="inlineStr">
        <is>
          <t xml:space="preserve">Inclusión social y reconciliación </t>
        </is>
      </c>
      <c r="D89" t="inlineStr">
        <is>
          <t>4101</t>
        </is>
      </c>
      <c r="E89" t="inlineStr">
        <is>
          <t>Atención, asistencia y reparación integral a las víctimas</t>
        </is>
      </c>
      <c r="F89" t="inlineStr">
        <is>
          <t>4101023</t>
        </is>
      </c>
      <c r="G89" t="inlineStr">
        <is>
          <t>Servicio de orientación y comunicación a las víctimas</t>
        </is>
      </c>
      <c r="H89" t="inlineStr">
        <is>
          <t>410102306</t>
        </is>
      </c>
      <c r="I89" t="inlineStr">
        <is>
          <t>Víctimas atendidas</t>
        </is>
      </c>
      <c r="J89" t="inlineStr">
        <is>
          <t>202400000006511</t>
        </is>
      </c>
      <c r="K89" t="inlineStr">
        <is>
          <t>No</t>
        </is>
      </c>
      <c r="L89" t="inlineStr">
        <is>
          <t>Número</t>
        </is>
      </c>
      <c r="M89">
        <v>100</v>
      </c>
      <c r="N89">
        <v>100</v>
      </c>
      <c r="O89">
        <v>100</v>
      </c>
      <c r="P89">
        <v>100</v>
      </c>
      <c r="Q89">
        <v>100</v>
      </c>
      <c r="R89" t="inlineStr">
        <is>
          <t xml:space="preserve"> </t>
        </is>
      </c>
      <c r="S89" s="103" t="inlineStr">
        <is>
          <t xml:space="preserve"> </t>
        </is>
      </c>
      <c r="T89" t="inlineStr">
        <is>
          <t>No se encontró ejecución en PIIP</t>
        </is>
      </c>
      <c r="U89" t="inlineStr">
        <is>
          <t xml:space="preserve"> </t>
        </is>
      </c>
      <c r="V89" s="104" t="inlineStr">
        <is>
          <t xml:space="preserve"> </t>
        </is>
      </c>
      <c r="W89" t="inlineStr">
        <is>
          <t>No se encontró ejecución en PIIP</t>
        </is>
      </c>
    </row>
    <row r="90">
      <c r="A90" t="inlineStr">
        <is>
          <t>IP-88</t>
        </is>
      </c>
      <c r="B90" t="inlineStr">
        <is>
          <t>22</t>
        </is>
      </c>
      <c r="C90" t="inlineStr">
        <is>
          <t>Educación</t>
        </is>
      </c>
      <c r="D90" t="inlineStr">
        <is>
          <t>2201</t>
        </is>
      </c>
      <c r="E90" t="inlineStr">
        <is>
          <t>Calidad, cobertura y fortalecimiento de la educación inicial, prescolar, básica y media</t>
        </is>
      </c>
      <c r="F90" t="inlineStr">
        <is>
          <t>2201033</t>
        </is>
      </c>
      <c r="G90" t="inlineStr">
        <is>
          <t>Servicio de fomento para la permanencia en programas de educación formal</t>
        </is>
      </c>
      <c r="H90" t="inlineStr">
        <is>
          <t>220103304</t>
        </is>
      </c>
      <c r="I90" t="inlineStr">
        <is>
          <t>Estrategias implementadas</t>
        </is>
      </c>
      <c r="J90" t="inlineStr">
        <is>
          <t>202400000005692</t>
        </is>
      </c>
      <c r="K90" t="inlineStr">
        <is>
          <t>Si</t>
        </is>
      </c>
      <c r="L90" t="inlineStr">
        <is>
          <t>Número</t>
        </is>
      </c>
      <c r="M90">
        <v>2</v>
      </c>
      <c r="N90">
        <v>0.5</v>
      </c>
      <c r="O90">
        <v>0.5</v>
      </c>
      <c r="P90">
        <v>0.5</v>
      </c>
      <c r="Q90">
        <v>0.5</v>
      </c>
      <c r="R90" t="inlineStr">
        <is>
          <t xml:space="preserve"> </t>
        </is>
      </c>
      <c r="S90" s="103" t="inlineStr">
        <is>
          <t xml:space="preserve"> </t>
        </is>
      </c>
      <c r="T90" t="inlineStr">
        <is>
          <t>No se encontró ejecución en PIIP</t>
        </is>
      </c>
      <c r="U90" t="inlineStr">
        <is>
          <t xml:space="preserve"> </t>
        </is>
      </c>
      <c r="V90" s="104" t="inlineStr">
        <is>
          <t xml:space="preserve"> </t>
        </is>
      </c>
      <c r="W90" t="inlineStr">
        <is>
          <t>No se encontró ejecución en PIIP</t>
        </is>
      </c>
    </row>
    <row r="91">
      <c r="A91" t="inlineStr">
        <is>
          <t>IP-89</t>
        </is>
      </c>
      <c r="B91" t="inlineStr">
        <is>
          <t>23</t>
        </is>
      </c>
      <c r="C91" t="inlineStr">
        <is>
          <t>Tecnologías de la información y las comunicaciones</t>
        </is>
      </c>
      <c r="D91" t="inlineStr">
        <is>
          <t>2302</t>
        </is>
      </c>
      <c r="E91" t="inlineStr">
        <is>
          <t>Fomento del desarrollo de aplicaciones, software y contenidos para impulsar la apropiación de las Tecnologías de la Información y las Comunicaciones (TIC)</t>
        </is>
      </c>
      <c r="F91" t="inlineStr">
        <is>
          <t>2302087</t>
        </is>
      </c>
      <c r="G91" t="inlineStr">
        <is>
          <t>Servicio de educación informal en tecnologías de la información y las comunicaciones para empresas</t>
        </is>
      </c>
      <c r="H91" t="inlineStr">
        <is>
          <t>230208700</t>
        </is>
      </c>
      <c r="I91" t="inlineStr">
        <is>
          <t>Número de empresarios formados </t>
        </is>
      </c>
      <c r="J91" t="inlineStr">
        <is>
          <t>202500000000022</t>
        </is>
      </c>
      <c r="K91" t="inlineStr">
        <is>
          <t>Si</t>
        </is>
      </c>
      <c r="L91" t="inlineStr">
        <is>
          <t>Número</t>
        </is>
      </c>
      <c r="M91">
        <v>40</v>
      </c>
      <c r="N91">
        <v>1</v>
      </c>
      <c r="O91">
        <v>20</v>
      </c>
      <c r="P91">
        <v>10</v>
      </c>
      <c r="Q91">
        <v>9</v>
      </c>
      <c r="R91" t="inlineStr">
        <is>
          <t xml:space="preserve"> </t>
        </is>
      </c>
      <c r="S91" s="103" t="inlineStr">
        <is>
          <t xml:space="preserve"> </t>
        </is>
      </c>
      <c r="T91" t="inlineStr">
        <is>
          <t>No se encontró ejecución en PIIP</t>
        </is>
      </c>
      <c r="U91">
        <v>0</v>
      </c>
      <c r="V91" s="104">
        <v>0</v>
      </c>
      <c r="W91" t="inlineStr">
        <is>
          <t>No se ejecutó en la vigencia</t>
        </is>
      </c>
    </row>
    <row r="92">
      <c r="A92" t="inlineStr">
        <is>
          <t>IP-90</t>
        </is>
      </c>
      <c r="B92" t="inlineStr">
        <is>
          <t>41</t>
        </is>
      </c>
      <c r="C92" t="inlineStr">
        <is>
          <t xml:space="preserve">Inclusión social y reconciliación </t>
        </is>
      </c>
      <c r="D92" t="inlineStr">
        <is>
          <t>4103</t>
        </is>
      </c>
      <c r="E92" t="inlineStr">
        <is>
          <t>Inclusión social y productiva para la población en situación de vulnerabilidad</t>
        </is>
      </c>
      <c r="F92" t="inlineStr">
        <is>
          <t>4103028</t>
        </is>
      </c>
      <c r="G92" t="inlineStr">
        <is>
          <t>Centros comunitarios modificados</t>
        </is>
      </c>
      <c r="H92" t="inlineStr">
        <is>
          <t>410302800</t>
        </is>
      </c>
      <c r="I92" t="inlineStr">
        <is>
          <t>Centros comunitarios modificados</t>
        </is>
      </c>
      <c r="J92" t="inlineStr">
        <is>
          <t>202400000006486</t>
        </is>
      </c>
      <c r="K92" t="inlineStr">
        <is>
          <t>Si</t>
        </is>
      </c>
      <c r="L92" t="inlineStr">
        <is>
          <t>Número</t>
        </is>
      </c>
      <c r="M92">
        <v>1</v>
      </c>
      <c r="N92">
        <v>0.1</v>
      </c>
      <c r="O92">
        <v>0.4</v>
      </c>
      <c r="P92">
        <v>0.4</v>
      </c>
      <c r="Q92">
        <v>0.1</v>
      </c>
      <c r="R92" t="inlineStr">
        <is>
          <t xml:space="preserve"> </t>
        </is>
      </c>
      <c r="S92" s="103" t="inlineStr">
        <is>
          <t xml:space="preserve"> </t>
        </is>
      </c>
      <c r="T92" t="inlineStr">
        <is>
          <t>No se encontró ejecución en PIIP</t>
        </is>
      </c>
      <c r="U92" t="inlineStr">
        <is>
          <t xml:space="preserve"> </t>
        </is>
      </c>
      <c r="V92" s="104" t="inlineStr">
        <is>
          <t xml:space="preserve"> </t>
        </is>
      </c>
      <c r="W92" t="inlineStr">
        <is>
          <t>No se encontró ejecución en PIIP</t>
        </is>
      </c>
    </row>
    <row r="93">
      <c r="A93" t="inlineStr">
        <is>
          <t>IP-91</t>
        </is>
      </c>
      <c r="B93" t="inlineStr">
        <is>
          <t>04</t>
        </is>
      </c>
      <c r="C93" t="inlineStr">
        <is>
          <t>Información Estadística</t>
        </is>
      </c>
      <c r="D93" t="inlineStr">
        <is>
          <t>0401</t>
        </is>
      </c>
      <c r="E93" t="inlineStr">
        <is>
          <t>Levantamiento y actualización de información estadística de calidad</t>
        </is>
      </c>
      <c r="F93" t="inlineStr">
        <is>
          <t>0401106</t>
        </is>
      </c>
      <c r="G93" t="inlineStr">
        <is>
          <t xml:space="preserve">SERVICIO DE APOYO A LA GESTIÓN DE CONOCIMIENTO Y CONSOLIDACIÓN DE LA CULTURA ESTADÍSTICA </t>
        </is>
      </c>
      <c r="H93" t="inlineStr">
        <is>
          <t>040110600</t>
        </is>
      </c>
      <c r="I93" t="inlineStr">
        <is>
          <t>Estrategias implementadas</t>
        </is>
      </c>
      <c r="J93" t="inlineStr">
        <is>
          <t>2024258170003</t>
        </is>
      </c>
      <c r="K93" t="inlineStr">
        <is>
          <t>Si</t>
        </is>
      </c>
      <c r="L93" t="inlineStr">
        <is>
          <t>Número</t>
        </is>
      </c>
      <c r="M93">
        <v>1</v>
      </c>
      <c r="N93">
        <v>0.1</v>
      </c>
      <c r="O93">
        <v>0.3</v>
      </c>
      <c r="P93">
        <v>0.3</v>
      </c>
      <c r="Q93">
        <v>0.3</v>
      </c>
      <c r="R93">
        <v>0</v>
      </c>
      <c r="S93" s="103">
        <v>0</v>
      </c>
      <c r="T93" t="inlineStr">
        <is>
          <t>No se ejecutó en la vigencia</t>
        </is>
      </c>
      <c r="U93">
        <v>0.4</v>
      </c>
      <c r="V93" s="104">
        <v>1.33333333333333</v>
      </c>
      <c r="W93" t="inlineStr">
        <is>
          <t>Hubo ejecución por encima de lo programado en SisPT</t>
        </is>
      </c>
    </row>
    <row r="94">
      <c r="A94" t="inlineStr">
        <is>
          <t>IP-92</t>
        </is>
      </c>
      <c r="B94" t="inlineStr">
        <is>
          <t>45</t>
        </is>
      </c>
      <c r="C94" t="inlineStr">
        <is>
          <t>Gobierno Territorial</t>
        </is>
      </c>
      <c r="D94" t="inlineStr">
        <is>
          <t>4501</t>
        </is>
      </c>
      <c r="E94" t="inlineStr">
        <is>
          <t>Fortalecimiento de la convivencia y la seguridad ciudadana</t>
        </is>
      </c>
      <c r="F94" t="inlineStr">
        <is>
          <t>4501048</t>
        </is>
      </c>
      <c r="G94" t="inlineStr">
        <is>
          <t>Servicio de apoyo para el acceso a la justicia policiva</t>
        </is>
      </c>
      <c r="H94" t="inlineStr">
        <is>
          <t>450104800</t>
        </is>
      </c>
      <c r="I94" t="inlineStr">
        <is>
          <t>Estrategias implementadas</t>
        </is>
      </c>
      <c r="J94" t="inlineStr">
        <is>
          <t>2024258170018</t>
        </is>
      </c>
      <c r="K94" t="inlineStr">
        <is>
          <t>No</t>
        </is>
      </c>
      <c r="L94" t="inlineStr">
        <is>
          <t>Número</t>
        </is>
      </c>
      <c r="M94">
        <v>1</v>
      </c>
      <c r="N94">
        <v>1</v>
      </c>
      <c r="O94">
        <v>1</v>
      </c>
      <c r="P94">
        <v>1</v>
      </c>
      <c r="Q94">
        <v>1</v>
      </c>
      <c r="R94" t="inlineStr">
        <is>
          <t xml:space="preserve"> </t>
        </is>
      </c>
      <c r="S94" s="103" t="inlineStr">
        <is>
          <t xml:space="preserve"> </t>
        </is>
      </c>
      <c r="T94" t="inlineStr">
        <is>
          <t>No se encontró ejecución en PIIP</t>
        </is>
      </c>
      <c r="U94" t="inlineStr">
        <is>
          <t xml:space="preserve"> </t>
        </is>
      </c>
      <c r="V94" s="104" t="inlineStr">
        <is>
          <t xml:space="preserve"> </t>
        </is>
      </c>
      <c r="W94" t="inlineStr">
        <is>
          <t>No se encontró ejecución en PIIP</t>
        </is>
      </c>
    </row>
    <row r="95">
      <c r="A95" t="inlineStr">
        <is>
          <t>IP-93</t>
        </is>
      </c>
      <c r="B95" t="inlineStr">
        <is>
          <t>41</t>
        </is>
      </c>
      <c r="C95" t="inlineStr">
        <is>
          <t xml:space="preserve">Inclusión social y reconciliación </t>
        </is>
      </c>
      <c r="D95" t="inlineStr">
        <is>
          <t>4101</t>
        </is>
      </c>
      <c r="E95" t="inlineStr">
        <is>
          <t>Atención, asistencia y reparación integral a las víctimas</t>
        </is>
      </c>
      <c r="F95" t="inlineStr">
        <is>
          <t>4101100</t>
        </is>
      </c>
      <c r="G95" t="inlineStr">
        <is>
          <t>Servicio de asistencia humanitaria a víctimas del conflicto armado</t>
        </is>
      </c>
      <c r="H95" t="inlineStr">
        <is>
          <t>410110000</t>
        </is>
      </c>
      <c r="I95" t="inlineStr">
        <is>
          <t>Hogares víctimas con atención humanitaria</t>
        </is>
      </c>
      <c r="J95" t="inlineStr">
        <is>
          <t>202400000006511</t>
        </is>
      </c>
      <c r="K95" t="inlineStr">
        <is>
          <t>No</t>
        </is>
      </c>
      <c r="L95" t="inlineStr">
        <is>
          <t>Número</t>
        </is>
      </c>
      <c r="M95">
        <v>100</v>
      </c>
      <c r="N95">
        <v>100</v>
      </c>
      <c r="O95">
        <v>100</v>
      </c>
      <c r="P95">
        <v>100</v>
      </c>
      <c r="Q95">
        <v>100</v>
      </c>
      <c r="R95" t="inlineStr">
        <is>
          <t xml:space="preserve"> </t>
        </is>
      </c>
      <c r="S95" s="103" t="inlineStr">
        <is>
          <t xml:space="preserve"> </t>
        </is>
      </c>
      <c r="T95" t="inlineStr">
        <is>
          <t>No se encontró ejecución en PIIP</t>
        </is>
      </c>
      <c r="U95" t="inlineStr">
        <is>
          <t xml:space="preserve"> </t>
        </is>
      </c>
      <c r="V95" s="104" t="inlineStr">
        <is>
          <t xml:space="preserve"> </t>
        </is>
      </c>
      <c r="W95" t="inlineStr">
        <is>
          <t>No se encontró ejecución en PIIP</t>
        </is>
      </c>
    </row>
    <row r="96">
      <c r="A96" t="inlineStr">
        <is>
          <t>IP-94</t>
        </is>
      </c>
      <c r="B96" t="inlineStr">
        <is>
          <t>33</t>
        </is>
      </c>
      <c r="C96" t="inlineStr">
        <is>
          <t>Cultura</t>
        </is>
      </c>
      <c r="D96" t="inlineStr">
        <is>
          <t>3301</t>
        </is>
      </c>
      <c r="E96" t="inlineStr">
        <is>
          <t>Promoción y acceso efectivo a procesos culturales y artísticos</t>
        </is>
      </c>
      <c r="F96" t="inlineStr">
        <is>
          <t>3301126</t>
        </is>
      </c>
      <c r="G96" t="inlineStr">
        <is>
          <t>Servicio de apoyo al proceso de formación artística y cultural</t>
        </is>
      </c>
      <c r="H96" t="inlineStr">
        <is>
          <t>330112600</t>
        </is>
      </c>
      <c r="I96" t="inlineStr">
        <is>
          <t>Procesos de formación atendidos</t>
        </is>
      </c>
      <c r="J96" t="inlineStr">
        <is>
          <t>2024258170016</t>
        </is>
      </c>
      <c r="K96" t="inlineStr">
        <is>
          <t>Si</t>
        </is>
      </c>
      <c r="L96" t="inlineStr">
        <is>
          <t>Número</t>
        </is>
      </c>
      <c r="M96">
        <v>3</v>
      </c>
      <c r="N96">
        <v>0.5</v>
      </c>
      <c r="O96">
        <v>0.5</v>
      </c>
      <c r="P96">
        <v>1</v>
      </c>
      <c r="Q96">
        <v>1</v>
      </c>
      <c r="R96">
        <v>100</v>
      </c>
      <c r="S96" s="103">
        <v>200</v>
      </c>
      <c r="T96" t="inlineStr">
        <is>
          <t>Hubo ejecución por encima de lo programado en SisPT</t>
        </is>
      </c>
      <c r="U96">
        <v>0</v>
      </c>
      <c r="V96" s="104">
        <v>0</v>
      </c>
      <c r="W96" t="inlineStr">
        <is>
          <t>No se ejecutó en la vigencia</t>
        </is>
      </c>
    </row>
    <row r="97">
      <c r="A97" t="inlineStr">
        <is>
          <t>IP-95</t>
        </is>
      </c>
      <c r="B97" t="inlineStr">
        <is>
          <t>45</t>
        </is>
      </c>
      <c r="C97" t="inlineStr">
        <is>
          <t>Gobierno Territorial</t>
        </is>
      </c>
      <c r="D97" t="inlineStr">
        <is>
          <t>4501</t>
        </is>
      </c>
      <c r="E97" t="inlineStr">
        <is>
          <t>Fortalecimiento de la convivencia y la seguridad ciudadana</t>
        </is>
      </c>
      <c r="F97" t="inlineStr">
        <is>
          <t>4501081</t>
        </is>
      </c>
      <c r="G97" t="inlineStr">
        <is>
          <t>Servicio de apoyo para la atención de contravenciones y solución de conflictos de convivencia ciudadana</t>
        </is>
      </c>
      <c r="H97" t="inlineStr">
        <is>
          <t>450108100</t>
        </is>
      </c>
      <c r="I97" t="inlineStr">
        <is>
          <t>Casos atendidos</t>
        </is>
      </c>
      <c r="J97" t="inlineStr">
        <is>
          <t>202400000007013</t>
        </is>
      </c>
      <c r="K97" t="inlineStr">
        <is>
          <t>Si</t>
        </is>
      </c>
      <c r="L97" t="inlineStr">
        <is>
          <t>Número</t>
        </is>
      </c>
      <c r="M97">
        <v>10</v>
      </c>
      <c r="N97">
        <v>0</v>
      </c>
      <c r="O97">
        <v>4</v>
      </c>
      <c r="P97">
        <v>4</v>
      </c>
      <c r="Q97">
        <v>2</v>
      </c>
      <c r="R97" t="inlineStr">
        <is>
          <t xml:space="preserve"> </t>
        </is>
      </c>
      <c r="S97" s="103" t="inlineStr">
        <is>
          <t xml:space="preserve"> </t>
        </is>
      </c>
      <c r="T97" t="inlineStr">
        <is>
          <t>No se encontró ejecución en PIIP</t>
        </is>
      </c>
      <c r="U97">
        <v>1</v>
      </c>
      <c r="V97" s="104">
        <v>0.25</v>
      </c>
      <c r="W97" t="inlineStr">
        <is>
          <t>Lo ejecutado está por debajo de lo programado en la vigencia</t>
        </is>
      </c>
    </row>
    <row r="98">
      <c r="A98" t="inlineStr">
        <is>
          <t>IP-96</t>
        </is>
      </c>
      <c r="B98" t="inlineStr">
        <is>
          <t>33</t>
        </is>
      </c>
      <c r="C98" t="inlineStr">
        <is>
          <t>Cultura</t>
        </is>
      </c>
      <c r="D98" t="inlineStr">
        <is>
          <t>3301</t>
        </is>
      </c>
      <c r="E98" t="inlineStr">
        <is>
          <t>Promoción y acceso efectivo a procesos culturales y artísticos</t>
        </is>
      </c>
      <c r="F98" t="inlineStr">
        <is>
          <t>3301038</t>
        </is>
      </c>
      <c r="G98" t="inlineStr">
        <is>
          <t>Teatros adecuados</t>
        </is>
      </c>
      <c r="H98" t="inlineStr">
        <is>
          <t>330103800</t>
        </is>
      </c>
      <c r="I98" t="inlineStr">
        <is>
          <t>Teatros adecuados</t>
        </is>
      </c>
      <c r="J98" t="inlineStr">
        <is>
          <t>2024258170044</t>
        </is>
      </c>
      <c r="K98" t="inlineStr">
        <is>
          <t>Si</t>
        </is>
      </c>
      <c r="L98" t="inlineStr">
        <is>
          <t>Número</t>
        </is>
      </c>
      <c r="M98">
        <v>1</v>
      </c>
      <c r="N98">
        <v>0.1</v>
      </c>
      <c r="O98">
        <v>0.2</v>
      </c>
      <c r="P98">
        <v>0.2</v>
      </c>
      <c r="Q98">
        <v>0.5</v>
      </c>
      <c r="R98" t="inlineStr">
        <is>
          <t xml:space="preserve"> </t>
        </is>
      </c>
      <c r="S98" s="103" t="inlineStr">
        <is>
          <t xml:space="preserve"> </t>
        </is>
      </c>
      <c r="T98" t="inlineStr">
        <is>
          <t>No se encontró ejecución en PIIP</t>
        </is>
      </c>
      <c r="U98" t="inlineStr">
        <is>
          <t xml:space="preserve"> </t>
        </is>
      </c>
      <c r="V98" s="104" t="inlineStr">
        <is>
          <t xml:space="preserve"> </t>
        </is>
      </c>
      <c r="W98" t="inlineStr">
        <is>
          <t>No se encontró ejecución en PIIP</t>
        </is>
      </c>
    </row>
    <row r="99">
      <c r="A99" t="inlineStr">
        <is>
          <t>IP-97</t>
        </is>
      </c>
      <c r="B99" t="inlineStr">
        <is>
          <t>45</t>
        </is>
      </c>
      <c r="C99" t="inlineStr">
        <is>
          <t>Gobierno Territorial</t>
        </is>
      </c>
      <c r="D99" t="inlineStr">
        <is>
          <t>4599</t>
        </is>
      </c>
      <c r="E99" t="inlineStr">
        <is>
          <t>Fortalecimiento a la gestión y dirección de la administración pública territorial</t>
        </is>
      </c>
      <c r="F99" t="inlineStr">
        <is>
          <t>4599009</t>
        </is>
      </c>
      <c r="G99" t="inlineStr">
        <is>
          <t>Sedes construidas</t>
        </is>
      </c>
      <c r="H99" t="inlineStr">
        <is>
          <t>459900900</t>
        </is>
      </c>
      <c r="I99" t="inlineStr">
        <is>
          <t>Sedes construidas</t>
        </is>
      </c>
      <c r="J99" t="inlineStr">
        <is>
          <t>2024258170033</t>
        </is>
      </c>
      <c r="K99" t="inlineStr">
        <is>
          <t>Si</t>
        </is>
      </c>
      <c r="L99" t="inlineStr">
        <is>
          <t>Número</t>
        </is>
      </c>
      <c r="M99">
        <v>1</v>
      </c>
      <c r="N99">
        <v>0.1</v>
      </c>
      <c r="O99">
        <v>0.2</v>
      </c>
      <c r="P99">
        <v>0.7</v>
      </c>
      <c r="Q99">
        <v>0</v>
      </c>
      <c r="R99" t="inlineStr">
        <is>
          <t xml:space="preserve"> </t>
        </is>
      </c>
      <c r="S99" s="103" t="inlineStr">
        <is>
          <t xml:space="preserve"> </t>
        </is>
      </c>
      <c r="T99" t="inlineStr">
        <is>
          <t>No se encontró ejecución en PIIP</t>
        </is>
      </c>
      <c r="U99">
        <v>0</v>
      </c>
      <c r="V99" s="104">
        <v>0</v>
      </c>
      <c r="W99" t="inlineStr">
        <is>
          <t>No se ejecutó en la vigencia</t>
        </is>
      </c>
    </row>
    <row r="100">
      <c r="A100" t="inlineStr">
        <is>
          <t>IP-98</t>
        </is>
      </c>
      <c r="B100" t="inlineStr">
        <is>
          <t>45</t>
        </is>
      </c>
      <c r="C100" t="inlineStr">
        <is>
          <t>Gobierno Territorial</t>
        </is>
      </c>
      <c r="D100" t="inlineStr">
        <is>
          <t>4502</t>
        </is>
      </c>
      <c r="E100" t="inlineStr">
        <is>
          <t>Fortalecimiento del buen gobierno para el respeto y garantía de los derechos humanos.</t>
        </is>
      </c>
      <c r="F100" t="inlineStr">
        <is>
          <t>4502029</t>
        </is>
      </c>
      <c r="G100" t="inlineStr">
        <is>
          <t>Documentos metodológicos</t>
        </is>
      </c>
      <c r="H100" t="inlineStr">
        <is>
          <t>450202900</t>
        </is>
      </c>
      <c r="I100" t="inlineStr">
        <is>
          <t>Documentos metodológicos realizados</t>
        </is>
      </c>
      <c r="J100" t="inlineStr">
        <is>
          <t>202400000006667</t>
        </is>
      </c>
      <c r="K100" t="inlineStr">
        <is>
          <t>Si</t>
        </is>
      </c>
      <c r="L100" t="inlineStr">
        <is>
          <t>Número</t>
        </is>
      </c>
      <c r="M100">
        <v>100</v>
      </c>
      <c r="N100">
        <v>0.25</v>
      </c>
      <c r="O100">
        <v>0.25</v>
      </c>
      <c r="P100">
        <v>0.25</v>
      </c>
      <c r="Q100">
        <v>0.25</v>
      </c>
      <c r="R100" t="inlineStr">
        <is>
          <t xml:space="preserve"> </t>
        </is>
      </c>
      <c r="S100" s="103" t="inlineStr">
        <is>
          <t xml:space="preserve"> </t>
        </is>
      </c>
      <c r="T100" t="inlineStr">
        <is>
          <t>No se encontró ejecución en PIIP</t>
        </is>
      </c>
      <c r="U100" t="inlineStr">
        <is>
          <t xml:space="preserve"> </t>
        </is>
      </c>
      <c r="V100" s="104" t="inlineStr">
        <is>
          <t xml:space="preserve"> </t>
        </is>
      </c>
      <c r="W100" t="inlineStr">
        <is>
          <t>No se encontró ejecución en PIIP</t>
        </is>
      </c>
    </row>
    <row r="101">
      <c r="A101" t="inlineStr">
        <is>
          <t>IP-99</t>
        </is>
      </c>
      <c r="B101" t="inlineStr">
        <is>
          <t>33</t>
        </is>
      </c>
      <c r="C101" t="inlineStr">
        <is>
          <t>Cultura</t>
        </is>
      </c>
      <c r="D101" t="inlineStr">
        <is>
          <t>3302</t>
        </is>
      </c>
      <c r="E101" t="inlineStr">
        <is>
          <t>Gestión, protección y salvaguardia del patrimonio cultural colombiano</t>
        </is>
      </c>
      <c r="F101" t="inlineStr">
        <is>
          <t>3302041</t>
        </is>
      </c>
      <c r="G101" t="inlineStr">
        <is>
          <t>Servicio de protección del patrimonio arqueologico, antropologico e historico</t>
        </is>
      </c>
      <c r="H101" t="inlineStr">
        <is>
          <t>330204100</t>
        </is>
      </c>
      <c r="I101" t="inlineStr">
        <is>
          <t>Actos administrativos generados</t>
        </is>
      </c>
      <c r="J101" t="inlineStr">
        <is>
          <t>202500000004007</t>
        </is>
      </c>
      <c r="K101" t="inlineStr">
        <is>
          <t>Si</t>
        </is>
      </c>
      <c r="L101" t="inlineStr">
        <is>
          <t>Número</t>
        </is>
      </c>
      <c r="M101">
        <v>1</v>
      </c>
      <c r="N101">
        <v>0</v>
      </c>
      <c r="O101">
        <v>0.3</v>
      </c>
      <c r="P101">
        <v>0.3</v>
      </c>
      <c r="Q101">
        <v>0.4</v>
      </c>
      <c r="R101" t="inlineStr">
        <is>
          <t xml:space="preserve"> </t>
        </is>
      </c>
      <c r="S101" s="103" t="inlineStr">
        <is>
          <t xml:space="preserve"> </t>
        </is>
      </c>
      <c r="T101" t="inlineStr">
        <is>
          <t>No se encontró ejecución en PIIP</t>
        </is>
      </c>
      <c r="U101" t="inlineStr">
        <is>
          <t xml:space="preserve"> </t>
        </is>
      </c>
      <c r="V101" s="104" t="inlineStr">
        <is>
          <t xml:space="preserve"> </t>
        </is>
      </c>
      <c r="W101" t="inlineStr">
        <is>
          <t>No se encontró ejecución en PIIP</t>
        </is>
      </c>
    </row>
    <row r="102">
      <c r="A102" t="inlineStr">
        <is>
          <t>IP-100</t>
        </is>
      </c>
      <c r="B102" t="inlineStr">
        <is>
          <t>19</t>
        </is>
      </c>
      <c r="C102" t="inlineStr">
        <is>
          <t>Salud y protección social</t>
        </is>
      </c>
      <c r="D102" t="inlineStr">
        <is>
          <t>1906</t>
        </is>
      </c>
      <c r="E102" t="inlineStr">
        <is>
          <t>Aseguramiento y prestación integral de servicios de salud</t>
        </is>
      </c>
      <c r="F102" t="inlineStr">
        <is>
          <t>1906039</t>
        </is>
      </c>
      <c r="G102" t="inlineStr">
        <is>
          <t>Documento de lineamientos técnicos</t>
        </is>
      </c>
      <c r="H102" t="inlineStr">
        <is>
          <t>190603900</t>
        </is>
      </c>
      <c r="I102" t="inlineStr">
        <is>
          <t>Documentos de lineamientos técnicos realizados</t>
        </is>
      </c>
      <c r="J102" t="inlineStr">
        <is>
          <t>202400000006244</t>
        </is>
      </c>
      <c r="K102" t="inlineStr">
        <is>
          <t>No</t>
        </is>
      </c>
      <c r="L102" t="inlineStr">
        <is>
          <t>Número</t>
        </is>
      </c>
      <c r="M102">
        <v>1</v>
      </c>
      <c r="N102">
        <v>1</v>
      </c>
      <c r="O102">
        <v>1</v>
      </c>
      <c r="P102">
        <v>1</v>
      </c>
      <c r="Q102">
        <v>1</v>
      </c>
      <c r="R102" t="inlineStr">
        <is>
          <t xml:space="preserve"> </t>
        </is>
      </c>
      <c r="S102" s="103" t="inlineStr">
        <is>
          <t xml:space="preserve"> </t>
        </is>
      </c>
      <c r="T102" t="inlineStr">
        <is>
          <t>No se encontró ejecución en PIIP</t>
        </is>
      </c>
      <c r="U102">
        <v>0.22</v>
      </c>
      <c r="V102" s="104">
        <v>0.22</v>
      </c>
      <c r="W102" t="inlineStr">
        <is>
          <t>Lo ejecutado está por debajo de lo programado en la vigencia</t>
        </is>
      </c>
    </row>
    <row r="103">
      <c r="A103" t="inlineStr">
        <is>
          <t>IP-101</t>
        </is>
      </c>
      <c r="B103" t="inlineStr">
        <is>
          <t>43</t>
        </is>
      </c>
      <c r="C103" t="inlineStr">
        <is>
          <t>Deporte y Recreación</t>
        </is>
      </c>
      <c r="D103" t="inlineStr">
        <is>
          <t>4302</t>
        </is>
      </c>
      <c r="E103" t="inlineStr">
        <is>
          <t>Formación y preparación de deportistas</t>
        </is>
      </c>
      <c r="F103" t="inlineStr">
        <is>
          <t>4302073</t>
        </is>
      </c>
      <c r="G103" t="inlineStr">
        <is>
          <t>Servicio de identificación de talentos deportivos</t>
        </is>
      </c>
      <c r="H103" t="inlineStr">
        <is>
          <t>430207300</t>
        </is>
      </c>
      <c r="I103" t="inlineStr">
        <is>
          <t>Personas con talento deportivo identificadas</t>
        </is>
      </c>
      <c r="J103" t="inlineStr">
        <is>
          <t>2024258170019</t>
        </is>
      </c>
      <c r="K103" t="inlineStr">
        <is>
          <t>Si</t>
        </is>
      </c>
      <c r="L103" t="inlineStr">
        <is>
          <t>Número</t>
        </is>
      </c>
      <c r="M103">
        <v>1</v>
      </c>
      <c r="N103">
        <v>0.25</v>
      </c>
      <c r="O103">
        <v>0.25</v>
      </c>
      <c r="P103">
        <v>0.25</v>
      </c>
      <c r="Q103">
        <v>0.25</v>
      </c>
      <c r="R103">
        <v>0</v>
      </c>
      <c r="S103" s="103">
        <v>0</v>
      </c>
      <c r="T103" t="inlineStr">
        <is>
          <t>No se ejecutó en la vigencia</t>
        </is>
      </c>
      <c r="U103">
        <v>6</v>
      </c>
      <c r="V103" s="104">
        <v>24</v>
      </c>
      <c r="W103" t="inlineStr">
        <is>
          <t>Hubo ejecución por encima de lo programado en SisPT</t>
        </is>
      </c>
    </row>
    <row r="104">
      <c r="A104" t="inlineStr">
        <is>
          <t>IP-102</t>
        </is>
      </c>
      <c r="B104" t="inlineStr">
        <is>
          <t>32</t>
        </is>
      </c>
      <c r="C104" t="inlineStr">
        <is>
          <t>Ambiente y desarrollo sostenible</t>
        </is>
      </c>
      <c r="D104" t="inlineStr">
        <is>
          <t>3208</t>
        </is>
      </c>
      <c r="E104" t="inlineStr">
        <is>
          <t xml:space="preserve">Educación Ambiental </t>
        </is>
      </c>
      <c r="F104" t="inlineStr">
        <is>
          <t>3208009</t>
        </is>
      </c>
      <c r="G104" t="inlineStr">
        <is>
          <t>Documentos de lineamientos técnicos para el desarrollo de la política ambiental</t>
        </is>
      </c>
      <c r="H104" t="inlineStr">
        <is>
          <t>320800900</t>
        </is>
      </c>
      <c r="I104" t="inlineStr">
        <is>
          <t>Documentos de lineamientos técnicos elaborados</t>
        </is>
      </c>
      <c r="J104" t="inlineStr">
        <is>
          <t>2024258170053</t>
        </is>
      </c>
      <c r="K104" t="inlineStr">
        <is>
          <t>Si</t>
        </is>
      </c>
      <c r="L104" t="inlineStr">
        <is>
          <t>Número</t>
        </is>
      </c>
      <c r="M104">
        <v>1</v>
      </c>
      <c r="N104">
        <v>0.4</v>
      </c>
      <c r="O104">
        <v>0.3</v>
      </c>
      <c r="P104">
        <v>0.3</v>
      </c>
      <c r="Q104">
        <v>0</v>
      </c>
      <c r="R104" t="inlineStr">
        <is>
          <t xml:space="preserve"> </t>
        </is>
      </c>
      <c r="S104" s="103" t="inlineStr">
        <is>
          <t xml:space="preserve"> </t>
        </is>
      </c>
      <c r="T104" t="inlineStr">
        <is>
          <t>No se encontró ejecución en PIIP</t>
        </is>
      </c>
      <c r="U104" t="inlineStr">
        <is>
          <t xml:space="preserve"> </t>
        </is>
      </c>
      <c r="V104" s="104" t="inlineStr">
        <is>
          <t xml:space="preserve"> </t>
        </is>
      </c>
      <c r="W104" t="inlineStr">
        <is>
          <t>No se encontró ejecución en PIIP</t>
        </is>
      </c>
    </row>
    <row r="105">
      <c r="A105" t="inlineStr">
        <is>
          <t>IP-103</t>
        </is>
      </c>
      <c r="B105" t="inlineStr">
        <is>
          <t>45</t>
        </is>
      </c>
      <c r="C105" t="inlineStr">
        <is>
          <t>Gobierno Territorial</t>
        </is>
      </c>
      <c r="D105" t="inlineStr">
        <is>
          <t>4501</t>
        </is>
      </c>
      <c r="E105" t="inlineStr">
        <is>
          <t>Fortalecimiento de la convivencia y la seguridad ciudadana</t>
        </is>
      </c>
      <c r="F105" t="inlineStr">
        <is>
          <t>4501049</t>
        </is>
      </c>
      <c r="G105" t="inlineStr">
        <is>
          <t>Servicio de educación informal</t>
        </is>
      </c>
      <c r="H105" t="inlineStr">
        <is>
          <t>450104905</t>
        </is>
      </c>
      <c r="I105" t="inlineStr">
        <is>
          <t>Capacitaciones realizadas</t>
        </is>
      </c>
      <c r="J105" t="inlineStr">
        <is>
          <t>202400000007013</t>
        </is>
      </c>
      <c r="K105" t="inlineStr">
        <is>
          <t>Si</t>
        </is>
      </c>
      <c r="L105" t="inlineStr">
        <is>
          <t>Número</t>
        </is>
      </c>
      <c r="M105">
        <v>52</v>
      </c>
      <c r="N105">
        <v>3</v>
      </c>
      <c r="O105">
        <v>20</v>
      </c>
      <c r="P105">
        <v>19</v>
      </c>
      <c r="Q105">
        <v>10</v>
      </c>
      <c r="R105" t="inlineStr">
        <is>
          <t xml:space="preserve"> </t>
        </is>
      </c>
      <c r="S105" s="103" t="inlineStr">
        <is>
          <t xml:space="preserve"> </t>
        </is>
      </c>
      <c r="T105" t="inlineStr">
        <is>
          <t>No se encontró ejecución en PIIP</t>
        </is>
      </c>
      <c r="U105" t="inlineStr">
        <is>
          <t xml:space="preserve"> </t>
        </is>
      </c>
      <c r="V105" s="104" t="inlineStr">
        <is>
          <t xml:space="preserve"> </t>
        </is>
      </c>
      <c r="W105" t="inlineStr">
        <is>
          <t>No se encontró ejecución en PIIP</t>
        </is>
      </c>
    </row>
    <row r="106">
      <c r="A106" t="inlineStr">
        <is>
          <t>IP-104</t>
        </is>
      </c>
      <c r="B106" t="inlineStr">
        <is>
          <t>43</t>
        </is>
      </c>
      <c r="C106" t="inlineStr">
        <is>
          <t>Deporte y Recreación</t>
        </is>
      </c>
      <c r="D106" t="inlineStr">
        <is>
          <t>4301</t>
        </is>
      </c>
      <c r="E106" t="inlineStr">
        <is>
          <t>Fomento a la recreación, la actividad física y el deporte para desarrollar entornos de convivencia y paz</t>
        </is>
      </c>
      <c r="F106" t="inlineStr">
        <is>
          <t>4301009</t>
        </is>
      </c>
      <c r="G106" t="inlineStr">
        <is>
          <t>Parques recreativos construidos</t>
        </is>
      </c>
      <c r="H106" t="inlineStr">
        <is>
          <t>430100900</t>
        </is>
      </c>
      <c r="I106" t="inlineStr">
        <is>
          <t>Parques construidos</t>
        </is>
      </c>
      <c r="J106" t="inlineStr">
        <is>
          <t>202400000005086</t>
        </is>
      </c>
      <c r="K106" t="inlineStr">
        <is>
          <t>Si</t>
        </is>
      </c>
      <c r="L106" t="inlineStr">
        <is>
          <t>Número</t>
        </is>
      </c>
      <c r="M106">
        <v>1</v>
      </c>
      <c r="N106">
        <v>0.1</v>
      </c>
      <c r="O106">
        <v>0.4</v>
      </c>
      <c r="P106">
        <v>0.4</v>
      </c>
      <c r="Q106">
        <v>0.1</v>
      </c>
      <c r="R106" t="inlineStr">
        <is>
          <t xml:space="preserve"> </t>
        </is>
      </c>
      <c r="S106" s="103" t="inlineStr">
        <is>
          <t xml:space="preserve"> </t>
        </is>
      </c>
      <c r="T106" t="inlineStr">
        <is>
          <t>No se encontró ejecución en PIIP</t>
        </is>
      </c>
      <c r="U106" t="inlineStr">
        <is>
          <t xml:space="preserve"> </t>
        </is>
      </c>
      <c r="V106" s="104" t="inlineStr">
        <is>
          <t xml:space="preserve"> </t>
        </is>
      </c>
      <c r="W106" t="inlineStr">
        <is>
          <t>No se encontró ejecución en PIIP</t>
        </is>
      </c>
    </row>
    <row r="107">
      <c r="A107" t="inlineStr">
        <is>
          <t>IP-105</t>
        </is>
      </c>
      <c r="B107" t="inlineStr">
        <is>
          <t>33</t>
        </is>
      </c>
      <c r="C107" t="inlineStr">
        <is>
          <t>Cultura</t>
        </is>
      </c>
      <c r="D107" t="inlineStr">
        <is>
          <t>3301</t>
        </is>
      </c>
      <c r="E107" t="inlineStr">
        <is>
          <t>Promoción y acceso efectivo a procesos culturales y artísticos</t>
        </is>
      </c>
      <c r="F107" t="inlineStr">
        <is>
          <t>3301098</t>
        </is>
      </c>
      <c r="G107" t="inlineStr">
        <is>
          <t>Servicio de acceso a materiales de lectura</t>
        </is>
      </c>
      <c r="H107" t="inlineStr">
        <is>
          <t>330109800</t>
        </is>
      </c>
      <c r="I107" t="inlineStr">
        <is>
          <t>Materiales de lectura disponibles en bibliotecas públicas y espacios no convencionales</t>
        </is>
      </c>
      <c r="J107" t="inlineStr">
        <is>
          <t>2024258170016</t>
        </is>
      </c>
      <c r="K107" t="inlineStr">
        <is>
          <t>Si</t>
        </is>
      </c>
      <c r="L107" t="inlineStr">
        <is>
          <t>Número</t>
        </is>
      </c>
      <c r="M107">
        <v>3</v>
      </c>
      <c r="N107">
        <v>0</v>
      </c>
      <c r="O107">
        <v>1</v>
      </c>
      <c r="P107">
        <v>1</v>
      </c>
      <c r="Q107">
        <v>1</v>
      </c>
      <c r="R107">
        <v>0</v>
      </c>
      <c r="S107" s="103" t="inlineStr">
        <is>
          <t xml:space="preserve"> </t>
        </is>
      </c>
      <c r="T107" t="inlineStr">
        <is>
          <t>No se programó ni ejecutó en la vigencia</t>
        </is>
      </c>
      <c r="U107" t="inlineStr">
        <is>
          <t xml:space="preserve"> </t>
        </is>
      </c>
      <c r="V107" s="104" t="inlineStr">
        <is>
          <t xml:space="preserve"> </t>
        </is>
      </c>
      <c r="W107" t="inlineStr">
        <is>
          <t>No se encontró ejecución en PIIP</t>
        </is>
      </c>
    </row>
    <row r="108">
      <c r="A108" t="inlineStr">
        <is>
          <t>IP-106</t>
        </is>
      </c>
      <c r="B108" t="inlineStr">
        <is>
          <t>45</t>
        </is>
      </c>
      <c r="C108" t="inlineStr">
        <is>
          <t>Gobierno Territorial</t>
        </is>
      </c>
      <c r="D108" t="inlineStr">
        <is>
          <t>4599</t>
        </is>
      </c>
      <c r="E108" t="inlineStr">
        <is>
          <t>Fortalecimiento a la gestión y dirección de la administración pública territorial</t>
        </is>
      </c>
      <c r="F108" t="inlineStr">
        <is>
          <t>4599036</t>
        </is>
      </c>
      <c r="G108" t="inlineStr">
        <is>
          <t>Servicio de gestión documental actualizado</t>
        </is>
      </c>
      <c r="H108" t="inlineStr">
        <is>
          <t>459903600</t>
        </is>
      </c>
      <c r="I108" t="inlineStr">
        <is>
          <t>Sistema de gestión documental actualizado</t>
        </is>
      </c>
      <c r="J108" t="inlineStr">
        <is>
          <t>202400000006673</t>
        </is>
      </c>
      <c r="K108" t="inlineStr">
        <is>
          <t>Si</t>
        </is>
      </c>
      <c r="L108" t="inlineStr">
        <is>
          <t>Número</t>
        </is>
      </c>
      <c r="M108">
        <v>1</v>
      </c>
      <c r="N108">
        <v>0.25</v>
      </c>
      <c r="O108">
        <v>0.25</v>
      </c>
      <c r="P108">
        <v>0.25</v>
      </c>
      <c r="Q108">
        <v>0.25</v>
      </c>
      <c r="R108" t="inlineStr">
        <is>
          <t xml:space="preserve"> </t>
        </is>
      </c>
      <c r="S108" s="103" t="inlineStr">
        <is>
          <t xml:space="preserve"> </t>
        </is>
      </c>
      <c r="T108" t="inlineStr">
        <is>
          <t>No se encontró ejecución en PIIP</t>
        </is>
      </c>
      <c r="U108" t="inlineStr">
        <is>
          <t xml:space="preserve"> </t>
        </is>
      </c>
      <c r="V108" s="104" t="inlineStr">
        <is>
          <t xml:space="preserve"> </t>
        </is>
      </c>
      <c r="W108" t="inlineStr">
        <is>
          <t>No se encontró ejecución en PIIP</t>
        </is>
      </c>
    </row>
    <row r="109">
      <c r="A109" t="inlineStr">
        <is>
          <t>IP-107</t>
        </is>
      </c>
      <c r="B109" t="inlineStr">
        <is>
          <t>33</t>
        </is>
      </c>
      <c r="C109" t="inlineStr">
        <is>
          <t>Cultura</t>
        </is>
      </c>
      <c r="D109" t="inlineStr">
        <is>
          <t>3301</t>
        </is>
      </c>
      <c r="E109" t="inlineStr">
        <is>
          <t>Promoción y acceso efectivo a procesos culturales y artísticos</t>
        </is>
      </c>
      <c r="F109" t="inlineStr">
        <is>
          <t>3301074</t>
        </is>
      </c>
      <c r="G109" t="inlineStr">
        <is>
          <t>Servicio de apoyo para la organización y la participación del sector artístico, cultural y la ciudadanía</t>
        </is>
      </c>
      <c r="H109" t="inlineStr">
        <is>
          <t>330107400</t>
        </is>
      </c>
      <c r="I109" t="inlineStr">
        <is>
          <t>Encuentros realizados</t>
        </is>
      </c>
      <c r="J109" t="inlineStr">
        <is>
          <t>2024258170016</t>
        </is>
      </c>
      <c r="K109" t="inlineStr">
        <is>
          <t>Si</t>
        </is>
      </c>
      <c r="L109" t="inlineStr">
        <is>
          <t>Número</t>
        </is>
      </c>
      <c r="M109">
        <v>4</v>
      </c>
      <c r="N109">
        <v>0</v>
      </c>
      <c r="O109">
        <v>1</v>
      </c>
      <c r="P109">
        <v>2</v>
      </c>
      <c r="Q109">
        <v>1</v>
      </c>
      <c r="R109">
        <v>0</v>
      </c>
      <c r="S109" s="103" t="inlineStr">
        <is>
          <t xml:space="preserve"> </t>
        </is>
      </c>
      <c r="T109" t="inlineStr">
        <is>
          <t>No se programó ni ejecutó en la vigencia</t>
        </is>
      </c>
      <c r="U109" t="inlineStr">
        <is>
          <t xml:space="preserve"> </t>
        </is>
      </c>
      <c r="V109" s="104" t="inlineStr">
        <is>
          <t xml:space="preserve"> </t>
        </is>
      </c>
      <c r="W109" t="inlineStr">
        <is>
          <t>No se encontró ejecución en PIIP</t>
        </is>
      </c>
    </row>
    <row r="110">
      <c r="A110" t="inlineStr">
        <is>
          <t>IP-108</t>
        </is>
      </c>
      <c r="B110" t="inlineStr">
        <is>
          <t>45</t>
        </is>
      </c>
      <c r="C110" t="inlineStr">
        <is>
          <t>Gobierno Territorial</t>
        </is>
      </c>
      <c r="D110" t="inlineStr">
        <is>
          <t>4501</t>
        </is>
      </c>
      <c r="E110" t="inlineStr">
        <is>
          <t>Fortalecimiento de la convivencia y la seguridad ciudadana</t>
        </is>
      </c>
      <c r="F110" t="inlineStr">
        <is>
          <t>4501004</t>
        </is>
      </c>
      <c r="G110" t="inlineStr">
        <is>
          <t>Servicio de promoción de convivencia y no repetición</t>
        </is>
      </c>
      <c r="H110" t="inlineStr">
        <is>
          <t>450100400</t>
        </is>
      </c>
      <c r="I110" t="inlineStr">
        <is>
          <t>Iniciativas para la promoción de la convivencia implementadas</t>
        </is>
      </c>
      <c r="J110" t="inlineStr">
        <is>
          <t>202400000007013</t>
        </is>
      </c>
      <c r="K110" t="inlineStr">
        <is>
          <t>Si</t>
        </is>
      </c>
      <c r="L110" t="inlineStr">
        <is>
          <t>Número</t>
        </is>
      </c>
      <c r="M110">
        <v>20</v>
      </c>
      <c r="N110">
        <v>2</v>
      </c>
      <c r="O110">
        <v>9</v>
      </c>
      <c r="P110">
        <v>8</v>
      </c>
      <c r="Q110">
        <v>1</v>
      </c>
      <c r="R110" t="inlineStr">
        <is>
          <t xml:space="preserve"> </t>
        </is>
      </c>
      <c r="S110" s="103" t="inlineStr">
        <is>
          <t xml:space="preserve"> </t>
        </is>
      </c>
      <c r="T110" t="inlineStr">
        <is>
          <t>No se encontró ejecución en PIIP</t>
        </is>
      </c>
      <c r="U110">
        <v>4</v>
      </c>
      <c r="V110" s="104">
        <v>0.444444444444444</v>
      </c>
      <c r="W110" t="inlineStr">
        <is>
          <t>Lo ejecutado está por debajo de lo programado en la vigencia</t>
        </is>
      </c>
    </row>
    <row r="111">
      <c r="A111" t="inlineStr">
        <is>
          <t>IP-109</t>
        </is>
      </c>
      <c r="B111" t="inlineStr">
        <is>
          <t>32</t>
        </is>
      </c>
      <c r="C111" t="inlineStr">
        <is>
          <t>Ambiente y desarrollo sostenible</t>
        </is>
      </c>
      <c r="D111" t="inlineStr">
        <is>
          <t>3208</t>
        </is>
      </c>
      <c r="E111" t="inlineStr">
        <is>
          <t xml:space="preserve">Educación Ambiental </t>
        </is>
      </c>
      <c r="F111" t="inlineStr">
        <is>
          <t>3208008</t>
        </is>
      </c>
      <c r="G111" t="inlineStr">
        <is>
          <t>Servicio de divulgación de la información de la política nacional de educación ambiental y participación</t>
        </is>
      </c>
      <c r="H111" t="inlineStr">
        <is>
          <t>320800800</t>
        </is>
      </c>
      <c r="I111" t="inlineStr">
        <is>
          <t>Campañas de educación ambiental y participación implementadas</t>
        </is>
      </c>
      <c r="J111" t="inlineStr">
        <is>
          <t>2024258170053</t>
        </is>
      </c>
      <c r="K111" t="inlineStr">
        <is>
          <t>Si</t>
        </is>
      </c>
      <c r="L111" t="inlineStr">
        <is>
          <t>Número</t>
        </is>
      </c>
      <c r="M111">
        <v>1</v>
      </c>
      <c r="N111">
        <v>0</v>
      </c>
      <c r="O111">
        <v>0.4</v>
      </c>
      <c r="P111">
        <v>0.3</v>
      </c>
      <c r="Q111">
        <v>0.3</v>
      </c>
      <c r="R111">
        <v>1</v>
      </c>
      <c r="S111" s="103" t="inlineStr">
        <is>
          <t xml:space="preserve"> </t>
        </is>
      </c>
      <c r="T111" t="inlineStr">
        <is>
          <t>Se ejecutó un producto no programado en la vigencia</t>
        </is>
      </c>
      <c r="U111">
        <v>0.123</v>
      </c>
      <c r="V111" s="104">
        <v>0.3075</v>
      </c>
      <c r="W111" t="inlineStr">
        <is>
          <t>Lo ejecutado está por debajo de lo programado en la vigencia</t>
        </is>
      </c>
    </row>
    <row r="112">
      <c r="A112" t="inlineStr">
        <is>
          <t>IP-110</t>
        </is>
      </c>
      <c r="B112" t="inlineStr">
        <is>
          <t>41</t>
        </is>
      </c>
      <c r="C112" t="inlineStr">
        <is>
          <t xml:space="preserve">Inclusión social y reconciliación </t>
        </is>
      </c>
      <c r="D112" t="inlineStr">
        <is>
          <t>4102</t>
        </is>
      </c>
      <c r="E112" t="inlineStr">
        <is>
          <t>Desarrollo integral de la primera infancia a la juventud, y fortalecimiento de las capacidades de las familias de niñas, niños y adolescentes</t>
        </is>
      </c>
      <c r="F112" t="inlineStr">
        <is>
          <t>4102046</t>
        </is>
      </c>
      <c r="G112" t="inlineStr">
        <is>
          <t>Servicios de promoción de los derechos de los niños, niñas, adolescentes y jóvenes</t>
        </is>
      </c>
      <c r="H112" t="inlineStr">
        <is>
          <t>410204600</t>
        </is>
      </c>
      <c r="I112" t="inlineStr">
        <is>
          <t>Campañas de promoción realizadas</t>
        </is>
      </c>
      <c r="J112" t="inlineStr">
        <is>
          <t>202400000006514</t>
        </is>
      </c>
      <c r="K112" t="inlineStr">
        <is>
          <t>Si</t>
        </is>
      </c>
      <c r="L112" t="inlineStr">
        <is>
          <t>Número</t>
        </is>
      </c>
      <c r="M112">
        <v>8000</v>
      </c>
      <c r="N112">
        <v>2000</v>
      </c>
      <c r="O112">
        <v>2000</v>
      </c>
      <c r="P112">
        <v>2000</v>
      </c>
      <c r="Q112">
        <v>2000</v>
      </c>
      <c r="R112" t="inlineStr">
        <is>
          <t xml:space="preserve"> </t>
        </is>
      </c>
      <c r="S112" s="103" t="inlineStr">
        <is>
          <t xml:space="preserve"> </t>
        </is>
      </c>
      <c r="T112" t="inlineStr">
        <is>
          <t>No se encontró ejecución en PIIP</t>
        </is>
      </c>
      <c r="U112" t="inlineStr">
        <is>
          <t xml:space="preserve"> </t>
        </is>
      </c>
      <c r="V112" s="104" t="inlineStr">
        <is>
          <t xml:space="preserve"> </t>
        </is>
      </c>
      <c r="W112" t="inlineStr">
        <is>
          <t>No se encontró ejecución en PIIP</t>
        </is>
      </c>
    </row>
    <row r="113">
      <c r="A113" t="inlineStr">
        <is>
          <t>IP-111</t>
        </is>
      </c>
      <c r="B113" t="inlineStr">
        <is>
          <t>45</t>
        </is>
      </c>
      <c r="C113" t="inlineStr">
        <is>
          <t>Gobierno Territorial</t>
        </is>
      </c>
      <c r="D113" t="inlineStr">
        <is>
          <t>4502</t>
        </is>
      </c>
      <c r="E113" t="inlineStr">
        <is>
          <t>Fortalecimiento del buen gobierno para el respeto y garantía de los derechos humanos.</t>
        </is>
      </c>
      <c r="F113" t="inlineStr">
        <is>
          <t>4502022</t>
        </is>
      </c>
      <c r="G113" t="inlineStr">
        <is>
          <t>Servicio de asistencia técnica</t>
        </is>
      </c>
      <c r="H113" t="inlineStr">
        <is>
          <t>450202201</t>
        </is>
      </c>
      <c r="I113" t="inlineStr">
        <is>
          <t>Grupos étnicos asistidos técnicamente</t>
        </is>
      </c>
      <c r="J113" t="inlineStr">
        <is>
          <t/>
        </is>
      </c>
      <c r="K113" t="inlineStr">
        <is>
          <t>Si</t>
        </is>
      </c>
      <c r="L113" t="inlineStr">
        <is>
          <t>Número</t>
        </is>
      </c>
      <c r="M113">
        <v>1</v>
      </c>
      <c r="N113">
        <v>0.15</v>
      </c>
      <c r="O113">
        <v>0.25</v>
      </c>
      <c r="P113">
        <v>0.3</v>
      </c>
      <c r="Q113">
        <v>0.3</v>
      </c>
      <c r="R113" t="inlineStr">
        <is>
          <t xml:space="preserve"> </t>
        </is>
      </c>
      <c r="S113" s="103" t="inlineStr">
        <is>
          <t xml:space="preserve"> </t>
        </is>
      </c>
      <c r="T113" t="inlineStr">
        <is>
          <t>Por falta de código BPIN, no se encontró ejecución en PIIP</t>
        </is>
      </c>
      <c r="U113" t="inlineStr">
        <is>
          <t xml:space="preserve"> </t>
        </is>
      </c>
      <c r="V113" s="104" t="inlineStr">
        <is>
          <t xml:space="preserve"> </t>
        </is>
      </c>
      <c r="W113" t="inlineStr">
        <is>
          <t>Por falta de código BPIN, no se encontró ejecución en PIIP</t>
        </is>
      </c>
    </row>
    <row r="114">
      <c r="A114" t="inlineStr">
        <is>
          <t>IP-112</t>
        </is>
      </c>
      <c r="B114" t="inlineStr">
        <is>
          <t>45</t>
        </is>
      </c>
      <c r="C114" t="inlineStr">
        <is>
          <t>Gobierno Territorial</t>
        </is>
      </c>
      <c r="D114" t="inlineStr">
        <is>
          <t>4501</t>
        </is>
      </c>
      <c r="E114" t="inlineStr">
        <is>
          <t>Fortalecimiento de la convivencia y la seguridad ciudadana</t>
        </is>
      </c>
      <c r="F114" t="inlineStr">
        <is>
          <t>4501007</t>
        </is>
      </c>
      <c r="G114" t="inlineStr">
        <is>
          <t>Servicio información implementado</t>
        </is>
      </c>
      <c r="H114" t="inlineStr">
        <is>
          <t>450100700</t>
        </is>
      </c>
      <c r="I114" t="inlineStr">
        <is>
          <t>Sistemas de información implementados</t>
        </is>
      </c>
      <c r="J114" t="inlineStr">
        <is>
          <t>202400000007013</t>
        </is>
      </c>
      <c r="K114" t="inlineStr">
        <is>
          <t>Si</t>
        </is>
      </c>
      <c r="L114" t="inlineStr">
        <is>
          <t>Número</t>
        </is>
      </c>
      <c r="M114">
        <v>40</v>
      </c>
      <c r="N114">
        <v>5</v>
      </c>
      <c r="O114">
        <v>13</v>
      </c>
      <c r="P114">
        <v>13</v>
      </c>
      <c r="Q114">
        <v>9</v>
      </c>
      <c r="R114" t="inlineStr">
        <is>
          <t xml:space="preserve"> </t>
        </is>
      </c>
      <c r="S114" s="103" t="inlineStr">
        <is>
          <t xml:space="preserve"> </t>
        </is>
      </c>
      <c r="T114" t="inlineStr">
        <is>
          <t>No se encontró ejecución en PIIP</t>
        </is>
      </c>
      <c r="U114">
        <v>5</v>
      </c>
      <c r="V114" s="104">
        <v>0.384615384615385</v>
      </c>
      <c r="W114" t="inlineStr">
        <is>
          <t>Lo ejecutado está por debajo de lo programado en la vigencia</t>
        </is>
      </c>
    </row>
    <row r="115">
      <c r="A115" t="inlineStr">
        <is>
          <t>IP-113</t>
        </is>
      </c>
      <c r="B115" t="inlineStr">
        <is>
          <t>45</t>
        </is>
      </c>
      <c r="C115" t="inlineStr">
        <is>
          <t>Gobierno Territorial</t>
        </is>
      </c>
      <c r="D115" t="inlineStr">
        <is>
          <t>4503</t>
        </is>
      </c>
      <c r="E115" t="inlineStr">
        <is>
          <t>Gestión del riesgo de desastres y emergencias</t>
        </is>
      </c>
      <c r="F115" t="inlineStr">
        <is>
          <t>4503028</t>
        </is>
      </c>
      <c r="G115" t="inlineStr">
        <is>
          <t>Servicios de apoyo para atención de  población afectada por situaciones de emergencia, desastre o declaratorias de calamidad pública</t>
        </is>
      </c>
      <c r="H115" t="inlineStr">
        <is>
          <t>450302800</t>
        </is>
      </c>
      <c r="I115" t="inlineStr">
        <is>
          <t>Personas afectadas por situaciones de emergencia, desastre o declaratorias de calamidad pública apoyadas</t>
        </is>
      </c>
      <c r="J115" t="inlineStr">
        <is>
          <t>202400000007122</t>
        </is>
      </c>
      <c r="K115" t="inlineStr">
        <is>
          <t>No</t>
        </is>
      </c>
      <c r="L115" t="inlineStr">
        <is>
          <t>Número</t>
        </is>
      </c>
      <c r="M115">
        <v>100</v>
      </c>
      <c r="N115">
        <v>100</v>
      </c>
      <c r="O115">
        <v>100</v>
      </c>
      <c r="P115">
        <v>100</v>
      </c>
      <c r="Q115">
        <v>100</v>
      </c>
      <c r="R115" t="inlineStr">
        <is>
          <t xml:space="preserve"> </t>
        </is>
      </c>
      <c r="S115" s="103" t="inlineStr">
        <is>
          <t xml:space="preserve"> </t>
        </is>
      </c>
      <c r="T115" t="inlineStr">
        <is>
          <t>No se encontró ejecución en PIIP</t>
        </is>
      </c>
      <c r="U115">
        <v>0</v>
      </c>
      <c r="V115" s="104">
        <v>0</v>
      </c>
      <c r="W115" t="inlineStr">
        <is>
          <t>No se ejecutó en la vigencia</t>
        </is>
      </c>
    </row>
    <row r="116">
      <c r="A116" t="inlineStr">
        <is>
          <t>IP-114</t>
        </is>
      </c>
      <c r="B116" t="inlineStr">
        <is>
          <t>45</t>
        </is>
      </c>
      <c r="C116" t="inlineStr">
        <is>
          <t>Gobierno Territorial</t>
        </is>
      </c>
      <c r="D116" t="inlineStr">
        <is>
          <t>4502</t>
        </is>
      </c>
      <c r="E116" t="inlineStr">
        <is>
          <t>Fortalecimiento del buen gobierno para el respeto y garantía de los derechos humanos.</t>
        </is>
      </c>
      <c r="F116" t="inlineStr">
        <is>
          <t>4502038</t>
        </is>
      </c>
      <c r="G116" t="inlineStr">
        <is>
          <t>Servicio de promoción de la garantía de derechos</t>
        </is>
      </c>
      <c r="H116" t="inlineStr">
        <is>
          <t>450203800</t>
        </is>
      </c>
      <c r="I116" t="inlineStr">
        <is>
          <t>Estrategias de promoción de la garantía de derechos implementadas</t>
        </is>
      </c>
      <c r="J116" t="inlineStr">
        <is>
          <t/>
        </is>
      </c>
      <c r="K116" t="inlineStr">
        <is>
          <t>Si</t>
        </is>
      </c>
      <c r="L116" t="inlineStr">
        <is>
          <t>Número</t>
        </is>
      </c>
      <c r="M116">
        <v>100</v>
      </c>
      <c r="N116">
        <v>0</v>
      </c>
      <c r="O116">
        <v>50</v>
      </c>
      <c r="P116">
        <v>50</v>
      </c>
      <c r="Q116">
        <v>0</v>
      </c>
      <c r="R116" t="inlineStr">
        <is>
          <t xml:space="preserve"> </t>
        </is>
      </c>
      <c r="S116" s="103" t="inlineStr">
        <is>
          <t xml:space="preserve"> </t>
        </is>
      </c>
      <c r="T116" t="inlineStr">
        <is>
          <t>Por falta de código BPIN, no se encontró ejecución en PIIP</t>
        </is>
      </c>
      <c r="U116" t="inlineStr">
        <is>
          <t xml:space="preserve"> </t>
        </is>
      </c>
      <c r="V116" s="104" t="inlineStr">
        <is>
          <t xml:space="preserve"> </t>
        </is>
      </c>
      <c r="W116" t="inlineStr">
        <is>
          <t>Por falta de código BPIN, no se encontró ejecución en PIIP</t>
        </is>
      </c>
    </row>
    <row r="117">
      <c r="A117" t="inlineStr">
        <is>
          <t>IP-115</t>
        </is>
      </c>
      <c r="B117" t="inlineStr">
        <is>
          <t>32</t>
        </is>
      </c>
      <c r="C117" t="inlineStr">
        <is>
          <t>Ambiente y desarrollo sostenible</t>
        </is>
      </c>
      <c r="D117" t="inlineStr">
        <is>
          <t>3206</t>
        </is>
      </c>
      <c r="E117" t="inlineStr">
        <is>
          <t>Gestión del cambio climático para un desarrollo bajo en carbono y resiliente al clima</t>
        </is>
      </c>
      <c r="F117" t="inlineStr">
        <is>
          <t>3206003</t>
        </is>
      </c>
      <c r="G117" t="inlineStr">
        <is>
          <t>Servicio de apoyo técnico para la implementación de acciones de mitigación y adaptación al cambio climático</t>
        </is>
      </c>
      <c r="H117" t="inlineStr">
        <is>
          <t>320600300</t>
        </is>
      </c>
      <c r="I117" t="inlineStr">
        <is>
          <t>Pilotos con acciones de mitigación y adaptación al cambio climático desarrollados</t>
        </is>
      </c>
      <c r="J117" t="inlineStr">
        <is>
          <t>2024258170047</t>
        </is>
      </c>
      <c r="K117" t="inlineStr">
        <is>
          <t>Si</t>
        </is>
      </c>
      <c r="L117" t="inlineStr">
        <is>
          <t>Número</t>
        </is>
      </c>
      <c r="M117">
        <v>1</v>
      </c>
      <c r="N117">
        <v>0</v>
      </c>
      <c r="O117">
        <v>0.5</v>
      </c>
      <c r="P117">
        <v>0.4</v>
      </c>
      <c r="Q117">
        <v>0.1</v>
      </c>
      <c r="R117">
        <v>0.3</v>
      </c>
      <c r="S117" s="103" t="inlineStr">
        <is>
          <t xml:space="preserve"> </t>
        </is>
      </c>
      <c r="T117" t="inlineStr">
        <is>
          <t>Se ejecutó un producto no programado en la vigencia</t>
        </is>
      </c>
      <c r="U117">
        <v>0.45</v>
      </c>
      <c r="V117" s="104">
        <v>0.9</v>
      </c>
      <c r="W117" t="inlineStr">
        <is>
          <t>Lo ejecutado está por debajo de lo programado en la vigencia</t>
        </is>
      </c>
    </row>
    <row r="118">
      <c r="A118" t="inlineStr">
        <is>
          <t>IP-116</t>
        </is>
      </c>
      <c r="B118" t="inlineStr">
        <is>
          <t>45</t>
        </is>
      </c>
      <c r="C118" t="inlineStr">
        <is>
          <t>Gobierno Territorial</t>
        </is>
      </c>
      <c r="D118" t="inlineStr">
        <is>
          <t>4502</t>
        </is>
      </c>
      <c r="E118" t="inlineStr">
        <is>
          <t>Fortalecimiento del buen gobierno para el respeto y garantía de los derechos humanos.</t>
        </is>
      </c>
      <c r="F118" t="inlineStr">
        <is>
          <t>4502024</t>
        </is>
      </c>
      <c r="G118" t="inlineStr">
        <is>
          <t>Servicio de apoyo para la implementación de medidas en derechos humanos y derecho internacional humanitario</t>
        </is>
      </c>
      <c r="H118" t="inlineStr">
        <is>
          <t>450202402</t>
        </is>
      </c>
      <c r="I118" t="inlineStr">
        <is>
          <t>Casas de Igualdad de oportunidades para la mujer y el joven</t>
        </is>
      </c>
      <c r="J118" t="inlineStr">
        <is>
          <t>202400000006494</t>
        </is>
      </c>
      <c r="K118" t="inlineStr">
        <is>
          <t>Si</t>
        </is>
      </c>
      <c r="L118" t="inlineStr">
        <is>
          <t>Número</t>
        </is>
      </c>
      <c r="M118">
        <v>4000</v>
      </c>
      <c r="N118">
        <v>1000</v>
      </c>
      <c r="O118">
        <v>1000</v>
      </c>
      <c r="P118">
        <v>1000</v>
      </c>
      <c r="Q118">
        <v>1000</v>
      </c>
      <c r="R118" t="inlineStr">
        <is>
          <t xml:space="preserve"> </t>
        </is>
      </c>
      <c r="S118" s="103" t="inlineStr">
        <is>
          <t xml:space="preserve"> </t>
        </is>
      </c>
      <c r="T118" t="inlineStr">
        <is>
          <t>No se encontró ejecución en PIIP</t>
        </is>
      </c>
      <c r="U118" t="inlineStr">
        <is>
          <t xml:space="preserve"> </t>
        </is>
      </c>
      <c r="V118" s="104" t="inlineStr">
        <is>
          <t xml:space="preserve"> </t>
        </is>
      </c>
      <c r="W118" t="inlineStr">
        <is>
          <t>No se encontró ejecución en PIIP</t>
        </is>
      </c>
    </row>
    <row r="119">
      <c r="A119" t="inlineStr">
        <is>
          <t>IP-117</t>
        </is>
      </c>
      <c r="B119" t="inlineStr">
        <is>
          <t>23</t>
        </is>
      </c>
      <c r="C119" t="inlineStr">
        <is>
          <t>Tecnologías de la información y las comunicaciones</t>
        </is>
      </c>
      <c r="D119" t="inlineStr">
        <is>
          <t>2301</t>
        </is>
      </c>
      <c r="E119" t="inlineStr">
        <is>
          <t>Facilitar el acceso y uso de las Tecnologías de la Información y las Comunicaciones (TIC) en todo el territorio nacional</t>
        </is>
      </c>
      <c r="F119" t="inlineStr">
        <is>
          <t>2301034</t>
        </is>
      </c>
      <c r="G119" t="inlineStr">
        <is>
          <t>Servicio de educación para el trabajo en tecnologías de la información y las comunicaciones</t>
        </is>
      </c>
      <c r="H119" t="inlineStr">
        <is>
          <t>230103400</t>
        </is>
      </c>
      <c r="I119" t="inlineStr">
        <is>
          <t>Personas certificadas en alfabetización digital</t>
        </is>
      </c>
      <c r="J119" t="inlineStr">
        <is>
          <t>202500000000022</t>
        </is>
      </c>
      <c r="K119" t="inlineStr">
        <is>
          <t>Si</t>
        </is>
      </c>
      <c r="L119" t="inlineStr">
        <is>
          <t>Número</t>
        </is>
      </c>
      <c r="M119">
        <v>1000</v>
      </c>
      <c r="N119">
        <v>1</v>
      </c>
      <c r="O119">
        <v>500</v>
      </c>
      <c r="P119">
        <v>250</v>
      </c>
      <c r="Q119">
        <v>249</v>
      </c>
      <c r="R119" t="inlineStr">
        <is>
          <t xml:space="preserve"> </t>
        </is>
      </c>
      <c r="S119" s="103" t="inlineStr">
        <is>
          <t xml:space="preserve"> </t>
        </is>
      </c>
      <c r="T119" t="inlineStr">
        <is>
          <t>No se encontró ejecución en PIIP</t>
        </is>
      </c>
      <c r="U119" t="inlineStr">
        <is>
          <t xml:space="preserve"> </t>
        </is>
      </c>
      <c r="V119" s="104" t="inlineStr">
        <is>
          <t xml:space="preserve"> </t>
        </is>
      </c>
      <c r="W119" t="inlineStr">
        <is>
          <t>No se encontró ejecución en PIIP</t>
        </is>
      </c>
    </row>
    <row r="120">
      <c r="A120" t="inlineStr">
        <is>
          <t>IP-118</t>
        </is>
      </c>
      <c r="B120" t="inlineStr">
        <is>
          <t>43</t>
        </is>
      </c>
      <c r="C120" t="inlineStr">
        <is>
          <t>Deporte y Recreación</t>
        </is>
      </c>
      <c r="D120" t="inlineStr">
        <is>
          <t>4301</t>
        </is>
      </c>
      <c r="E120" t="inlineStr">
        <is>
          <t>Fomento a la recreación, la actividad física y el deporte para desarrollar entornos de convivencia y paz</t>
        </is>
      </c>
      <c r="F120" t="inlineStr">
        <is>
          <t>4301007</t>
        </is>
      </c>
      <c r="G120" t="inlineStr">
        <is>
          <t>Servicio de Escuelas Deportivas</t>
        </is>
      </c>
      <c r="H120" t="inlineStr">
        <is>
          <t>430100702</t>
        </is>
      </c>
      <c r="I120" t="inlineStr">
        <is>
          <t>Escuelas deportivas implementadas</t>
        </is>
      </c>
      <c r="J120" t="inlineStr">
        <is>
          <t>2024258170020</t>
        </is>
      </c>
      <c r="K120" t="inlineStr">
        <is>
          <t>Si</t>
        </is>
      </c>
      <c r="L120" t="inlineStr">
        <is>
          <t>Número</t>
        </is>
      </c>
      <c r="M120">
        <v>4</v>
      </c>
      <c r="N120">
        <v>1</v>
      </c>
      <c r="O120">
        <v>1</v>
      </c>
      <c r="P120">
        <v>1</v>
      </c>
      <c r="Q120">
        <v>1</v>
      </c>
      <c r="R120" t="inlineStr">
        <is>
          <t xml:space="preserve"> </t>
        </is>
      </c>
      <c r="S120" s="103" t="inlineStr">
        <is>
          <t xml:space="preserve"> </t>
        </is>
      </c>
      <c r="T120" t="inlineStr">
        <is>
          <t>No se encontró ejecución en PIIP</t>
        </is>
      </c>
      <c r="U120" t="inlineStr">
        <is>
          <t xml:space="preserve"> </t>
        </is>
      </c>
      <c r="V120" s="104" t="inlineStr">
        <is>
          <t xml:space="preserve"> </t>
        </is>
      </c>
      <c r="W120" t="inlineStr">
        <is>
          <t>No se encontró ejecución en PIIP</t>
        </is>
      </c>
    </row>
    <row r="121">
      <c r="A121" t="inlineStr">
        <is>
          <t>IP-119</t>
        </is>
      </c>
      <c r="B121" t="inlineStr">
        <is>
          <t>41</t>
        </is>
      </c>
      <c r="C121" t="inlineStr">
        <is>
          <t xml:space="preserve">Inclusión social y reconciliación </t>
        </is>
      </c>
      <c r="D121" t="inlineStr">
        <is>
          <t>4103</t>
        </is>
      </c>
      <c r="E121" t="inlineStr">
        <is>
          <t>Inclusión social y productiva para la población en situación de vulnerabilidad</t>
        </is>
      </c>
      <c r="F121" t="inlineStr">
        <is>
          <t>4103031</t>
        </is>
      </c>
      <c r="G121" t="inlineStr">
        <is>
          <t>Centros comunitarios dotados</t>
        </is>
      </c>
      <c r="H121" t="inlineStr">
        <is>
          <t>410303100</t>
        </is>
      </c>
      <c r="I121" t="inlineStr">
        <is>
          <t>Centros comunitarios dotados</t>
        </is>
      </c>
      <c r="J121" t="inlineStr">
        <is>
          <t>202400000006486</t>
        </is>
      </c>
      <c r="K121" t="inlineStr">
        <is>
          <t>Si</t>
        </is>
      </c>
      <c r="L121" t="inlineStr">
        <is>
          <t>Número</t>
        </is>
      </c>
      <c r="M121">
        <v>1</v>
      </c>
      <c r="N121">
        <v>0</v>
      </c>
      <c r="O121">
        <v>0.3</v>
      </c>
      <c r="P121">
        <v>0.3</v>
      </c>
      <c r="Q121">
        <v>0.4</v>
      </c>
      <c r="R121" t="inlineStr">
        <is>
          <t xml:space="preserve"> </t>
        </is>
      </c>
      <c r="S121" s="103" t="inlineStr">
        <is>
          <t xml:space="preserve"> </t>
        </is>
      </c>
      <c r="T121" t="inlineStr">
        <is>
          <t>No se encontró ejecución en PIIP</t>
        </is>
      </c>
      <c r="U121" t="inlineStr">
        <is>
          <t xml:space="preserve"> </t>
        </is>
      </c>
      <c r="V121" s="104" t="inlineStr">
        <is>
          <t xml:space="preserve"> </t>
        </is>
      </c>
      <c r="W121" t="inlineStr">
        <is>
          <t>No se encontró ejecución en PIIP</t>
        </is>
      </c>
    </row>
    <row r="122">
      <c r="A122" t="inlineStr">
        <is>
          <t>IP-120</t>
        </is>
      </c>
      <c r="B122" t="inlineStr">
        <is>
          <t>41</t>
        </is>
      </c>
      <c r="C122" t="inlineStr">
        <is>
          <t xml:space="preserve">Inclusión social y reconciliación </t>
        </is>
      </c>
      <c r="D122" t="inlineStr">
        <is>
          <t>4103</t>
        </is>
      </c>
      <c r="E122" t="inlineStr">
        <is>
          <t>Inclusión social y productiva para la población en situación de vulnerabilidad</t>
        </is>
      </c>
      <c r="F122" t="inlineStr">
        <is>
          <t>4103050</t>
        </is>
      </c>
      <c r="G122" t="inlineStr">
        <is>
          <t>Servicio de acompañamiento familiar y comunitario para la superación de la pobreza</t>
        </is>
      </c>
      <c r="H122" t="inlineStr">
        <is>
          <t>410305000</t>
        </is>
      </c>
      <c r="I122" t="inlineStr">
        <is>
          <t>Hogares con acompañamiento familiar</t>
        </is>
      </c>
      <c r="J122" t="inlineStr">
        <is>
          <t>202400000006709</t>
        </is>
      </c>
      <c r="K122" t="inlineStr">
        <is>
          <t>Si</t>
        </is>
      </c>
      <c r="L122" t="inlineStr">
        <is>
          <t>Número</t>
        </is>
      </c>
      <c r="M122">
        <v>1</v>
      </c>
      <c r="N122">
        <v>0.1</v>
      </c>
      <c r="O122">
        <v>0.3</v>
      </c>
      <c r="P122">
        <v>0.3</v>
      </c>
      <c r="Q122">
        <v>0.3</v>
      </c>
      <c r="R122" t="inlineStr">
        <is>
          <t xml:space="preserve"> </t>
        </is>
      </c>
      <c r="S122" s="103" t="inlineStr">
        <is>
          <t xml:space="preserve"> </t>
        </is>
      </c>
      <c r="T122" t="inlineStr">
        <is>
          <t>No se encontró ejecución en PIIP</t>
        </is>
      </c>
      <c r="U122" t="inlineStr">
        <is>
          <t xml:space="preserve"> </t>
        </is>
      </c>
      <c r="V122" s="104" t="inlineStr">
        <is>
          <t xml:space="preserve"> </t>
        </is>
      </c>
      <c r="W122" t="inlineStr">
        <is>
          <t>No se encontró ejecución en PIIP</t>
        </is>
      </c>
    </row>
    <row r="123">
      <c r="A123" t="inlineStr">
        <is>
          <t>IP-121</t>
        </is>
      </c>
      <c r="B123" t="inlineStr">
        <is>
          <t>40</t>
        </is>
      </c>
      <c r="C123" t="inlineStr">
        <is>
          <t>Vivienda, ciudad y territorio</t>
        </is>
      </c>
      <c r="D123" t="inlineStr">
        <is>
          <t>4003</t>
        </is>
      </c>
      <c r="E123" t="inlineStr">
        <is>
          <t>Acceso de la población a los servicios de agua potable y saneamiento básico</t>
        </is>
      </c>
      <c r="F123" t="inlineStr">
        <is>
          <t>4003019</t>
        </is>
      </c>
      <c r="G123" t="inlineStr">
        <is>
          <t>Alcantarillados ampliados</t>
        </is>
      </c>
      <c r="H123" t="inlineStr">
        <is>
          <t>400301903</t>
        </is>
      </c>
      <c r="I123" t="inlineStr">
        <is>
          <t>Red de alcantarillado ampliada</t>
        </is>
      </c>
      <c r="J123" t="inlineStr">
        <is>
          <t>202400000006996</t>
        </is>
      </c>
      <c r="K123" t="inlineStr">
        <is>
          <t>Si</t>
        </is>
      </c>
      <c r="L123" t="inlineStr">
        <is>
          <t xml:space="preserve">Metros </t>
        </is>
      </c>
      <c r="M123">
        <v>3.1</v>
      </c>
      <c r="N123">
        <v>0.7</v>
      </c>
      <c r="O123">
        <v>0.8</v>
      </c>
      <c r="P123">
        <v>0.8</v>
      </c>
      <c r="Q123">
        <v>0.8</v>
      </c>
      <c r="R123" t="inlineStr">
        <is>
          <t xml:space="preserve"> </t>
        </is>
      </c>
      <c r="S123" s="103" t="inlineStr">
        <is>
          <t xml:space="preserve"> </t>
        </is>
      </c>
      <c r="T123" t="inlineStr">
        <is>
          <t>No se encontró ejecución en PIIP</t>
        </is>
      </c>
      <c r="U123" t="inlineStr">
        <is>
          <t xml:space="preserve"> </t>
        </is>
      </c>
      <c r="V123" s="104" t="inlineStr">
        <is>
          <t xml:space="preserve"> </t>
        </is>
      </c>
      <c r="W123" t="inlineStr">
        <is>
          <t>No se encontró ejecución en PIIP</t>
        </is>
      </c>
    </row>
    <row r="124">
      <c r="A124" t="inlineStr">
        <is>
          <t>IP-122</t>
        </is>
      </c>
      <c r="B124" t="inlineStr">
        <is>
          <t>41</t>
        </is>
      </c>
      <c r="C124" t="inlineStr">
        <is>
          <t xml:space="preserve">Inclusión social y reconciliación </t>
        </is>
      </c>
      <c r="D124" t="inlineStr">
        <is>
          <t>4102</t>
        </is>
      </c>
      <c r="E124" t="inlineStr">
        <is>
          <t>Desarrollo integral de la primera infancia a la juventud, y fortalecimiento de las capacidades de las familias de niñas, niños y adolescentes</t>
        </is>
      </c>
      <c r="F124" t="inlineStr">
        <is>
          <t>4102002</t>
        </is>
      </c>
      <c r="G124" t="inlineStr">
        <is>
          <t>Servicio de atención tradicional a la primera infancia</t>
        </is>
      </c>
      <c r="H124" t="inlineStr">
        <is>
          <t>410200200</t>
        </is>
      </c>
      <c r="I124" t="inlineStr">
        <is>
          <t>Niños y niñas atendidos en Servicio tradicionales</t>
        </is>
      </c>
      <c r="J124" t="inlineStr">
        <is>
          <t>202400000006514</t>
        </is>
      </c>
      <c r="K124" t="inlineStr">
        <is>
          <t>Si</t>
        </is>
      </c>
      <c r="L124" t="inlineStr">
        <is>
          <t>Número</t>
        </is>
      </c>
      <c r="M124">
        <v>2000</v>
      </c>
      <c r="N124">
        <v>500</v>
      </c>
      <c r="O124">
        <v>500</v>
      </c>
      <c r="P124">
        <v>500</v>
      </c>
      <c r="Q124">
        <v>500</v>
      </c>
      <c r="R124" t="inlineStr">
        <is>
          <t xml:space="preserve"> </t>
        </is>
      </c>
      <c r="S124" s="103" t="inlineStr">
        <is>
          <t xml:space="preserve"> </t>
        </is>
      </c>
      <c r="T124" t="inlineStr">
        <is>
          <t>No se encontró ejecución en PIIP</t>
        </is>
      </c>
      <c r="U124" t="inlineStr">
        <is>
          <t xml:space="preserve"> </t>
        </is>
      </c>
      <c r="V124" s="104" t="inlineStr">
        <is>
          <t xml:space="preserve"> </t>
        </is>
      </c>
      <c r="W124" t="inlineStr">
        <is>
          <t>No se encontró ejecución en PIIP</t>
        </is>
      </c>
    </row>
    <row r="125">
      <c r="A125" t="inlineStr">
        <is>
          <t>IP-123</t>
        </is>
      </c>
      <c r="B125" t="inlineStr">
        <is>
          <t>41</t>
        </is>
      </c>
      <c r="C125" t="inlineStr">
        <is>
          <t xml:space="preserve">Inclusión social y reconciliación </t>
        </is>
      </c>
      <c r="D125" t="inlineStr">
        <is>
          <t>4102</t>
        </is>
      </c>
      <c r="E125" t="inlineStr">
        <is>
          <t>Desarrollo integral de la primera infancia a la juventud, y fortalecimiento de las capacidades de las familias de niñas, niños y adolescentes</t>
        </is>
      </c>
      <c r="F125" t="inlineStr">
        <is>
          <t>4102001</t>
        </is>
      </c>
      <c r="G125" t="inlineStr">
        <is>
          <t>Servicio de atención integral a la primera infancia</t>
        </is>
      </c>
      <c r="H125" t="inlineStr">
        <is>
          <t>410200101</t>
        </is>
      </c>
      <c r="I125" t="inlineStr">
        <is>
          <t>Niños y niñas atendidos con servicio integrales en salud</t>
        </is>
      </c>
      <c r="J125" t="inlineStr">
        <is>
          <t>202400000006514</t>
        </is>
      </c>
      <c r="K125" t="inlineStr">
        <is>
          <t>Si</t>
        </is>
      </c>
      <c r="L125" t="inlineStr">
        <is>
          <t>Número</t>
        </is>
      </c>
      <c r="M125">
        <v>2200</v>
      </c>
      <c r="N125">
        <v>550</v>
      </c>
      <c r="O125">
        <v>550</v>
      </c>
      <c r="P125">
        <v>550</v>
      </c>
      <c r="Q125">
        <v>550</v>
      </c>
      <c r="R125" t="inlineStr">
        <is>
          <t xml:space="preserve"> </t>
        </is>
      </c>
      <c r="S125" s="103" t="inlineStr">
        <is>
          <t xml:space="preserve"> </t>
        </is>
      </c>
      <c r="T125" t="inlineStr">
        <is>
          <t>No se encontró ejecución en PIIP</t>
        </is>
      </c>
      <c r="U125" t="inlineStr">
        <is>
          <t xml:space="preserve"> </t>
        </is>
      </c>
      <c r="V125" s="104" t="inlineStr">
        <is>
          <t xml:space="preserve"> </t>
        </is>
      </c>
      <c r="W125" t="inlineStr">
        <is>
          <t>No se encontró ejecución en PIIP</t>
        </is>
      </c>
    </row>
    <row r="126">
      <c r="A126" t="inlineStr">
        <is>
          <t>IP-124</t>
        </is>
      </c>
      <c r="B126" t="inlineStr">
        <is>
          <t>23</t>
        </is>
      </c>
      <c r="C126" t="inlineStr">
        <is>
          <t>Tecnologías de la información y las comunicaciones</t>
        </is>
      </c>
      <c r="D126" t="inlineStr">
        <is>
          <t>2302</t>
        </is>
      </c>
      <c r="E126" t="inlineStr">
        <is>
          <t>Fomento del desarrollo de aplicaciones, software y contenidos para impulsar la apropiación de las Tecnologías de la Información y las Comunicaciones (TIC)</t>
        </is>
      </c>
      <c r="F126" t="inlineStr">
        <is>
          <t>2302013</t>
        </is>
      </c>
      <c r="G126" t="inlineStr">
        <is>
          <t>Servicio de apoyo financiero para el desarrollo de programas de formación inicial y contínua en nuevas tecnologías</t>
        </is>
      </c>
      <c r="H126" t="inlineStr">
        <is>
          <t>230201300</t>
        </is>
      </c>
      <c r="I126" t="inlineStr">
        <is>
          <t>Apoyos otorgados</t>
        </is>
      </c>
      <c r="J126" t="inlineStr">
        <is>
          <t>202400000007305</t>
        </is>
      </c>
      <c r="K126" t="inlineStr">
        <is>
          <t>Si</t>
        </is>
      </c>
      <c r="L126" t="inlineStr">
        <is>
          <t>Número</t>
        </is>
      </c>
      <c r="M126">
        <v>8</v>
      </c>
      <c r="N126">
        <v>0.5</v>
      </c>
      <c r="O126">
        <v>4</v>
      </c>
      <c r="P126">
        <v>2</v>
      </c>
      <c r="Q126">
        <v>1.5</v>
      </c>
      <c r="R126" t="inlineStr">
        <is>
          <t xml:space="preserve"> </t>
        </is>
      </c>
      <c r="S126" s="103" t="inlineStr">
        <is>
          <t xml:space="preserve"> </t>
        </is>
      </c>
      <c r="T126" t="inlineStr">
        <is>
          <t>No se encontró ejecución en PIIP</t>
        </is>
      </c>
      <c r="U126" t="inlineStr">
        <is>
          <t xml:space="preserve"> </t>
        </is>
      </c>
      <c r="V126" s="104" t="inlineStr">
        <is>
          <t xml:space="preserve"> </t>
        </is>
      </c>
      <c r="W126" t="inlineStr">
        <is>
          <t>No se encontró ejecución en PIIP</t>
        </is>
      </c>
    </row>
    <row r="127">
      <c r="A127" t="inlineStr">
        <is>
          <t>IP-125</t>
        </is>
      </c>
      <c r="B127" t="inlineStr">
        <is>
          <t>19</t>
        </is>
      </c>
      <c r="C127" t="inlineStr">
        <is>
          <t>Salud y protección social</t>
        </is>
      </c>
      <c r="D127" t="inlineStr">
        <is>
          <t>1906</t>
        </is>
      </c>
      <c r="E127" t="inlineStr">
        <is>
          <t>Aseguramiento y prestación integral de servicios de salud</t>
        </is>
      </c>
      <c r="F127" t="inlineStr">
        <is>
          <t>1906044</t>
        </is>
      </c>
      <c r="G127" t="inlineStr">
        <is>
          <t>Servicio de afiliaciones al régimen subsidiado del Sistema General de Seguridad Social</t>
        </is>
      </c>
      <c r="H127" t="inlineStr">
        <is>
          <t>190604400</t>
        </is>
      </c>
      <c r="I127" t="inlineStr">
        <is>
          <t>Personas afiliadas al régimen subsidiado</t>
        </is>
      </c>
      <c r="J127" t="inlineStr">
        <is>
          <t>202400000006244</t>
        </is>
      </c>
      <c r="K127" t="inlineStr">
        <is>
          <t>No</t>
        </is>
      </c>
      <c r="L127" t="inlineStr">
        <is>
          <t>Número</t>
        </is>
      </c>
      <c r="M127">
        <v>8973</v>
      </c>
      <c r="N127">
        <v>8973</v>
      </c>
      <c r="O127">
        <v>8973</v>
      </c>
      <c r="P127">
        <v>8973</v>
      </c>
      <c r="Q127">
        <v>8973</v>
      </c>
      <c r="R127" t="inlineStr">
        <is>
          <t xml:space="preserve"> </t>
        </is>
      </c>
      <c r="S127" s="103" t="inlineStr">
        <is>
          <t xml:space="preserve"> </t>
        </is>
      </c>
      <c r="T127" t="inlineStr">
        <is>
          <t>No se encontró ejecución en PIIP</t>
        </is>
      </c>
      <c r="U127">
        <v>32645</v>
      </c>
      <c r="V127" s="104">
        <v>3.63813663211858</v>
      </c>
      <c r="W127" t="inlineStr">
        <is>
          <t>Hubo ejecución por encima de lo programado en SisPT</t>
        </is>
      </c>
    </row>
    <row r="128">
      <c r="A128" t="inlineStr">
        <is>
          <t>IP-126</t>
        </is>
      </c>
      <c r="B128" t="inlineStr">
        <is>
          <t>36</t>
        </is>
      </c>
      <c r="C128" t="inlineStr">
        <is>
          <t>Trabajo</t>
        </is>
      </c>
      <c r="D128" t="inlineStr">
        <is>
          <t>3602</t>
        </is>
      </c>
      <c r="E128" t="inlineStr">
        <is>
          <t>Generación y formalización del empleo</t>
        </is>
      </c>
      <c r="F128" t="inlineStr">
        <is>
          <t>3602006</t>
        </is>
      </c>
      <c r="G128" t="inlineStr">
        <is>
          <t>Servicio de registro laboral</t>
        </is>
      </c>
      <c r="H128" t="inlineStr">
        <is>
          <t>360200603</t>
        </is>
      </c>
      <c r="I128" t="inlineStr">
        <is>
          <t>Eventos realizados</t>
        </is>
      </c>
      <c r="J128" t="inlineStr">
        <is>
          <t>202400000006204</t>
        </is>
      </c>
      <c r="K128" t="inlineStr">
        <is>
          <t>No</t>
        </is>
      </c>
      <c r="L128" t="inlineStr">
        <is>
          <t>Número</t>
        </is>
      </c>
      <c r="M128">
        <v>1</v>
      </c>
      <c r="N128">
        <v>1</v>
      </c>
      <c r="O128">
        <v>1</v>
      </c>
      <c r="P128">
        <v>1</v>
      </c>
      <c r="Q128">
        <v>1</v>
      </c>
      <c r="R128" t="inlineStr">
        <is>
          <t xml:space="preserve"> </t>
        </is>
      </c>
      <c r="S128" s="103" t="inlineStr">
        <is>
          <t xml:space="preserve"> </t>
        </is>
      </c>
      <c r="T128" t="inlineStr">
        <is>
          <t>No se encontró ejecución en PIIP</t>
        </is>
      </c>
      <c r="U128" t="inlineStr">
        <is>
          <t xml:space="preserve"> </t>
        </is>
      </c>
      <c r="V128" s="104" t="inlineStr">
        <is>
          <t xml:space="preserve"> </t>
        </is>
      </c>
      <c r="W128" t="inlineStr">
        <is>
          <t>No se encontró ejecución en PIIP</t>
        </is>
      </c>
    </row>
    <row r="129">
      <c r="A129" t="inlineStr">
        <is>
          <t>IP-127</t>
        </is>
      </c>
      <c r="B129" t="inlineStr">
        <is>
          <t>45</t>
        </is>
      </c>
      <c r="C129" t="inlineStr">
        <is>
          <t>Gobierno Territorial</t>
        </is>
      </c>
      <c r="D129" t="inlineStr">
        <is>
          <t>4502</t>
        </is>
      </c>
      <c r="E129" t="inlineStr">
        <is>
          <t>Fortalecimiento del buen gobierno para el respeto y garantía de los derechos humanos.</t>
        </is>
      </c>
      <c r="F129" t="inlineStr">
        <is>
          <t>4502001</t>
        </is>
      </c>
      <c r="G129" t="inlineStr">
        <is>
          <t>Servicio de promoción a la participación ciudadana</t>
        </is>
      </c>
      <c r="H129" t="inlineStr">
        <is>
          <t>450200110</t>
        </is>
      </c>
      <c r="I129" t="inlineStr">
        <is>
          <t>Instancias formales y no formales de participación fortalecidas</t>
        </is>
      </c>
      <c r="J129" t="inlineStr">
        <is>
          <t>2024258170036</t>
        </is>
      </c>
      <c r="K129" t="inlineStr">
        <is>
          <t>No</t>
        </is>
      </c>
      <c r="L129" t="inlineStr">
        <is>
          <t>Número</t>
        </is>
      </c>
      <c r="M129">
        <v>100</v>
      </c>
      <c r="N129">
        <v>100</v>
      </c>
      <c r="O129">
        <v>100</v>
      </c>
      <c r="P129">
        <v>100</v>
      </c>
      <c r="Q129">
        <v>100</v>
      </c>
      <c r="R129" t="inlineStr">
        <is>
          <t xml:space="preserve"> </t>
        </is>
      </c>
      <c r="S129" s="103" t="inlineStr">
        <is>
          <t xml:space="preserve"> </t>
        </is>
      </c>
      <c r="T129" t="inlineStr">
        <is>
          <t>No se encontró ejecución en PIIP</t>
        </is>
      </c>
      <c r="U129" t="inlineStr">
        <is>
          <t xml:space="preserve"> </t>
        </is>
      </c>
      <c r="V129" s="104" t="inlineStr">
        <is>
          <t xml:space="preserve"> </t>
        </is>
      </c>
      <c r="W129" t="inlineStr">
        <is>
          <t>No se encontró ejecución en PIIP</t>
        </is>
      </c>
    </row>
    <row r="130">
      <c r="A130" t="inlineStr">
        <is>
          <t>IP-128</t>
        </is>
      </c>
      <c r="B130" t="inlineStr">
        <is>
          <t>45</t>
        </is>
      </c>
      <c r="C130" t="inlineStr">
        <is>
          <t>Gobierno Territorial</t>
        </is>
      </c>
      <c r="D130" t="inlineStr">
        <is>
          <t>4502</t>
        </is>
      </c>
      <c r="E130" t="inlineStr">
        <is>
          <t>Fortalecimiento del buen gobierno para el respeto y garantía de los derechos humanos.</t>
        </is>
      </c>
      <c r="F130" t="inlineStr">
        <is>
          <t>4502021</t>
        </is>
      </c>
      <c r="G130" t="inlineStr">
        <is>
          <t>Servicio de apoyo financiero para la implementación de proyectos en materia de derechos humanos</t>
        </is>
      </c>
      <c r="H130" t="inlineStr">
        <is>
          <t>450202100</t>
        </is>
      </c>
      <c r="I130" t="inlineStr">
        <is>
          <t>Proyectos cofinanciados</t>
        </is>
      </c>
      <c r="J130" t="inlineStr">
        <is>
          <t>202500000005069</t>
        </is>
      </c>
      <c r="K130" t="inlineStr">
        <is>
          <t>Si</t>
        </is>
      </c>
      <c r="L130" t="inlineStr">
        <is>
          <t>Número</t>
        </is>
      </c>
      <c r="M130">
        <v>1</v>
      </c>
      <c r="N130">
        <v>0.01</v>
      </c>
      <c r="O130">
        <v>0.33</v>
      </c>
      <c r="P130">
        <v>0.33</v>
      </c>
      <c r="Q130">
        <v>0.33</v>
      </c>
      <c r="R130" t="inlineStr">
        <is>
          <t xml:space="preserve"> </t>
        </is>
      </c>
      <c r="S130" s="103" t="inlineStr">
        <is>
          <t xml:space="preserve"> </t>
        </is>
      </c>
      <c r="T130" t="inlineStr">
        <is>
          <t>No se encontró ejecución en PIIP</t>
        </is>
      </c>
      <c r="U130" t="inlineStr">
        <is>
          <t xml:space="preserve"> </t>
        </is>
      </c>
      <c r="V130" s="104" t="inlineStr">
        <is>
          <t xml:space="preserve"> </t>
        </is>
      </c>
      <c r="W130" t="inlineStr">
        <is>
          <t>No se encontró ejecución en PIIP</t>
        </is>
      </c>
    </row>
    <row r="131">
      <c r="A131" t="inlineStr">
        <is>
          <t>IP-129</t>
        </is>
      </c>
      <c r="B131" t="inlineStr">
        <is>
          <t>41</t>
        </is>
      </c>
      <c r="C131" t="inlineStr">
        <is>
          <t xml:space="preserve">Inclusión social y reconciliación </t>
        </is>
      </c>
      <c r="D131" t="inlineStr">
        <is>
          <t>4101</t>
        </is>
      </c>
      <c r="E131" t="inlineStr">
        <is>
          <t>Atención, asistencia y reparación integral a las víctimas</t>
        </is>
      </c>
      <c r="F131" t="inlineStr">
        <is>
          <t>4101038</t>
        </is>
      </c>
      <c r="G131" t="inlineStr">
        <is>
          <t>Servicio de asistencia técnica para la participación de las víctimas</t>
        </is>
      </c>
      <c r="H131" t="inlineStr">
        <is>
          <t>410103801</t>
        </is>
      </c>
      <c r="I131" t="inlineStr">
        <is>
          <t>Mesas de participación en funcionamiento</t>
        </is>
      </c>
      <c r="J131" t="inlineStr">
        <is>
          <t>202400000006511</t>
        </is>
      </c>
      <c r="K131" t="inlineStr">
        <is>
          <t>No</t>
        </is>
      </c>
      <c r="L131" t="inlineStr">
        <is>
          <t>Número</t>
        </is>
      </c>
      <c r="M131">
        <v>1</v>
      </c>
      <c r="N131">
        <v>1</v>
      </c>
      <c r="O131">
        <v>1</v>
      </c>
      <c r="P131">
        <v>1</v>
      </c>
      <c r="Q131">
        <v>1</v>
      </c>
      <c r="R131" t="inlineStr">
        <is>
          <t xml:space="preserve"> </t>
        </is>
      </c>
      <c r="S131" s="103" t="inlineStr">
        <is>
          <t xml:space="preserve"> </t>
        </is>
      </c>
      <c r="T131" t="inlineStr">
        <is>
          <t>No se encontró ejecución en PIIP</t>
        </is>
      </c>
      <c r="U131" t="inlineStr">
        <is>
          <t xml:space="preserve"> </t>
        </is>
      </c>
      <c r="V131" s="104" t="inlineStr">
        <is>
          <t xml:space="preserve"> </t>
        </is>
      </c>
      <c r="W131" t="inlineStr">
        <is>
          <t>No se encontró ejecución en PIIP</t>
        </is>
      </c>
    </row>
    <row r="132">
      <c r="A132" t="inlineStr">
        <is>
          <t>IP-131</t>
        </is>
      </c>
      <c r="B132" t="inlineStr">
        <is>
          <t>33</t>
        </is>
      </c>
      <c r="C132" t="inlineStr">
        <is>
          <t>Cultura</t>
        </is>
      </c>
      <c r="D132" t="inlineStr">
        <is>
          <t>3301</t>
        </is>
      </c>
      <c r="E132" t="inlineStr">
        <is>
          <t>Promoción y acceso efectivo a procesos culturales y artísticos</t>
        </is>
      </c>
      <c r="F132" t="inlineStr">
        <is>
          <t>3301054</t>
        </is>
      </c>
      <c r="G132" t="inlineStr">
        <is>
          <t>Servicio de apoyo financiero al sector artístico y cultural</t>
        </is>
      </c>
      <c r="H132" t="inlineStr">
        <is>
          <t>330105400</t>
        </is>
      </c>
      <c r="I132" t="inlineStr">
        <is>
          <t>Estímulos otorgados</t>
        </is>
      </c>
      <c r="J132" t="inlineStr">
        <is>
          <t>2024258170016</t>
        </is>
      </c>
      <c r="K132" t="inlineStr">
        <is>
          <t>Si</t>
        </is>
      </c>
      <c r="L132" t="inlineStr">
        <is>
          <t>Número</t>
        </is>
      </c>
      <c r="M132">
        <v>4</v>
      </c>
      <c r="N132">
        <v>1</v>
      </c>
      <c r="O132">
        <v>1</v>
      </c>
      <c r="P132">
        <v>1</v>
      </c>
      <c r="Q132">
        <v>1</v>
      </c>
      <c r="R132">
        <v>0</v>
      </c>
      <c r="S132" s="103">
        <v>0</v>
      </c>
      <c r="T132" t="inlineStr">
        <is>
          <t>No se ejecutó en la vigencia</t>
        </is>
      </c>
      <c r="U132" t="inlineStr">
        <is>
          <t xml:space="preserve"> </t>
        </is>
      </c>
      <c r="V132" s="104" t="inlineStr">
        <is>
          <t xml:space="preserve"> </t>
        </is>
      </c>
      <c r="W132" t="inlineStr">
        <is>
          <t>No se encontró ejecución en PIIP</t>
        </is>
      </c>
    </row>
    <row r="133">
      <c r="A133" t="inlineStr">
        <is>
          <t>IP-133</t>
        </is>
      </c>
      <c r="B133" t="inlineStr">
        <is>
          <t>40</t>
        </is>
      </c>
      <c r="C133" t="inlineStr">
        <is>
          <t>Vivienda, ciudad y territorio</t>
        </is>
      </c>
      <c r="D133" t="inlineStr">
        <is>
          <t>4001</t>
        </is>
      </c>
      <c r="E133" t="inlineStr">
        <is>
          <t>Acceso a soluciones de vivienda</t>
        </is>
      </c>
      <c r="F133" t="inlineStr">
        <is>
          <t>4001001</t>
        </is>
      </c>
      <c r="G133" t="inlineStr">
        <is>
          <t>Servicio de asistencia técnica y jurídica en saneamiento y titulación de predios</t>
        </is>
      </c>
      <c r="H133" t="inlineStr">
        <is>
          <t>400100100</t>
        </is>
      </c>
      <c r="I133" t="inlineStr">
        <is>
          <t>Entidades territoriales asistidas técnica y jurídicamente</t>
        </is>
      </c>
      <c r="J133" t="inlineStr">
        <is>
          <t>2024258170043</t>
        </is>
      </c>
      <c r="K133" t="inlineStr">
        <is>
          <t>Si</t>
        </is>
      </c>
      <c r="L133" t="inlineStr">
        <is>
          <t>Número</t>
        </is>
      </c>
      <c r="M133">
        <v>4</v>
      </c>
      <c r="N133">
        <v>0.5</v>
      </c>
      <c r="O133">
        <v>0.5</v>
      </c>
      <c r="P133">
        <v>2</v>
      </c>
      <c r="Q133">
        <v>1</v>
      </c>
      <c r="R133">
        <v>0</v>
      </c>
      <c r="S133" s="103">
        <v>0</v>
      </c>
      <c r="T133" t="inlineStr">
        <is>
          <t>No se ejecutó en la vigencia</t>
        </is>
      </c>
      <c r="U133" t="inlineStr">
        <is>
          <t xml:space="preserve"> </t>
        </is>
      </c>
      <c r="V133" s="104" t="inlineStr">
        <is>
          <t xml:space="preserve"> </t>
        </is>
      </c>
      <c r="W133" t="inlineStr">
        <is>
          <t>No se encontró ejecución en PIIP</t>
        </is>
      </c>
    </row>
    <row r="134">
      <c r="A134" t="inlineStr">
        <is>
          <t>IP-134</t>
        </is>
      </c>
      <c r="B134" t="inlineStr">
        <is>
          <t>32</t>
        </is>
      </c>
      <c r="C134" t="inlineStr">
        <is>
          <t>Ambiente y desarrollo sostenible</t>
        </is>
      </c>
      <c r="D134" t="inlineStr">
        <is>
          <t>3202</t>
        </is>
      </c>
      <c r="E134" t="inlineStr">
        <is>
          <t>Conservación de la biodiversidad y sus servicios ecosistémicos</t>
        </is>
      </c>
      <c r="F134" t="inlineStr">
        <is>
          <t>3202041</t>
        </is>
      </c>
      <c r="G134" t="inlineStr">
        <is>
          <t>Servicio de establecimiento de especies vegetales</t>
        </is>
      </c>
      <c r="H134" t="inlineStr">
        <is>
          <t>320204100</t>
        </is>
      </c>
      <c r="I134" t="inlineStr">
        <is>
          <t>Árboles plantados</t>
        </is>
      </c>
      <c r="J134" t="inlineStr">
        <is>
          <t>2024258170026</t>
        </is>
      </c>
      <c r="K134" t="inlineStr">
        <is>
          <t>Si</t>
        </is>
      </c>
      <c r="L134" t="inlineStr">
        <is>
          <t>Número</t>
        </is>
      </c>
      <c r="M134">
        <v>35000</v>
      </c>
      <c r="N134">
        <v>15000</v>
      </c>
      <c r="O134">
        <v>7000</v>
      </c>
      <c r="P134">
        <v>7000</v>
      </c>
      <c r="Q134">
        <v>6000</v>
      </c>
      <c r="R134">
        <v>15286</v>
      </c>
      <c r="S134" s="103">
        <v>1.01906666666667</v>
      </c>
      <c r="T134" t="inlineStr">
        <is>
          <t>Hubo ejecución por encima de lo programado en SisPT</t>
        </is>
      </c>
      <c r="U134">
        <v>5726</v>
      </c>
      <c r="V134" s="104">
        <v>0.818</v>
      </c>
      <c r="W134" t="inlineStr">
        <is>
          <t>Lo ejecutado está por debajo de lo programado en la vigencia</t>
        </is>
      </c>
    </row>
    <row r="135">
      <c r="A135" t="inlineStr">
        <is>
          <t>IP-135</t>
        </is>
      </c>
      <c r="B135" t="inlineStr">
        <is>
          <t>41</t>
        </is>
      </c>
      <c r="C135" t="inlineStr">
        <is>
          <t xml:space="preserve">Inclusión social y reconciliación </t>
        </is>
      </c>
      <c r="D135" t="inlineStr">
        <is>
          <t>4101</t>
        </is>
      </c>
      <c r="E135" t="inlineStr">
        <is>
          <t>Atención, asistencia y reparación integral a las víctimas</t>
        </is>
      </c>
      <c r="F135" t="inlineStr">
        <is>
          <t>4101031</t>
        </is>
      </c>
      <c r="G135" t="inlineStr">
        <is>
          <t>Servicios de implementaciónde medidas de satisfacción y acompañamiento a las víctimas del conflicto armado</t>
        </is>
      </c>
      <c r="H135" t="inlineStr">
        <is>
          <t>410103102</t>
        </is>
      </c>
      <c r="I135" t="inlineStr">
        <is>
          <t>Acciones realizadas en cumplimiento de las medidas de satisfacción, distintas al mensaje estatal de reconocimiento.</t>
        </is>
      </c>
      <c r="J135" t="inlineStr">
        <is>
          <t>202400000006511</t>
        </is>
      </c>
      <c r="K135" t="inlineStr">
        <is>
          <t>Si</t>
        </is>
      </c>
      <c r="L135" t="inlineStr">
        <is>
          <t>Número</t>
        </is>
      </c>
      <c r="M135">
        <v>10</v>
      </c>
      <c r="N135">
        <v>2</v>
      </c>
      <c r="O135">
        <v>3</v>
      </c>
      <c r="P135">
        <v>3</v>
      </c>
      <c r="Q135">
        <v>2</v>
      </c>
      <c r="R135" t="inlineStr">
        <is>
          <t xml:space="preserve"> </t>
        </is>
      </c>
      <c r="S135" s="103" t="inlineStr">
        <is>
          <t xml:space="preserve"> </t>
        </is>
      </c>
      <c r="T135" t="inlineStr">
        <is>
          <t>No se encontró ejecución en PIIP</t>
        </is>
      </c>
      <c r="U135" t="inlineStr">
        <is>
          <t xml:space="preserve"> </t>
        </is>
      </c>
      <c r="V135" s="104" t="inlineStr">
        <is>
          <t xml:space="preserve"> </t>
        </is>
      </c>
      <c r="W135" t="inlineStr">
        <is>
          <t>No se encontró ejecución en PIIP</t>
        </is>
      </c>
    </row>
    <row r="136">
      <c r="A136" t="inlineStr">
        <is>
          <t>IP-136</t>
        </is>
      </c>
      <c r="B136" t="inlineStr">
        <is>
          <t>41</t>
        </is>
      </c>
      <c r="C136" t="inlineStr">
        <is>
          <t xml:space="preserve">Inclusión social y reconciliación </t>
        </is>
      </c>
      <c r="D136" t="inlineStr">
        <is>
          <t>4103</t>
        </is>
      </c>
      <c r="E136" t="inlineStr">
        <is>
          <t>Inclusión social y productiva para la población en situación de vulnerabilidad</t>
        </is>
      </c>
      <c r="F136" t="inlineStr">
        <is>
          <t>4103052</t>
        </is>
      </c>
      <c r="G136" t="inlineStr">
        <is>
          <t>Servicio de gestión de oferta social para la población vulnerable</t>
        </is>
      </c>
      <c r="H136" t="inlineStr">
        <is>
          <t>410305202</t>
        </is>
      </c>
      <c r="I136" t="inlineStr">
        <is>
          <t>Mecanismos de articulación implementados para la gestión de oferta social</t>
        </is>
      </c>
      <c r="J136" t="inlineStr">
        <is>
          <t>202400000006709</t>
        </is>
      </c>
      <c r="K136" t="inlineStr">
        <is>
          <t>Si</t>
        </is>
      </c>
      <c r="L136" t="inlineStr">
        <is>
          <t>Número</t>
        </is>
      </c>
      <c r="M136">
        <v>1</v>
      </c>
      <c r="N136">
        <v>0.1</v>
      </c>
      <c r="O136">
        <v>0.3</v>
      </c>
      <c r="P136">
        <v>0.3</v>
      </c>
      <c r="Q136">
        <v>0.3</v>
      </c>
      <c r="R136" t="inlineStr">
        <is>
          <t xml:space="preserve"> </t>
        </is>
      </c>
      <c r="S136" s="103" t="inlineStr">
        <is>
          <t xml:space="preserve"> </t>
        </is>
      </c>
      <c r="T136" t="inlineStr">
        <is>
          <t>No se encontró ejecución en PIIP</t>
        </is>
      </c>
      <c r="U136" t="inlineStr">
        <is>
          <t xml:space="preserve"> </t>
        </is>
      </c>
      <c r="V136" s="104" t="inlineStr">
        <is>
          <t xml:space="preserve"> </t>
        </is>
      </c>
      <c r="W136" t="inlineStr">
        <is>
          <t>No se encontró ejecución en PIIP</t>
        </is>
      </c>
    </row>
    <row r="137">
      <c r="A137" t="inlineStr">
        <is>
          <t>IP-137</t>
        </is>
      </c>
      <c r="B137" t="inlineStr">
        <is>
          <t>21</t>
        </is>
      </c>
      <c r="C137" t="inlineStr">
        <is>
          <t>Minas y Energía</t>
        </is>
      </c>
      <c r="D137" t="inlineStr">
        <is>
          <t>2102</t>
        </is>
      </c>
      <c r="E137" t="inlineStr">
        <is>
          <t>Consolidación productiva del sector de energía eléctrica</t>
        </is>
      </c>
      <c r="F137" t="inlineStr">
        <is>
          <t>2102011</t>
        </is>
      </c>
      <c r="G137" t="inlineStr">
        <is>
          <t>Redes de alumbrado público con mantenimiento</t>
        </is>
      </c>
      <c r="H137" t="inlineStr">
        <is>
          <t>210201100</t>
        </is>
      </c>
      <c r="I137" t="inlineStr">
        <is>
          <t>Redes de alumbrado público con mantenimiento</t>
        </is>
      </c>
      <c r="J137" t="inlineStr">
        <is>
          <t>2024258170056</t>
        </is>
      </c>
      <c r="K137" t="inlineStr">
        <is>
          <t>No</t>
        </is>
      </c>
      <c r="L137" t="inlineStr">
        <is>
          <t xml:space="preserve">Metros </t>
        </is>
      </c>
      <c r="M137">
        <v>4230</v>
      </c>
      <c r="N137">
        <v>500</v>
      </c>
      <c r="O137">
        <v>1000</v>
      </c>
      <c r="P137">
        <v>1000</v>
      </c>
      <c r="Q137">
        <v>1730</v>
      </c>
      <c r="R137" t="inlineStr">
        <is>
          <t xml:space="preserve"> </t>
        </is>
      </c>
      <c r="S137" s="103" t="inlineStr">
        <is>
          <t xml:space="preserve"> </t>
        </is>
      </c>
      <c r="T137" t="inlineStr">
        <is>
          <t>No se encontró ejecución en PIIP</t>
        </is>
      </c>
      <c r="U137" t="inlineStr">
        <is>
          <t xml:space="preserve"> </t>
        </is>
      </c>
      <c r="V137" s="104" t="inlineStr">
        <is>
          <t xml:space="preserve"> </t>
        </is>
      </c>
      <c r="W137" t="inlineStr">
        <is>
          <t>No se encontró ejecución en PIIP</t>
        </is>
      </c>
    </row>
    <row r="138">
      <c r="A138" t="inlineStr">
        <is>
          <t>IP-138</t>
        </is>
      </c>
      <c r="B138" t="inlineStr">
        <is>
          <t>24</t>
        </is>
      </c>
      <c r="C138" t="inlineStr">
        <is>
          <t>Transporte</t>
        </is>
      </c>
      <c r="D138" t="inlineStr">
        <is>
          <t>2409</t>
        </is>
      </c>
      <c r="E138" t="inlineStr">
        <is>
          <t>Seguridad de transporte</t>
        </is>
      </c>
      <c r="F138" t="inlineStr">
        <is>
          <t>2409033</t>
        </is>
      </c>
      <c r="G138" t="inlineStr">
        <is>
          <t>Servicio de control y seguimiento a recomendaciones emanadas de investigaciones de accidentes e incidentes</t>
        </is>
      </c>
      <c r="H138" t="inlineStr">
        <is>
          <t>240903300</t>
        </is>
      </c>
      <c r="I138" t="inlineStr">
        <is>
          <t>Proveedores de servicio con acciones de control y seguimiento</t>
        </is>
      </c>
      <c r="J138" t="inlineStr">
        <is>
          <t>202500000004852</t>
        </is>
      </c>
      <c r="K138" t="inlineStr">
        <is>
          <t>Si</t>
        </is>
      </c>
      <c r="L138" t="inlineStr">
        <is>
          <t>Número</t>
        </is>
      </c>
      <c r="M138">
        <v>96</v>
      </c>
      <c r="N138">
        <v>24</v>
      </c>
      <c r="O138">
        <v>24</v>
      </c>
      <c r="P138">
        <v>24</v>
      </c>
      <c r="Q138">
        <v>24</v>
      </c>
      <c r="R138" t="inlineStr">
        <is>
          <t xml:space="preserve"> </t>
        </is>
      </c>
      <c r="S138" s="103" t="inlineStr">
        <is>
          <t xml:space="preserve"> </t>
        </is>
      </c>
      <c r="T138" t="inlineStr">
        <is>
          <t>No se encontró ejecución en PIIP</t>
        </is>
      </c>
      <c r="U138" t="inlineStr">
        <is>
          <t xml:space="preserve"> </t>
        </is>
      </c>
      <c r="V138" s="104" t="inlineStr">
        <is>
          <t xml:space="preserve"> </t>
        </is>
      </c>
      <c r="W138" t="inlineStr">
        <is>
          <t>No se encontró ejecución en PIIP</t>
        </is>
      </c>
    </row>
    <row r="139">
      <c r="A139" t="inlineStr">
        <is>
          <t>IP-139</t>
        </is>
      </c>
      <c r="B139" t="inlineStr">
        <is>
          <t>24</t>
        </is>
      </c>
      <c r="C139" t="inlineStr">
        <is>
          <t>Transporte</t>
        </is>
      </c>
      <c r="D139" t="inlineStr">
        <is>
          <t>2408</t>
        </is>
      </c>
      <c r="E139" t="inlineStr">
        <is>
          <t>Prestación de servicios de transporte público de pasajeros</t>
        </is>
      </c>
      <c r="F139" t="inlineStr">
        <is>
          <t>2408053</t>
        </is>
      </c>
      <c r="G139" t="inlineStr">
        <is>
          <t>Documentos de estudios técnicos</t>
        </is>
      </c>
      <c r="H139" t="inlineStr">
        <is>
          <t>240805300</t>
        </is>
      </c>
      <c r="I139" t="inlineStr">
        <is>
          <t>Documentos de estudios técnicos realizados</t>
        </is>
      </c>
      <c r="J139" t="inlineStr">
        <is>
          <t>202500000016491</t>
        </is>
      </c>
      <c r="K139" t="inlineStr">
        <is>
          <t>No</t>
        </is>
      </c>
      <c r="L139" t="inlineStr">
        <is>
          <t>Número</t>
        </is>
      </c>
      <c r="M139">
        <v>1</v>
      </c>
      <c r="N139">
        <v>1</v>
      </c>
      <c r="O139">
        <v>1</v>
      </c>
      <c r="P139">
        <v>1</v>
      </c>
      <c r="Q139">
        <v>1</v>
      </c>
      <c r="R139" t="inlineStr">
        <is>
          <t xml:space="preserve"> </t>
        </is>
      </c>
      <c r="S139" s="103" t="inlineStr">
        <is>
          <t xml:space="preserve"> </t>
        </is>
      </c>
      <c r="T139" t="inlineStr">
        <is>
          <t>No se encontró ejecución en PIIP</t>
        </is>
      </c>
      <c r="U139">
        <v>0</v>
      </c>
      <c r="V139" s="104">
        <v>0</v>
      </c>
      <c r="W139" t="inlineStr">
        <is>
          <t>No se ejecutó en la vigencia</t>
        </is>
      </c>
    </row>
    <row r="140">
      <c r="A140" t="inlineStr">
        <is>
          <t>IP-140</t>
        </is>
      </c>
      <c r="B140" t="inlineStr">
        <is>
          <t>35</t>
        </is>
      </c>
      <c r="C140" t="inlineStr">
        <is>
          <t>Comercio, industria y turismo</t>
        </is>
      </c>
      <c r="D140" t="inlineStr">
        <is>
          <t>3502</t>
        </is>
      </c>
      <c r="E140" t="inlineStr">
        <is>
          <t>Productividad y competitividad de las empresas colombianas</t>
        </is>
      </c>
      <c r="F140" t="inlineStr">
        <is>
          <t>3502045</t>
        </is>
      </c>
      <c r="G140" t="inlineStr">
        <is>
          <t>Servicio de educación informal en asuntos turísticos</t>
        </is>
      </c>
      <c r="H140" t="inlineStr">
        <is>
          <t>350204500</t>
        </is>
      </c>
      <c r="I140" t="inlineStr">
        <is>
          <t>Personas capacitadas</t>
        </is>
      </c>
      <c r="J140" t="inlineStr">
        <is>
          <t>2024258170013</t>
        </is>
      </c>
      <c r="K140" t="inlineStr">
        <is>
          <t>Si</t>
        </is>
      </c>
      <c r="L140" t="inlineStr">
        <is>
          <t>Número</t>
        </is>
      </c>
      <c r="M140">
        <v>100</v>
      </c>
      <c r="N140">
        <v>1</v>
      </c>
      <c r="O140">
        <v>60</v>
      </c>
      <c r="P140">
        <v>39</v>
      </c>
      <c r="Q140">
        <v>0</v>
      </c>
      <c r="R140">
        <v>0</v>
      </c>
      <c r="S140" s="103">
        <v>0</v>
      </c>
      <c r="T140" t="inlineStr">
        <is>
          <t>No se ejecutó en la vigencia</t>
        </is>
      </c>
      <c r="U140" t="inlineStr">
        <is>
          <t xml:space="preserve"> </t>
        </is>
      </c>
      <c r="V140" s="104" t="inlineStr">
        <is>
          <t xml:space="preserve"> </t>
        </is>
      </c>
      <c r="W140" t="inlineStr">
        <is>
          <t>No se encontró ejecución en PIIP</t>
        </is>
      </c>
    </row>
    <row r="141">
      <c r="A141" t="inlineStr">
        <is>
          <t>IP-141</t>
        </is>
      </c>
      <c r="B141" t="inlineStr">
        <is>
          <t>33</t>
        </is>
      </c>
      <c r="C141" t="inlineStr">
        <is>
          <t>Cultura</t>
        </is>
      </c>
      <c r="D141" t="inlineStr">
        <is>
          <t>3302</t>
        </is>
      </c>
      <c r="E141" t="inlineStr">
        <is>
          <t>Gestión, protección y salvaguardia del patrimonio cultural colombiano</t>
        </is>
      </c>
      <c r="F141" t="inlineStr">
        <is>
          <t>3302049</t>
        </is>
      </c>
      <c r="G141" t="inlineStr">
        <is>
          <t>Servicio de salvaguardia al patrimonio inmaterial</t>
        </is>
      </c>
      <c r="H141" t="inlineStr">
        <is>
          <t>330204900</t>
        </is>
      </c>
      <c r="I141" t="inlineStr">
        <is>
          <t>Procesos de salvaguardia efectiva del patrimonio inmaterial realizados</t>
        </is>
      </c>
      <c r="J141" t="inlineStr">
        <is>
          <t>202500000004007</t>
        </is>
      </c>
      <c r="K141" t="inlineStr">
        <is>
          <t>Si</t>
        </is>
      </c>
      <c r="L141" t="inlineStr">
        <is>
          <t>Número</t>
        </is>
      </c>
      <c r="M141">
        <v>1</v>
      </c>
      <c r="N141">
        <v>0.25</v>
      </c>
      <c r="O141">
        <v>0.25</v>
      </c>
      <c r="P141">
        <v>0.25</v>
      </c>
      <c r="Q141">
        <v>0.25</v>
      </c>
      <c r="R141" t="inlineStr">
        <is>
          <t xml:space="preserve"> </t>
        </is>
      </c>
      <c r="S141" s="103" t="inlineStr">
        <is>
          <t xml:space="preserve"> </t>
        </is>
      </c>
      <c r="T141" t="inlineStr">
        <is>
          <t>No se encontró ejecución en PIIP</t>
        </is>
      </c>
      <c r="U141" t="inlineStr">
        <is>
          <t xml:space="preserve"> </t>
        </is>
      </c>
      <c r="V141" s="104" t="inlineStr">
        <is>
          <t xml:space="preserve"> </t>
        </is>
      </c>
      <c r="W141" t="inlineStr">
        <is>
          <t>No se encontró ejecución en PIIP</t>
        </is>
      </c>
    </row>
    <row r="142">
      <c r="A142" t="inlineStr">
        <is>
          <t>IP-142</t>
        </is>
      </c>
      <c r="B142" t="inlineStr">
        <is>
          <t>33</t>
        </is>
      </c>
      <c r="C142" t="inlineStr">
        <is>
          <t>Cultura</t>
        </is>
      </c>
      <c r="D142" t="inlineStr">
        <is>
          <t>3301</t>
        </is>
      </c>
      <c r="E142" t="inlineStr">
        <is>
          <t>Promoción y acceso efectivo a procesos culturales y artísticos</t>
        </is>
      </c>
      <c r="F142" t="inlineStr">
        <is>
          <t>3301122</t>
        </is>
      </c>
      <c r="G142" t="inlineStr">
        <is>
          <t>Servicio de fomento para el acceso de la oferta cultural</t>
        </is>
      </c>
      <c r="H142" t="inlineStr">
        <is>
          <t>330112200</t>
        </is>
      </c>
      <c r="I142" t="inlineStr">
        <is>
          <t>Personas beneficiadas</t>
        </is>
      </c>
      <c r="J142" t="inlineStr">
        <is>
          <t>2024258170016</t>
        </is>
      </c>
      <c r="K142" t="inlineStr">
        <is>
          <t>Si</t>
        </is>
      </c>
      <c r="L142" t="inlineStr">
        <is>
          <t>Número</t>
        </is>
      </c>
      <c r="M142">
        <v>1000</v>
      </c>
      <c r="N142">
        <v>250</v>
      </c>
      <c r="O142">
        <v>250</v>
      </c>
      <c r="P142">
        <v>250</v>
      </c>
      <c r="Q142">
        <v>250</v>
      </c>
      <c r="R142" t="inlineStr">
        <is>
          <t xml:space="preserve"> </t>
        </is>
      </c>
      <c r="S142" s="103" t="inlineStr">
        <is>
          <t xml:space="preserve"> </t>
        </is>
      </c>
      <c r="T142" t="inlineStr">
        <is>
          <t>No se encontró ejecución en PIIP</t>
        </is>
      </c>
      <c r="U142" t="inlineStr">
        <is>
          <t xml:space="preserve"> </t>
        </is>
      </c>
      <c r="V142" s="104" t="inlineStr">
        <is>
          <t xml:space="preserve"> </t>
        </is>
      </c>
      <c r="W142" t="inlineStr">
        <is>
          <t>No se encontró ejecución en PIIP</t>
        </is>
      </c>
    </row>
    <row r="143">
      <c r="A143" t="inlineStr">
        <is>
          <t>IP-143</t>
        </is>
      </c>
      <c r="B143" t="inlineStr">
        <is>
          <t>45</t>
        </is>
      </c>
      <c r="C143" t="inlineStr">
        <is>
          <t>Gobierno Territorial</t>
        </is>
      </c>
      <c r="D143" t="inlineStr">
        <is>
          <t>4502</t>
        </is>
      </c>
      <c r="E143" t="inlineStr">
        <is>
          <t>Fortalecimiento del buen gobierno para el respeto y garantía de los derechos humanos.</t>
        </is>
      </c>
      <c r="F143" t="inlineStr">
        <is>
          <t>4502022</t>
        </is>
      </c>
      <c r="G143" t="inlineStr">
        <is>
          <t>Servicio de asistencia técnica</t>
        </is>
      </c>
      <c r="H143" t="inlineStr">
        <is>
          <t>450202206</t>
        </is>
      </c>
      <c r="I143" t="inlineStr">
        <is>
          <t>Estrategias de asistencia técnica para la transversalización de los enfoques de género e interseccionalidad implementadas</t>
        </is>
      </c>
      <c r="J143" t="inlineStr">
        <is>
          <t>202400000006494</t>
        </is>
      </c>
      <c r="K143" t="inlineStr">
        <is>
          <t>No</t>
        </is>
      </c>
      <c r="L143" t="inlineStr">
        <is>
          <t>Número</t>
        </is>
      </c>
      <c r="M143">
        <v>1</v>
      </c>
      <c r="N143">
        <v>1</v>
      </c>
      <c r="O143">
        <v>1</v>
      </c>
      <c r="P143">
        <v>1</v>
      </c>
      <c r="Q143">
        <v>1</v>
      </c>
      <c r="R143" t="inlineStr">
        <is>
          <t xml:space="preserve"> </t>
        </is>
      </c>
      <c r="S143" s="103" t="inlineStr">
        <is>
          <t xml:space="preserve"> </t>
        </is>
      </c>
      <c r="T143" t="inlineStr">
        <is>
          <t>No se encontró ejecución en PIIP</t>
        </is>
      </c>
      <c r="U143" t="inlineStr">
        <is>
          <t xml:space="preserve"> </t>
        </is>
      </c>
      <c r="V143" s="104" t="inlineStr">
        <is>
          <t xml:space="preserve"> </t>
        </is>
      </c>
      <c r="W143" t="inlineStr">
        <is>
          <t>No se encontró ejecución en PIIP</t>
        </is>
      </c>
    </row>
    <row r="144">
      <c r="A144" t="inlineStr">
        <is>
          <t>IP-144</t>
        </is>
      </c>
      <c r="B144" t="inlineStr">
        <is>
          <t>40</t>
        </is>
      </c>
      <c r="C144" t="inlineStr">
        <is>
          <t>Vivienda, ciudad y territorio</t>
        </is>
      </c>
      <c r="D144" t="inlineStr">
        <is>
          <t>4002</t>
        </is>
      </c>
      <c r="E144" t="inlineStr">
        <is>
          <t>Ordenamiento territorial y desarrollo urbano</t>
        </is>
      </c>
      <c r="F144" t="inlineStr">
        <is>
          <t>4002001</t>
        </is>
      </c>
      <c r="G144" t="inlineStr">
        <is>
          <t>Servicios de asistencia técnica en planificación urbana y ordenamiento territorial</t>
        </is>
      </c>
      <c r="H144" t="inlineStr">
        <is>
          <t>400200100</t>
        </is>
      </c>
      <c r="I144" t="inlineStr">
        <is>
          <t>Entidades territoriales asistidas técnicamente</t>
        </is>
      </c>
      <c r="J144" t="inlineStr">
        <is>
          <t>202400000006237</t>
        </is>
      </c>
      <c r="K144" t="inlineStr">
        <is>
          <t>No</t>
        </is>
      </c>
      <c r="L144" t="inlineStr">
        <is>
          <t>Número</t>
        </is>
      </c>
      <c r="M144">
        <v>1</v>
      </c>
      <c r="N144">
        <v>1</v>
      </c>
      <c r="O144">
        <v>1</v>
      </c>
      <c r="P144">
        <v>1</v>
      </c>
      <c r="Q144">
        <v>1</v>
      </c>
      <c r="R144" t="inlineStr">
        <is>
          <t xml:space="preserve"> </t>
        </is>
      </c>
      <c r="S144" s="103" t="inlineStr">
        <is>
          <t xml:space="preserve"> </t>
        </is>
      </c>
      <c r="T144" t="inlineStr">
        <is>
          <t>No se encontró ejecución en PIIP</t>
        </is>
      </c>
      <c r="U144">
        <v>0.55</v>
      </c>
      <c r="V144" s="104">
        <v>0.55</v>
      </c>
      <c r="W144" t="inlineStr">
        <is>
          <t>Lo ejecutado está por debajo de lo programado en la vigencia</t>
        </is>
      </c>
    </row>
    <row r="145">
      <c r="A145" t="inlineStr">
        <is>
          <t>IP-145</t>
        </is>
      </c>
      <c r="B145" t="inlineStr">
        <is>
          <t>41</t>
        </is>
      </c>
      <c r="C145" t="inlineStr">
        <is>
          <t xml:space="preserve">Inclusión social y reconciliación </t>
        </is>
      </c>
      <c r="D145" t="inlineStr">
        <is>
          <t>4104</t>
        </is>
      </c>
      <c r="E145" t="inlineStr">
        <is>
          <t>Atención integral de población en situación permanente de desprotección social y/o familiar</t>
        </is>
      </c>
      <c r="F145" t="inlineStr">
        <is>
          <t>4104009</t>
        </is>
      </c>
      <c r="G145" t="inlineStr">
        <is>
          <t>Centros de protección social de día para el adulto mayor adecuados</t>
        </is>
      </c>
      <c r="H145" t="inlineStr">
        <is>
          <t>410400900</t>
        </is>
      </c>
      <c r="I145" t="inlineStr">
        <is>
          <t>Centros de día para el adulto mayor adecuados</t>
        </is>
      </c>
      <c r="J145" t="inlineStr">
        <is>
          <t>202500000003385</t>
        </is>
      </c>
      <c r="K145" t="inlineStr">
        <is>
          <t>Si</t>
        </is>
      </c>
      <c r="L145" t="inlineStr">
        <is>
          <t>Número</t>
        </is>
      </c>
      <c r="M145">
        <v>3200</v>
      </c>
      <c r="N145">
        <v>800</v>
      </c>
      <c r="O145">
        <v>800</v>
      </c>
      <c r="P145">
        <v>800</v>
      </c>
      <c r="Q145">
        <v>800</v>
      </c>
      <c r="R145" t="inlineStr">
        <is>
          <t xml:space="preserve"> </t>
        </is>
      </c>
      <c r="S145" s="103" t="inlineStr">
        <is>
          <t xml:space="preserve"> </t>
        </is>
      </c>
      <c r="T145" t="inlineStr">
        <is>
          <t>No se encontró ejecución en PIIP</t>
        </is>
      </c>
      <c r="U145" t="inlineStr">
        <is>
          <t xml:space="preserve"> </t>
        </is>
      </c>
      <c r="V145" s="104" t="inlineStr">
        <is>
          <t xml:space="preserve"> </t>
        </is>
      </c>
      <c r="W145" t="inlineStr">
        <is>
          <t>No se encontró ejecución en PIIP</t>
        </is>
      </c>
    </row>
    <row r="146">
      <c r="A146" t="inlineStr">
        <is>
          <t>IP-146</t>
        </is>
      </c>
      <c r="B146" t="inlineStr">
        <is>
          <t>32</t>
        </is>
      </c>
      <c r="C146" t="inlineStr">
        <is>
          <t>Ambiente y desarrollo sostenible</t>
        </is>
      </c>
      <c r="D146" t="inlineStr">
        <is>
          <t>3201</t>
        </is>
      </c>
      <c r="E146" t="inlineStr">
        <is>
          <t>Fortalecimiento del desempeño ambiental de los sectores productivos</t>
        </is>
      </c>
      <c r="F146" t="inlineStr">
        <is>
          <t>3201004</t>
        </is>
      </c>
      <c r="G146" t="inlineStr">
        <is>
          <t>Servicio de asistencia técnica en el marco de la formulación e implementación de proyectos demostrativos para la reducción de impactos ambientales de la minería</t>
        </is>
      </c>
      <c r="H146" t="inlineStr">
        <is>
          <t>320100400</t>
        </is>
      </c>
      <c r="I146" t="inlineStr">
        <is>
          <t>Proyectos demostrativos para la reducción de impactos ambientales de la minería diseñados</t>
        </is>
      </c>
      <c r="J146" t="inlineStr">
        <is>
          <t>2024258170055</t>
        </is>
      </c>
      <c r="K146" t="inlineStr">
        <is>
          <t>Si</t>
        </is>
      </c>
      <c r="L146" t="inlineStr">
        <is>
          <t>Número</t>
        </is>
      </c>
      <c r="M146">
        <v>2</v>
      </c>
      <c r="N146">
        <v>0.5</v>
      </c>
      <c r="O146">
        <v>0.5</v>
      </c>
      <c r="P146">
        <v>0.5</v>
      </c>
      <c r="Q146">
        <v>0.5</v>
      </c>
      <c r="R146">
        <v>0</v>
      </c>
      <c r="S146" s="103">
        <v>0</v>
      </c>
      <c r="T146" t="inlineStr">
        <is>
          <t>No se ejecutó en la vigencia</t>
        </is>
      </c>
      <c r="U146">
        <v>0.25</v>
      </c>
      <c r="V146" s="104">
        <v>0.5</v>
      </c>
      <c r="W146" t="inlineStr">
        <is>
          <t>Lo ejecutado está por debajo de lo programado en la vigencia</t>
        </is>
      </c>
    </row>
    <row r="147">
      <c r="A147" t="inlineStr">
        <is>
          <t>IP-147</t>
        </is>
      </c>
      <c r="B147" t="inlineStr">
        <is>
          <t>19</t>
        </is>
      </c>
      <c r="C147" t="inlineStr">
        <is>
          <t>Salud y protección social</t>
        </is>
      </c>
      <c r="D147" t="inlineStr">
        <is>
          <t>1906</t>
        </is>
      </c>
      <c r="E147" t="inlineStr">
        <is>
          <t>Aseguramiento y prestación integral de servicios de salud</t>
        </is>
      </c>
      <c r="F147" t="inlineStr">
        <is>
          <t>1906041</t>
        </is>
      </c>
      <c r="G147" t="inlineStr">
        <is>
          <t>Servicio de asistencia técnica</t>
        </is>
      </c>
      <c r="H147" t="inlineStr">
        <is>
          <t>190604100</t>
        </is>
      </c>
      <c r="I147" t="inlineStr">
        <is>
          <t>Asistencias técnicas realizadas</t>
        </is>
      </c>
      <c r="J147" t="inlineStr">
        <is>
          <t>202400000006244</t>
        </is>
      </c>
      <c r="K147" t="inlineStr">
        <is>
          <t>Si</t>
        </is>
      </c>
      <c r="L147" t="inlineStr">
        <is>
          <t>Número</t>
        </is>
      </c>
      <c r="M147">
        <v>8</v>
      </c>
      <c r="N147">
        <v>2</v>
      </c>
      <c r="O147">
        <v>2</v>
      </c>
      <c r="P147">
        <v>2</v>
      </c>
      <c r="Q147">
        <v>2</v>
      </c>
      <c r="R147" t="inlineStr">
        <is>
          <t xml:space="preserve"> </t>
        </is>
      </c>
      <c r="S147" s="103" t="inlineStr">
        <is>
          <t xml:space="preserve"> </t>
        </is>
      </c>
      <c r="T147" t="inlineStr">
        <is>
          <t>No se encontró ejecución en PIIP</t>
        </is>
      </c>
      <c r="U147" t="inlineStr">
        <is>
          <t xml:space="preserve"> </t>
        </is>
      </c>
      <c r="V147" s="104" t="inlineStr">
        <is>
          <t xml:space="preserve"> </t>
        </is>
      </c>
      <c r="W147" t="inlineStr">
        <is>
          <t>No se encontró ejecución en PIIP</t>
        </is>
      </c>
    </row>
    <row r="148">
      <c r="A148" t="inlineStr">
        <is>
          <t>IP-148</t>
        </is>
      </c>
      <c r="B148" t="inlineStr">
        <is>
          <t>22</t>
        </is>
      </c>
      <c r="C148" t="inlineStr">
        <is>
          <t>Educación</t>
        </is>
      </c>
      <c r="D148" t="inlineStr">
        <is>
          <t>2202</t>
        </is>
      </c>
      <c r="E148" t="inlineStr">
        <is>
          <t>Calidad y fomento de la educación superior</t>
        </is>
      </c>
      <c r="F148" t="inlineStr">
        <is>
          <t>2202071</t>
        </is>
      </c>
      <c r="G148" t="inlineStr">
        <is>
          <t>Sedes de instituciones de educación superior  construidas</t>
        </is>
      </c>
      <c r="H148" t="inlineStr">
        <is>
          <t>220207100</t>
        </is>
      </c>
      <c r="I148" t="inlineStr">
        <is>
          <t>Sedes  de instituciones de educación  superior  construidas</t>
        </is>
      </c>
      <c r="J148" t="inlineStr">
        <is>
          <t>202400000005768</t>
        </is>
      </c>
      <c r="K148" t="inlineStr">
        <is>
          <t>Si</t>
        </is>
      </c>
      <c r="L148" t="inlineStr">
        <is>
          <t>Número</t>
        </is>
      </c>
      <c r="M148">
        <v>1</v>
      </c>
      <c r="N148">
        <v>0.1</v>
      </c>
      <c r="O148">
        <v>0.2</v>
      </c>
      <c r="P148">
        <v>0.2</v>
      </c>
      <c r="Q148">
        <v>0.5</v>
      </c>
      <c r="R148" t="inlineStr">
        <is>
          <t xml:space="preserve"> </t>
        </is>
      </c>
      <c r="S148" s="103" t="inlineStr">
        <is>
          <t xml:space="preserve"> </t>
        </is>
      </c>
      <c r="T148" t="inlineStr">
        <is>
          <t>No se encontró ejecución en PIIP</t>
        </is>
      </c>
      <c r="U148" t="inlineStr">
        <is>
          <t xml:space="preserve"> </t>
        </is>
      </c>
      <c r="V148" s="104" t="inlineStr">
        <is>
          <t xml:space="preserve"> </t>
        </is>
      </c>
      <c r="W148" t="inlineStr">
        <is>
          <t>No se encontró ejecución en PIIP</t>
        </is>
      </c>
    </row>
    <row r="149">
      <c r="A149" t="inlineStr">
        <is>
          <t>IP-149</t>
        </is>
      </c>
      <c r="B149" t="inlineStr">
        <is>
          <t>12</t>
        </is>
      </c>
      <c r="C149" t="inlineStr">
        <is>
          <t>Justicia y del derecho</t>
        </is>
      </c>
      <c r="D149" t="inlineStr">
        <is>
          <t>1202</t>
        </is>
      </c>
      <c r="E149" t="inlineStr">
        <is>
          <t>Promoción al acceso a la justicia</t>
        </is>
      </c>
      <c r="F149" t="inlineStr">
        <is>
          <t>1202002</t>
        </is>
      </c>
      <c r="G149" t="inlineStr">
        <is>
          <t>Servicio de justicia a los ciudadanos</t>
        </is>
      </c>
      <c r="H149" t="inlineStr">
        <is>
          <t>120200200</t>
        </is>
      </c>
      <c r="I149" t="inlineStr">
        <is>
          <t>Ciudadanos con servicio de justicia prestado</t>
        </is>
      </c>
      <c r="J149" t="inlineStr">
        <is>
          <t>2024258170009</t>
        </is>
      </c>
      <c r="K149" t="inlineStr">
        <is>
          <t>Si</t>
        </is>
      </c>
      <c r="L149" t="inlineStr">
        <is>
          <t>Número</t>
        </is>
      </c>
      <c r="M149">
        <v>28000</v>
      </c>
      <c r="N149">
        <v>7000</v>
      </c>
      <c r="O149">
        <v>7000</v>
      </c>
      <c r="P149">
        <v>7000</v>
      </c>
      <c r="Q149">
        <v>7000</v>
      </c>
      <c r="R149">
        <v>0</v>
      </c>
      <c r="S149" s="103">
        <v>0</v>
      </c>
      <c r="T149" t="inlineStr">
        <is>
          <t>No se ejecutó en la vigencia</t>
        </is>
      </c>
      <c r="U149">
        <v>37610</v>
      </c>
      <c r="V149" s="104">
        <v>5.37285714285714</v>
      </c>
      <c r="W149" t="inlineStr">
        <is>
          <t>Hubo ejecución por encima de lo programado en SisPT</t>
        </is>
      </c>
    </row>
    <row r="150">
      <c r="A150" t="inlineStr">
        <is>
          <t>IP-150</t>
        </is>
      </c>
      <c r="B150" t="inlineStr">
        <is>
          <t>35</t>
        </is>
      </c>
      <c r="C150" t="inlineStr">
        <is>
          <t>Comercio, industria y turismo</t>
        </is>
      </c>
      <c r="D150" t="inlineStr">
        <is>
          <t>3502</t>
        </is>
      </c>
      <c r="E150" t="inlineStr">
        <is>
          <t>Productividad y competitividad de las empresas colombianas</t>
        </is>
      </c>
      <c r="F150" t="inlineStr">
        <is>
          <t>3502017</t>
        </is>
      </c>
      <c r="G150" t="inlineStr">
        <is>
          <t>Servicio de asistencia técnica para emprendedores y/o empresas en edad temprana</t>
        </is>
      </c>
      <c r="H150" t="inlineStr">
        <is>
          <t>350201703</t>
        </is>
      </c>
      <c r="I150" t="inlineStr">
        <is>
          <t>Empresas en etapa temprana  beneficiadas con  programas de fortalecimiento  para su consolidación.</t>
        </is>
      </c>
      <c r="J150" t="inlineStr">
        <is>
          <t>202400000006193</t>
        </is>
      </c>
      <c r="K150" t="inlineStr">
        <is>
          <t>Si</t>
        </is>
      </c>
      <c r="L150" t="inlineStr">
        <is>
          <t>Número</t>
        </is>
      </c>
      <c r="M150">
        <v>200</v>
      </c>
      <c r="N150">
        <v>50</v>
      </c>
      <c r="O150">
        <v>50</v>
      </c>
      <c r="P150">
        <v>50</v>
      </c>
      <c r="Q150">
        <v>50</v>
      </c>
      <c r="R150" t="inlineStr">
        <is>
          <t xml:space="preserve"> </t>
        </is>
      </c>
      <c r="S150" s="103" t="inlineStr">
        <is>
          <t xml:space="preserve"> </t>
        </is>
      </c>
      <c r="T150" t="inlineStr">
        <is>
          <t>No se encontró ejecución en PIIP</t>
        </is>
      </c>
      <c r="U150" t="inlineStr">
        <is>
          <t xml:space="preserve"> </t>
        </is>
      </c>
      <c r="V150" s="104" t="inlineStr">
        <is>
          <t xml:space="preserve"> </t>
        </is>
      </c>
      <c r="W150" t="inlineStr">
        <is>
          <t>No se encontró ejecución en PIIP</t>
        </is>
      </c>
    </row>
    <row r="151">
      <c r="A151" t="inlineStr">
        <is>
          <t>IP-151</t>
        </is>
      </c>
      <c r="B151" t="inlineStr">
        <is>
          <t>22</t>
        </is>
      </c>
      <c r="C151" t="inlineStr">
        <is>
          <t>Educación</t>
        </is>
      </c>
      <c r="D151" t="inlineStr">
        <is>
          <t>2201</t>
        </is>
      </c>
      <c r="E151" t="inlineStr">
        <is>
          <t>Calidad, cobertura y fortalecimiento de la educación inicial, prescolar, básica y media</t>
        </is>
      </c>
      <c r="F151" t="inlineStr">
        <is>
          <t>2201028</t>
        </is>
      </c>
      <c r="G151" t="inlineStr">
        <is>
          <t>Servicio de apoyo a la permanencia con alimentación escolar</t>
        </is>
      </c>
      <c r="H151" t="inlineStr">
        <is>
          <t>220102801</t>
        </is>
      </c>
      <c r="I151" t="inlineStr">
        <is>
          <t>Beneficiarios de la alimentación escolar</t>
        </is>
      </c>
      <c r="J151" t="inlineStr">
        <is>
          <t>202400000005692</t>
        </is>
      </c>
      <c r="K151" t="inlineStr">
        <is>
          <t>No</t>
        </is>
      </c>
      <c r="L151" t="inlineStr">
        <is>
          <t>Número</t>
        </is>
      </c>
      <c r="M151">
        <v>100</v>
      </c>
      <c r="N151">
        <v>100</v>
      </c>
      <c r="O151">
        <v>100</v>
      </c>
      <c r="P151">
        <v>100</v>
      </c>
      <c r="Q151">
        <v>100</v>
      </c>
      <c r="R151" t="inlineStr">
        <is>
          <t xml:space="preserve"> </t>
        </is>
      </c>
      <c r="S151" s="103" t="inlineStr">
        <is>
          <t xml:space="preserve"> </t>
        </is>
      </c>
      <c r="T151" t="inlineStr">
        <is>
          <t>No se encontró ejecución en PIIP</t>
        </is>
      </c>
      <c r="U151" t="inlineStr">
        <is>
          <t xml:space="preserve"> </t>
        </is>
      </c>
      <c r="V151" s="104" t="inlineStr">
        <is>
          <t xml:space="preserve"> </t>
        </is>
      </c>
      <c r="W151" t="inlineStr">
        <is>
          <t>No se encontró ejecución en PIIP</t>
        </is>
      </c>
    </row>
    <row r="152">
      <c r="A152" t="inlineStr">
        <is>
          <t>IP-152</t>
        </is>
      </c>
      <c r="B152" t="inlineStr">
        <is>
          <t>40</t>
        </is>
      </c>
      <c r="C152" t="inlineStr">
        <is>
          <t>Vivienda, ciudad y territorio</t>
        </is>
      </c>
      <c r="D152" t="inlineStr">
        <is>
          <t>4002</t>
        </is>
      </c>
      <c r="E152" t="inlineStr">
        <is>
          <t>Ordenamiento territorial y desarrollo urbano</t>
        </is>
      </c>
      <c r="F152" t="inlineStr">
        <is>
          <t>4002012</t>
        </is>
      </c>
      <c r="G152" t="inlineStr">
        <is>
          <t>Servicio de apoyo financiero en planes de desarrollo urbano y ordenamiento territorial</t>
        </is>
      </c>
      <c r="H152" t="inlineStr">
        <is>
          <t>400201200</t>
        </is>
      </c>
      <c r="I152" t="inlineStr">
        <is>
          <t>Planes de desarrollo urbano y ordenamiento territorial financiados</t>
        </is>
      </c>
      <c r="J152" t="inlineStr">
        <is>
          <t>202400000006237</t>
        </is>
      </c>
      <c r="K152" t="inlineStr">
        <is>
          <t>Si</t>
        </is>
      </c>
      <c r="L152" t="inlineStr">
        <is>
          <t>Número</t>
        </is>
      </c>
      <c r="M152">
        <v>3</v>
      </c>
      <c r="N152">
        <v>0.1</v>
      </c>
      <c r="O152">
        <v>0.9</v>
      </c>
      <c r="P152">
        <v>1</v>
      </c>
      <c r="Q152">
        <v>1</v>
      </c>
      <c r="R152" t="inlineStr">
        <is>
          <t xml:space="preserve"> </t>
        </is>
      </c>
      <c r="S152" s="103" t="inlineStr">
        <is>
          <t xml:space="preserve"> </t>
        </is>
      </c>
      <c r="T152" t="inlineStr">
        <is>
          <t>No se encontró ejecución en PIIP</t>
        </is>
      </c>
      <c r="U152">
        <v>0.4</v>
      </c>
      <c r="V152" s="104">
        <v>0.444444444444444</v>
      </c>
      <c r="W152" t="inlineStr">
        <is>
          <t>Lo ejecutado está por debajo de lo programado en la vigencia</t>
        </is>
      </c>
    </row>
    <row r="153">
      <c r="A153" t="inlineStr">
        <is>
          <t>IP-153</t>
        </is>
      </c>
      <c r="B153" t="inlineStr">
        <is>
          <t>43</t>
        </is>
      </c>
      <c r="C153" t="inlineStr">
        <is>
          <t>Deporte y Recreación</t>
        </is>
      </c>
      <c r="D153" t="inlineStr">
        <is>
          <t>4302</t>
        </is>
      </c>
      <c r="E153" t="inlineStr">
        <is>
          <t>Formación y preparación de deportistas</t>
        </is>
      </c>
      <c r="F153" t="inlineStr">
        <is>
          <t>4302083</t>
        </is>
      </c>
      <c r="G153" t="inlineStr">
        <is>
          <t>Complejo deportivo de alto rendimiento construido y dotado</t>
        </is>
      </c>
      <c r="H153" t="inlineStr">
        <is>
          <t>430208300</t>
        </is>
      </c>
      <c r="I153" t="inlineStr">
        <is>
          <t>Complejo deportivo de alto rendimiento construido y dotado</t>
        </is>
      </c>
      <c r="J153" t="inlineStr">
        <is>
          <t>202500000016367</t>
        </is>
      </c>
      <c r="K153" t="inlineStr">
        <is>
          <t>Si</t>
        </is>
      </c>
      <c r="L153" t="inlineStr">
        <is>
          <t>Número</t>
        </is>
      </c>
      <c r="M153">
        <v>1</v>
      </c>
      <c r="N153">
        <v>0.1</v>
      </c>
      <c r="O153">
        <v>0.2</v>
      </c>
      <c r="P153">
        <v>0.2</v>
      </c>
      <c r="Q153">
        <v>0.5</v>
      </c>
      <c r="R153" t="inlineStr">
        <is>
          <t xml:space="preserve"> </t>
        </is>
      </c>
      <c r="S153" s="103" t="inlineStr">
        <is>
          <t xml:space="preserve"> </t>
        </is>
      </c>
      <c r="T153" t="inlineStr">
        <is>
          <t>No se encontró ejecución en PIIP</t>
        </is>
      </c>
      <c r="U153" t="inlineStr">
        <is>
          <t xml:space="preserve"> </t>
        </is>
      </c>
      <c r="V153" s="104" t="inlineStr">
        <is>
          <t xml:space="preserve"> </t>
        </is>
      </c>
      <c r="W153" t="inlineStr">
        <is>
          <t>No se encontró ejecución en PIIP</t>
        </is>
      </c>
    </row>
    <row r="154">
      <c r="A154" t="inlineStr">
        <is>
          <t>IP-154</t>
        </is>
      </c>
      <c r="B154" t="inlineStr">
        <is>
          <t>40</t>
        </is>
      </c>
      <c r="C154" t="inlineStr">
        <is>
          <t>Vivienda, ciudad y territorio</t>
        </is>
      </c>
      <c r="D154" t="inlineStr">
        <is>
          <t>4003</t>
        </is>
      </c>
      <c r="E154" t="inlineStr">
        <is>
          <t>Acceso de la población a los servicios de agua potable y saneamiento básico</t>
        </is>
      </c>
      <c r="F154" t="inlineStr">
        <is>
          <t>4003017</t>
        </is>
      </c>
      <c r="G154" t="inlineStr">
        <is>
          <t>Acueductos optimizados</t>
        </is>
      </c>
      <c r="H154" t="inlineStr">
        <is>
          <t>400301703</t>
        </is>
      </c>
      <c r="I154" t="inlineStr">
        <is>
          <t>Red de distribución optimizada</t>
        </is>
      </c>
      <c r="J154" t="inlineStr">
        <is>
          <t>202400000007000</t>
        </is>
      </c>
      <c r="K154" t="inlineStr">
        <is>
          <t>Si</t>
        </is>
      </c>
      <c r="L154" t="inlineStr">
        <is>
          <t xml:space="preserve">Metros </t>
        </is>
      </c>
      <c r="M154">
        <v>3.5</v>
      </c>
      <c r="N154">
        <v>1</v>
      </c>
      <c r="O154">
        <v>1</v>
      </c>
      <c r="P154">
        <v>1.5</v>
      </c>
      <c r="Q154">
        <v>0</v>
      </c>
      <c r="R154" t="inlineStr">
        <is>
          <t xml:space="preserve"> </t>
        </is>
      </c>
      <c r="S154" s="103" t="inlineStr">
        <is>
          <t xml:space="preserve"> </t>
        </is>
      </c>
      <c r="T154" t="inlineStr">
        <is>
          <t>No se encontró ejecución en PIIP</t>
        </is>
      </c>
      <c r="U154" t="inlineStr">
        <is>
          <t xml:space="preserve"> </t>
        </is>
      </c>
      <c r="V154" s="104" t="inlineStr">
        <is>
          <t xml:space="preserve"> </t>
        </is>
      </c>
      <c r="W154" t="inlineStr">
        <is>
          <t>No se encontró ejecución en PIIP</t>
        </is>
      </c>
    </row>
    <row r="155">
      <c r="A155" t="inlineStr">
        <is>
          <t>IP-155</t>
        </is>
      </c>
      <c r="B155" t="inlineStr">
        <is>
          <t>24</t>
        </is>
      </c>
      <c r="C155" t="inlineStr">
        <is>
          <t>Transporte</t>
        </is>
      </c>
      <c r="D155" t="inlineStr">
        <is>
          <t>2409</t>
        </is>
      </c>
      <c r="E155" t="inlineStr">
        <is>
          <t>Seguridad de transporte</t>
        </is>
      </c>
      <c r="F155" t="inlineStr">
        <is>
          <t>2409023</t>
        </is>
      </c>
      <c r="G155" t="inlineStr">
        <is>
          <t>Servicio de sensibilización a los actores viales</t>
        </is>
      </c>
      <c r="H155" t="inlineStr">
        <is>
          <t>240902301</t>
        </is>
      </c>
      <c r="I155" t="inlineStr">
        <is>
          <t>Capacitaciones realizadas</t>
        </is>
      </c>
      <c r="J155" t="inlineStr">
        <is>
          <t/>
        </is>
      </c>
      <c r="K155" t="inlineStr">
        <is>
          <t>No</t>
        </is>
      </c>
      <c r="L155" t="inlineStr">
        <is>
          <t>Número</t>
        </is>
      </c>
      <c r="M155">
        <v>1</v>
      </c>
      <c r="N155">
        <v>1</v>
      </c>
      <c r="O155">
        <v>1</v>
      </c>
      <c r="P155">
        <v>1</v>
      </c>
      <c r="Q155">
        <v>1</v>
      </c>
      <c r="R155" t="inlineStr">
        <is>
          <t xml:space="preserve"> </t>
        </is>
      </c>
      <c r="S155" s="103" t="inlineStr">
        <is>
          <t xml:space="preserve"> </t>
        </is>
      </c>
      <c r="T155" t="inlineStr">
        <is>
          <t>Por falta de código BPIN, no se encontró ejecución en PIIP</t>
        </is>
      </c>
      <c r="U155" t="inlineStr">
        <is>
          <t xml:space="preserve"> </t>
        </is>
      </c>
      <c r="V155" s="104" t="inlineStr">
        <is>
          <t xml:space="preserve"> </t>
        </is>
      </c>
      <c r="W155" t="inlineStr">
        <is>
          <t>Por falta de código BPIN, no se encontró ejecución en PIIP</t>
        </is>
      </c>
    </row>
    <row r="156">
      <c r="A156" t="inlineStr">
        <is>
          <t>IP-156</t>
        </is>
      </c>
      <c r="B156" t="inlineStr">
        <is>
          <t>45</t>
        </is>
      </c>
      <c r="C156" t="inlineStr">
        <is>
          <t>Gobierno Territorial</t>
        </is>
      </c>
      <c r="D156" t="inlineStr">
        <is>
          <t>4501</t>
        </is>
      </c>
      <c r="E156" t="inlineStr">
        <is>
          <t>Fortalecimiento de la convivencia y la seguridad ciudadana</t>
        </is>
      </c>
      <c r="F156" t="inlineStr">
        <is>
          <t>4501057</t>
        </is>
      </c>
      <c r="G156" t="inlineStr">
        <is>
          <t>Servicio de apoyo financiero para dotar a miembros de la fuerza publica</t>
        </is>
      </c>
      <c r="H156" t="inlineStr">
        <is>
          <t>450105700</t>
        </is>
      </c>
      <c r="I156" t="inlineStr">
        <is>
          <t>Miembros de la fuerza publica apoyados</t>
        </is>
      </c>
      <c r="J156" t="inlineStr">
        <is>
          <t>202400000007013</t>
        </is>
      </c>
      <c r="K156" t="inlineStr">
        <is>
          <t>No</t>
        </is>
      </c>
      <c r="L156" t="inlineStr">
        <is>
          <t>Número</t>
        </is>
      </c>
      <c r="M156">
        <v>4</v>
      </c>
      <c r="N156">
        <v>4</v>
      </c>
      <c r="O156">
        <v>4</v>
      </c>
      <c r="P156">
        <v>4</v>
      </c>
      <c r="Q156">
        <v>4</v>
      </c>
      <c r="R156" t="inlineStr">
        <is>
          <t xml:space="preserve"> </t>
        </is>
      </c>
      <c r="S156" s="103" t="inlineStr">
        <is>
          <t xml:space="preserve"> </t>
        </is>
      </c>
      <c r="T156" t="inlineStr">
        <is>
          <t>No se encontró ejecución en PIIP</t>
        </is>
      </c>
      <c r="U156">
        <v>1.75</v>
      </c>
      <c r="V156" s="104">
        <v>0.4375</v>
      </c>
      <c r="W156" t="inlineStr">
        <is>
          <t>Lo ejecutado está por debajo de lo programado en la vigencia</t>
        </is>
      </c>
    </row>
    <row r="157">
      <c r="A157" t="inlineStr">
        <is>
          <t>IP-157</t>
        </is>
      </c>
      <c r="B157" t="inlineStr">
        <is>
          <t>45</t>
        </is>
      </c>
      <c r="C157" t="inlineStr">
        <is>
          <t>Gobierno Territorial</t>
        </is>
      </c>
      <c r="D157" t="inlineStr">
        <is>
          <t>4501</t>
        </is>
      </c>
      <c r="E157" t="inlineStr">
        <is>
          <t>Fortalecimiento de la convivencia y la seguridad ciudadana</t>
        </is>
      </c>
      <c r="F157" t="inlineStr">
        <is>
          <t>4501032</t>
        </is>
      </c>
      <c r="G157" t="inlineStr">
        <is>
          <t>Servicio de atención de seguridad y emergencias de los Centros de Información Estratégica Policía Seccional</t>
        </is>
      </c>
      <c r="H157" t="inlineStr">
        <is>
          <t>450103200</t>
        </is>
      </c>
      <c r="I157" t="inlineStr">
        <is>
          <t>Centros de Información Estratégica Policía Seccional instalados y dotados</t>
        </is>
      </c>
      <c r="J157" t="inlineStr">
        <is>
          <t>202400000007013</t>
        </is>
      </c>
      <c r="K157" t="inlineStr">
        <is>
          <t>Si</t>
        </is>
      </c>
      <c r="L157" t="inlineStr">
        <is>
          <t>Número</t>
        </is>
      </c>
      <c r="M157">
        <v>4</v>
      </c>
      <c r="N157">
        <v>1</v>
      </c>
      <c r="O157">
        <v>1</v>
      </c>
      <c r="P157">
        <v>1</v>
      </c>
      <c r="Q157">
        <v>1</v>
      </c>
      <c r="R157" t="inlineStr">
        <is>
          <t xml:space="preserve"> </t>
        </is>
      </c>
      <c r="S157" s="103" t="inlineStr">
        <is>
          <t xml:space="preserve"> </t>
        </is>
      </c>
      <c r="T157" t="inlineStr">
        <is>
          <t>No se encontró ejecución en PIIP</t>
        </is>
      </c>
      <c r="U157">
        <v>1</v>
      </c>
      <c r="V157" s="104">
        <v>1</v>
      </c>
      <c r="W157" t="inlineStr">
        <is>
          <t>Se ejecutó el 100% de lo programado en la vigencia</t>
        </is>
      </c>
    </row>
    <row r="158">
      <c r="A158" t="inlineStr">
        <is>
          <t>IP-158</t>
        </is>
      </c>
      <c r="B158" t="inlineStr">
        <is>
          <t>32</t>
        </is>
      </c>
      <c r="C158" t="inlineStr">
        <is>
          <t>Ambiente y desarrollo sostenible</t>
        </is>
      </c>
      <c r="D158" t="inlineStr">
        <is>
          <t>3202</t>
        </is>
      </c>
      <c r="E158" t="inlineStr">
        <is>
          <t>Conservación de la biodiversidad y sus servicios ecosistémicos</t>
        </is>
      </c>
      <c r="F158" t="inlineStr">
        <is>
          <t>3202037</t>
        </is>
      </c>
      <c r="G158" t="inlineStr">
        <is>
          <t>Servicio de recuperación de cuerpos de agua lénticos y lóticos</t>
        </is>
      </c>
      <c r="H158" t="inlineStr">
        <is>
          <t>320203700</t>
        </is>
      </c>
      <c r="I158" t="inlineStr">
        <is>
          <t xml:space="preserve">Extensión de cuerpos de agua recuperados </t>
        </is>
      </c>
      <c r="J158" t="inlineStr">
        <is>
          <t>2024258170026</t>
        </is>
      </c>
      <c r="K158" t="inlineStr">
        <is>
          <t>Si</t>
        </is>
      </c>
      <c r="L158" t="inlineStr">
        <is>
          <t>Hectáreas</t>
        </is>
      </c>
      <c r="M158">
        <v>8</v>
      </c>
      <c r="N158">
        <v>3</v>
      </c>
      <c r="O158">
        <v>2</v>
      </c>
      <c r="P158">
        <v>2</v>
      </c>
      <c r="Q158">
        <v>1</v>
      </c>
      <c r="R158">
        <v>5.59</v>
      </c>
      <c r="S158" s="103">
        <v>1.86333333333333</v>
      </c>
      <c r="T158" t="inlineStr">
        <is>
          <t>Hubo ejecución por encima de lo programado en SisPT</t>
        </is>
      </c>
      <c r="U158">
        <v>4.7867</v>
      </c>
      <c r="V158" s="104">
        <v>2.39335</v>
      </c>
      <c r="W158" t="inlineStr">
        <is>
          <t>Hubo ejecución por encima de lo programado en SisPT</t>
        </is>
      </c>
    </row>
    <row r="159">
      <c r="A159" t="inlineStr">
        <is>
          <t>IP-159</t>
        </is>
      </c>
      <c r="B159" t="inlineStr">
        <is>
          <t>23</t>
        </is>
      </c>
      <c r="C159" t="inlineStr">
        <is>
          <t>Tecnologías de la información y las comunicaciones</t>
        </is>
      </c>
      <c r="D159" t="inlineStr">
        <is>
          <t>2302</t>
        </is>
      </c>
      <c r="E159" t="inlineStr">
        <is>
          <t>Fomento del desarrollo de aplicaciones, software y contenidos para impulsar la apropiación de las Tecnologías de la Información y las Comunicaciones (TIC)</t>
        </is>
      </c>
      <c r="F159" t="inlineStr">
        <is>
          <t>2302059</t>
        </is>
      </c>
      <c r="G159" t="inlineStr">
        <is>
          <t>Servicio de educación informal en uso responsable y seguro de las Tecnologías de la Información y las Comunicaciones</t>
        </is>
      </c>
      <c r="H159" t="inlineStr">
        <is>
          <t>230205900</t>
        </is>
      </c>
      <c r="I159" t="inlineStr">
        <is>
          <t xml:space="preserve">Personas de la comunidad sensibilizadas en uso responsable y seguro de las TIC </t>
        </is>
      </c>
      <c r="J159" t="inlineStr">
        <is>
          <t>202500000000022</t>
        </is>
      </c>
      <c r="K159" t="inlineStr">
        <is>
          <t>Si</t>
        </is>
      </c>
      <c r="L159" t="inlineStr">
        <is>
          <t>Número</t>
        </is>
      </c>
      <c r="M159">
        <v>2000</v>
      </c>
      <c r="N159">
        <v>1</v>
      </c>
      <c r="O159">
        <v>1000</v>
      </c>
      <c r="P159">
        <v>500</v>
      </c>
      <c r="Q159">
        <v>499</v>
      </c>
      <c r="R159" t="inlineStr">
        <is>
          <t xml:space="preserve"> </t>
        </is>
      </c>
      <c r="S159" s="103" t="inlineStr">
        <is>
          <t xml:space="preserve"> </t>
        </is>
      </c>
      <c r="T159" t="inlineStr">
        <is>
          <t>No se encontró ejecución en PIIP</t>
        </is>
      </c>
      <c r="U159">
        <v>0</v>
      </c>
      <c r="V159" s="104">
        <v>0</v>
      </c>
      <c r="W159" t="inlineStr">
        <is>
          <t>No se ejecutó en la vigencia</t>
        </is>
      </c>
    </row>
    <row r="160">
      <c r="A160" t="inlineStr">
        <is>
          <t>IP-160</t>
        </is>
      </c>
      <c r="B160" t="inlineStr">
        <is>
          <t>24</t>
        </is>
      </c>
      <c r="C160" t="inlineStr">
        <is>
          <t>Transporte</t>
        </is>
      </c>
      <c r="D160" t="inlineStr">
        <is>
          <t>2402</t>
        </is>
      </c>
      <c r="E160" t="inlineStr">
        <is>
          <t>Infraestructura red vial regional</t>
        </is>
      </c>
      <c r="F160" t="inlineStr">
        <is>
          <t>2402039</t>
        </is>
      </c>
      <c r="G160" t="inlineStr">
        <is>
          <t>Vía terciaria construida</t>
        </is>
      </c>
      <c r="H160" t="inlineStr">
        <is>
          <t>240203900</t>
        </is>
      </c>
      <c r="I160" t="inlineStr">
        <is>
          <t xml:space="preserve">Vía terciaria construida </t>
        </is>
      </c>
      <c r="J160" t="inlineStr">
        <is>
          <t>202400000006693</t>
        </is>
      </c>
      <c r="K160" t="inlineStr">
        <is>
          <t>Si</t>
        </is>
      </c>
      <c r="L160" t="inlineStr">
        <is>
          <t>Kilómetros</t>
        </is>
      </c>
      <c r="M160">
        <v>5.6</v>
      </c>
      <c r="N160">
        <v>0.6</v>
      </c>
      <c r="O160">
        <v>1.5</v>
      </c>
      <c r="P160">
        <v>1.5</v>
      </c>
      <c r="Q160">
        <v>2</v>
      </c>
      <c r="R160" t="inlineStr">
        <is>
          <t xml:space="preserve"> </t>
        </is>
      </c>
      <c r="S160" s="103" t="inlineStr">
        <is>
          <t xml:space="preserve"> </t>
        </is>
      </c>
      <c r="T160" t="inlineStr">
        <is>
          <t>No se encontró ejecución en PIIP</t>
        </is>
      </c>
      <c r="U160" t="inlineStr">
        <is>
          <t xml:space="preserve"> </t>
        </is>
      </c>
      <c r="V160" s="104" t="inlineStr">
        <is>
          <t xml:space="preserve"> </t>
        </is>
      </c>
      <c r="W160" t="inlineStr">
        <is>
          <t>No se encontró ejecución en PIIP</t>
        </is>
      </c>
    </row>
    <row r="161">
      <c r="A161" t="inlineStr">
        <is>
          <t>IP-161</t>
        </is>
      </c>
      <c r="B161" t="inlineStr">
        <is>
          <t>04</t>
        </is>
      </c>
      <c r="C161" t="inlineStr">
        <is>
          <t>Información Estadística</t>
        </is>
      </c>
      <c r="D161" t="inlineStr">
        <is>
          <t>0401</t>
        </is>
      </c>
      <c r="E161" t="inlineStr">
        <is>
          <t>Levantamiento y actualización de información estadística de calidad</t>
        </is>
      </c>
      <c r="F161" t="inlineStr">
        <is>
          <t>0401105</t>
        </is>
      </c>
      <c r="G161" t="inlineStr">
        <is>
          <t>Servicio de estratificación socioeconómica</t>
        </is>
      </c>
      <c r="H161" t="inlineStr">
        <is>
          <t>040110500</t>
        </is>
      </c>
      <c r="I161" t="inlineStr">
        <is>
          <t>Predios con estratificación socioeconómica</t>
        </is>
      </c>
      <c r="J161" t="inlineStr">
        <is>
          <t>2024258170030</t>
        </is>
      </c>
      <c r="K161" t="inlineStr">
        <is>
          <t>No</t>
        </is>
      </c>
      <c r="L161" t="inlineStr">
        <is>
          <t>Número</t>
        </is>
      </c>
      <c r="M161">
        <v>1</v>
      </c>
      <c r="N161">
        <v>1</v>
      </c>
      <c r="O161">
        <v>1</v>
      </c>
      <c r="P161">
        <v>1</v>
      </c>
      <c r="Q161">
        <v>1</v>
      </c>
      <c r="R161">
        <v>1</v>
      </c>
      <c r="S161" s="103">
        <v>1</v>
      </c>
      <c r="T161" t="inlineStr">
        <is>
          <t>Se ejecutó el 100% de lo programado en la vigencia</t>
        </is>
      </c>
      <c r="U161">
        <v>0</v>
      </c>
      <c r="V161" s="104">
        <v>0</v>
      </c>
      <c r="W161" t="inlineStr">
        <is>
          <t>No se ejecutó en la vigencia</t>
        </is>
      </c>
    </row>
    <row r="162">
      <c r="A162" t="inlineStr">
        <is>
          <t>IP-162</t>
        </is>
      </c>
      <c r="B162" t="inlineStr">
        <is>
          <t>23</t>
        </is>
      </c>
      <c r="C162" t="inlineStr">
        <is>
          <t>Tecnologías de la información y las comunicaciones</t>
        </is>
      </c>
      <c r="D162" t="inlineStr">
        <is>
          <t>2302</t>
        </is>
      </c>
      <c r="E162" t="inlineStr">
        <is>
          <t>Fomento del desarrollo de aplicaciones, software y contenidos para impulsar la apropiación de las Tecnologías de la Información y las Comunicaciones (TIC)</t>
        </is>
      </c>
      <c r="F162" t="inlineStr">
        <is>
          <t>2302041</t>
        </is>
      </c>
      <c r="G162" t="inlineStr">
        <is>
          <t>Servicio de promoción de la participación ciudadana para el fomento del diálogo con el Estado</t>
        </is>
      </c>
      <c r="H162" t="inlineStr">
        <is>
          <t>230204100</t>
        </is>
      </c>
      <c r="I162" t="inlineStr">
        <is>
          <t>Ejercicios de participación ciudadana realizados</t>
        </is>
      </c>
      <c r="J162" t="inlineStr">
        <is>
          <t>202400000005461</t>
        </is>
      </c>
      <c r="K162" t="inlineStr">
        <is>
          <t>No</t>
        </is>
      </c>
      <c r="L162" t="inlineStr">
        <is>
          <t>Número</t>
        </is>
      </c>
      <c r="M162">
        <v>100</v>
      </c>
      <c r="N162">
        <v>100</v>
      </c>
      <c r="O162">
        <v>100</v>
      </c>
      <c r="P162">
        <v>100</v>
      </c>
      <c r="Q162">
        <v>100</v>
      </c>
      <c r="R162" t="inlineStr">
        <is>
          <t xml:space="preserve"> </t>
        </is>
      </c>
      <c r="S162" s="103" t="inlineStr">
        <is>
          <t xml:space="preserve"> </t>
        </is>
      </c>
      <c r="T162" t="inlineStr">
        <is>
          <t>No se encontró ejecución en PIIP</t>
        </is>
      </c>
      <c r="U162">
        <v>1.55</v>
      </c>
      <c r="V162" s="104">
        <v>0.0155</v>
      </c>
      <c r="W162" t="inlineStr">
        <is>
          <t>Lo ejecutado está por debajo de lo programado en la vigencia</t>
        </is>
      </c>
    </row>
    <row r="163">
      <c r="A163" t="inlineStr">
        <is>
          <t>IP-163</t>
        </is>
      </c>
      <c r="B163" t="inlineStr">
        <is>
          <t>45</t>
        </is>
      </c>
      <c r="C163" t="inlineStr">
        <is>
          <t>Gobierno Territorial</t>
        </is>
      </c>
      <c r="D163" t="inlineStr">
        <is>
          <t>4501</t>
        </is>
      </c>
      <c r="E163" t="inlineStr">
        <is>
          <t>Fortalecimiento de la convivencia y la seguridad ciudadana</t>
        </is>
      </c>
      <c r="F163" t="inlineStr">
        <is>
          <t>4501061</t>
        </is>
      </c>
      <c r="G163" t="inlineStr">
        <is>
          <t>Servicio de atención integral a la fauna</t>
        </is>
      </c>
      <c r="H163" t="inlineStr">
        <is>
          <t>450106100</t>
        </is>
      </c>
      <c r="I163" t="inlineStr">
        <is>
          <t>Animales atendidos</t>
        </is>
      </c>
      <c r="J163" t="inlineStr">
        <is>
          <t>2024258170023</t>
        </is>
      </c>
      <c r="K163" t="inlineStr">
        <is>
          <t>No</t>
        </is>
      </c>
      <c r="L163" t="inlineStr">
        <is>
          <t>Número</t>
        </is>
      </c>
      <c r="M163">
        <v>100</v>
      </c>
      <c r="N163">
        <v>100</v>
      </c>
      <c r="O163">
        <v>100</v>
      </c>
      <c r="P163">
        <v>100</v>
      </c>
      <c r="Q163">
        <v>100</v>
      </c>
      <c r="R163" t="inlineStr">
        <is>
          <t xml:space="preserve"> </t>
        </is>
      </c>
      <c r="S163" s="103" t="inlineStr">
        <is>
          <t xml:space="preserve"> </t>
        </is>
      </c>
      <c r="T163" t="inlineStr">
        <is>
          <t>No se encontró ejecución en PIIP</t>
        </is>
      </c>
      <c r="U163" t="inlineStr">
        <is>
          <t xml:space="preserve"> </t>
        </is>
      </c>
      <c r="V163" s="104" t="inlineStr">
        <is>
          <t xml:space="preserve"> </t>
        </is>
      </c>
      <c r="W163" t="inlineStr">
        <is>
          <t>No se encontró ejecución en PIIP</t>
        </is>
      </c>
    </row>
    <row r="164">
      <c r="A164" t="inlineStr">
        <is>
          <t>IP-164</t>
        </is>
      </c>
      <c r="B164" t="inlineStr">
        <is>
          <t>23</t>
        </is>
      </c>
      <c r="C164" t="inlineStr">
        <is>
          <t>Tecnologías de la información y las comunicaciones</t>
        </is>
      </c>
      <c r="D164" t="inlineStr">
        <is>
          <t>2302</t>
        </is>
      </c>
      <c r="E164" t="inlineStr">
        <is>
          <t>Fomento del desarrollo de aplicaciones, software y contenidos para impulsar la apropiación de las Tecnologías de la Información y las Comunicaciones (TIC)</t>
        </is>
      </c>
      <c r="F164" t="inlineStr">
        <is>
          <t>2302020</t>
        </is>
      </c>
      <c r="G164" t="inlineStr">
        <is>
          <t>Servicio de asistencia técnica para el emprendimiento de base tecnológica</t>
        </is>
      </c>
      <c r="H164" t="inlineStr">
        <is>
          <t>230202000</t>
        </is>
      </c>
      <c r="I164" t="inlineStr">
        <is>
          <t>Emprendimientos y empresas del sector de contenido y aplicaciones digitales acompañados</t>
        </is>
      </c>
      <c r="J164" t="inlineStr">
        <is>
          <t>202400000007305</t>
        </is>
      </c>
      <c r="K164" t="inlineStr">
        <is>
          <t>Si</t>
        </is>
      </c>
      <c r="L164" t="inlineStr">
        <is>
          <t>Número</t>
        </is>
      </c>
      <c r="M164">
        <v>1</v>
      </c>
      <c r="N164">
        <v>0.1</v>
      </c>
      <c r="O164">
        <v>0.9</v>
      </c>
      <c r="P164">
        <v>0</v>
      </c>
      <c r="Q164">
        <v>0</v>
      </c>
      <c r="R164" t="inlineStr">
        <is>
          <t xml:space="preserve"> </t>
        </is>
      </c>
      <c r="S164" s="103" t="inlineStr">
        <is>
          <t xml:space="preserve"> </t>
        </is>
      </c>
      <c r="T164" t="inlineStr">
        <is>
          <t>No se encontró ejecución en PIIP</t>
        </is>
      </c>
      <c r="U164" t="inlineStr">
        <is>
          <t xml:space="preserve"> </t>
        </is>
      </c>
      <c r="V164" s="104" t="inlineStr">
        <is>
          <t xml:space="preserve"> </t>
        </is>
      </c>
      <c r="W164" t="inlineStr">
        <is>
          <t>No se encontró ejecución en PIIP</t>
        </is>
      </c>
    </row>
    <row r="165">
      <c r="A165" t="inlineStr">
        <is>
          <t>IP-169</t>
        </is>
      </c>
      <c r="B165" t="inlineStr">
        <is>
          <t>45</t>
        </is>
      </c>
      <c r="C165" t="inlineStr">
        <is>
          <t>Gobierno Territorial</t>
        </is>
      </c>
      <c r="D165" t="inlineStr">
        <is>
          <t>4501</t>
        </is>
      </c>
      <c r="E165" t="inlineStr">
        <is>
          <t>Fortalecimiento de la convivencia y la seguridad ciudadana</t>
        </is>
      </c>
      <c r="F165" t="inlineStr">
        <is>
          <t>4501056</t>
        </is>
      </c>
      <c r="G165" t="inlineStr">
        <is>
          <t>Servicio de apoyo financiero para la justicia y seguridad</t>
        </is>
      </c>
      <c r="H165" t="inlineStr">
        <is>
          <t>450105600</t>
        </is>
      </c>
      <c r="I165" t="inlineStr">
        <is>
          <t>Recompensas entregadas a la ciudadanía</t>
        </is>
      </c>
      <c r="J165" t="inlineStr">
        <is>
          <t>202400000007013</t>
        </is>
      </c>
      <c r="K165" t="inlineStr">
        <is>
          <t>No</t>
        </is>
      </c>
      <c r="L165" t="inlineStr">
        <is>
          <t>Número</t>
        </is>
      </c>
      <c r="M165">
        <v>1</v>
      </c>
      <c r="N165">
        <v>0</v>
      </c>
      <c r="O165">
        <v>1</v>
      </c>
      <c r="P165">
        <v>1</v>
      </c>
      <c r="Q165">
        <v>1</v>
      </c>
      <c r="R165" t="inlineStr">
        <is>
          <t xml:space="preserve"> </t>
        </is>
      </c>
      <c r="S165" s="103" t="inlineStr">
        <is>
          <t xml:space="preserve"> </t>
        </is>
      </c>
      <c r="T165" t="inlineStr">
        <is>
          <t>No se encontró ejecución en PIIP</t>
        </is>
      </c>
      <c r="U165">
        <v>0</v>
      </c>
      <c r="V165" s="104">
        <v>0</v>
      </c>
      <c r="W165" t="inlineStr">
        <is>
          <t>No se ejecutó en la vigencia</t>
        </is>
      </c>
    </row>
    <row r="166">
      <c r="A166" t="inlineStr">
        <is>
          <t>IP-171</t>
        </is>
      </c>
      <c r="B166" t="inlineStr">
        <is>
          <t>23</t>
        </is>
      </c>
      <c r="C166" t="inlineStr">
        <is>
          <t>Tecnologías de la información y las comunicaciones</t>
        </is>
      </c>
      <c r="D166" t="inlineStr">
        <is>
          <t>2301</t>
        </is>
      </c>
      <c r="E166" t="inlineStr">
        <is>
          <t>Facilitar el acceso y uso de las Tecnologías de la Información y las Comunicaciones (TIC) en todo el territorio nacional</t>
        </is>
      </c>
      <c r="F166" t="inlineStr">
        <is>
          <t>2301004</t>
        </is>
      </c>
      <c r="G166" t="inlineStr">
        <is>
          <t>Documentos de planeación</t>
        </is>
      </c>
      <c r="H166" t="inlineStr">
        <is>
          <t>230100400</t>
        </is>
      </c>
      <c r="I166" t="inlineStr">
        <is>
          <t>Documentos de planeación elaborados</t>
        </is>
      </c>
      <c r="J166" t="inlineStr">
        <is>
          <t>2024258170001</t>
        </is>
      </c>
      <c r="K166" t="inlineStr">
        <is>
          <t>Si</t>
        </is>
      </c>
      <c r="L166" t="inlineStr">
        <is>
          <t>Número</t>
        </is>
      </c>
      <c r="M166">
        <v>100</v>
      </c>
      <c r="N166">
        <v>25</v>
      </c>
      <c r="O166">
        <v>25</v>
      </c>
      <c r="P166">
        <v>25</v>
      </c>
      <c r="Q166">
        <v>25</v>
      </c>
      <c r="R166" t="inlineStr">
        <is>
          <t xml:space="preserve"> </t>
        </is>
      </c>
      <c r="S166" s="103" t="inlineStr">
        <is>
          <t xml:space="preserve"> </t>
        </is>
      </c>
      <c r="T166" t="inlineStr">
        <is>
          <t>No se encontró ejecución en PIIP</t>
        </is>
      </c>
      <c r="U166" t="inlineStr">
        <is>
          <t xml:space="preserve"> </t>
        </is>
      </c>
      <c r="V166" s="104" t="inlineStr">
        <is>
          <t xml:space="preserve"> </t>
        </is>
      </c>
      <c r="W166" t="inlineStr">
        <is>
          <t>No se encontró ejecución en PIIP</t>
        </is>
      </c>
    </row>
    <row r="167">
      <c r="A167" t="inlineStr">
        <is>
          <t>IP-172</t>
        </is>
      </c>
      <c r="B167" t="inlineStr">
        <is>
          <t>45</t>
        </is>
      </c>
      <c r="C167" t="inlineStr">
        <is>
          <t>Gobierno Territorial</t>
        </is>
      </c>
      <c r="D167" t="inlineStr">
        <is>
          <t>4501</t>
        </is>
      </c>
      <c r="E167" t="inlineStr">
        <is>
          <t>Fortalecimiento de la convivencia y la seguridad ciudadana</t>
        </is>
      </c>
      <c r="F167" t="inlineStr">
        <is>
          <t>4501026</t>
        </is>
      </c>
      <c r="G167" t="inlineStr">
        <is>
          <t>Documentos Planeacion</t>
        </is>
      </c>
      <c r="H167" t="inlineStr">
        <is>
          <t>450102600</t>
        </is>
      </c>
      <c r="I167" t="inlineStr">
        <is>
          <t>Planes estratégicos elaborados</t>
        </is>
      </c>
      <c r="J167" t="inlineStr">
        <is>
          <t>202400000007305</t>
        </is>
      </c>
      <c r="K167" t="inlineStr">
        <is>
          <t>No</t>
        </is>
      </c>
      <c r="L167" t="inlineStr">
        <is>
          <t>Número</t>
        </is>
      </c>
      <c r="M167">
        <v>1</v>
      </c>
      <c r="N167">
        <v>0</v>
      </c>
      <c r="O167">
        <v>1</v>
      </c>
      <c r="P167">
        <v>1</v>
      </c>
      <c r="Q167">
        <v>1</v>
      </c>
      <c r="R167" t="inlineStr">
        <is>
          <t xml:space="preserve"> </t>
        </is>
      </c>
      <c r="S167" s="103" t="inlineStr">
        <is>
          <t xml:space="preserve"> </t>
        </is>
      </c>
      <c r="T167" t="inlineStr">
        <is>
          <t>No se encontró ejecución en PIIP</t>
        </is>
      </c>
      <c r="U167" t="inlineStr">
        <is>
          <t xml:space="preserve"> </t>
        </is>
      </c>
      <c r="V167" s="104" t="inlineStr">
        <is>
          <t xml:space="preserve"> </t>
        </is>
      </c>
      <c r="W167" t="inlineStr">
        <is>
          <t>No se encontró ejecución en PIIP</t>
        </is>
      </c>
    </row>
    <row r="168">
      <c r="A168" t="inlineStr">
        <is>
          <t>IP-173</t>
        </is>
      </c>
      <c r="B168" t="inlineStr">
        <is>
          <t>41</t>
        </is>
      </c>
      <c r="C168" t="inlineStr">
        <is>
          <t xml:space="preserve">Inclusión social y reconciliación </t>
        </is>
      </c>
      <c r="D168" t="inlineStr">
        <is>
          <t>4102</t>
        </is>
      </c>
      <c r="E168" t="inlineStr">
        <is>
          <t>Desarrollo integral de la primera infancia a la juventud, y fortalecimiento de las capacidades de las familias de niñas, niños y adolescentes</t>
        </is>
      </c>
      <c r="F168" t="inlineStr">
        <is>
          <t>4102006</t>
        </is>
      </c>
      <c r="G168" t="inlineStr">
        <is>
          <t>Edificaciones de atención a la primera infancia dotadas</t>
        </is>
      </c>
      <c r="H168" t="inlineStr">
        <is>
          <t>410200600</t>
        </is>
      </c>
      <c r="I168" t="inlineStr">
        <is>
          <t>Edificaciones  de atención a la primera infancia dotadas</t>
        </is>
      </c>
      <c r="J168" t="inlineStr">
        <is>
          <t>202400000006514</t>
        </is>
      </c>
      <c r="K168" t="inlineStr">
        <is>
          <t>No</t>
        </is>
      </c>
      <c r="L168" t="inlineStr">
        <is>
          <t>Número</t>
        </is>
      </c>
      <c r="M168">
        <v>1</v>
      </c>
      <c r="N168">
        <v>1</v>
      </c>
      <c r="O168">
        <v>0</v>
      </c>
      <c r="P168">
        <v>0</v>
      </c>
      <c r="Q168">
        <v>0</v>
      </c>
      <c r="R168" t="inlineStr">
        <is>
          <t xml:space="preserve"> </t>
        </is>
      </c>
      <c r="S168" s="103" t="inlineStr">
        <is>
          <t xml:space="preserve"> </t>
        </is>
      </c>
      <c r="T168" t="inlineStr">
        <is>
          <t>No se encontró ejecución en PIIP</t>
        </is>
      </c>
      <c r="U168" t="inlineStr">
        <is>
          <t xml:space="preserve"> </t>
        </is>
      </c>
      <c r="V168" s="104" t="inlineStr">
        <is>
          <t xml:space="preserve"> </t>
        </is>
      </c>
      <c r="W168" t="inlineStr">
        <is>
          <t>No se encontró ejecución en PIIP</t>
        </is>
      </c>
    </row>
    <row r="169">
      <c r="A169" t="inlineStr">
        <is>
          <t>IP-174</t>
        </is>
      </c>
      <c r="B169" t="inlineStr">
        <is>
          <t>45</t>
        </is>
      </c>
      <c r="C169" t="inlineStr">
        <is>
          <t>Gobierno Territorial</t>
        </is>
      </c>
      <c r="D169" t="inlineStr">
        <is>
          <t>4501</t>
        </is>
      </c>
      <c r="E169" t="inlineStr">
        <is>
          <t>Fortalecimiento de la convivencia y la seguridad ciudadana</t>
        </is>
      </c>
      <c r="F169" t="inlineStr">
        <is>
          <t>4501048</t>
        </is>
      </c>
      <c r="G169" t="inlineStr">
        <is>
          <t>Servicio de apoyo para el acceso a la justicia policiva</t>
        </is>
      </c>
      <c r="H169" t="inlineStr">
        <is>
          <t>450104800</t>
        </is>
      </c>
      <c r="I169" t="inlineStr">
        <is>
          <t>Estrategias implementadas</t>
        </is>
      </c>
      <c r="J169" t="inlineStr">
        <is>
          <t>202400000007013</t>
        </is>
      </c>
      <c r="K169" t="inlineStr">
        <is>
          <t>No</t>
        </is>
      </c>
      <c r="L169" t="inlineStr">
        <is>
          <t>Número</t>
        </is>
      </c>
      <c r="M169">
        <v>3</v>
      </c>
      <c r="N169">
        <v>3</v>
      </c>
      <c r="O169">
        <v>3</v>
      </c>
      <c r="P169">
        <v>3</v>
      </c>
      <c r="Q169">
        <v>3</v>
      </c>
      <c r="R169" t="inlineStr">
        <is>
          <t xml:space="preserve"> </t>
        </is>
      </c>
      <c r="S169" s="103" t="inlineStr">
        <is>
          <t xml:space="preserve"> </t>
        </is>
      </c>
      <c r="T169" t="inlineStr">
        <is>
          <t>No se encontró ejecución en PIIP</t>
        </is>
      </c>
      <c r="U169">
        <v>1.13</v>
      </c>
      <c r="V169" s="104">
        <v>0.376666666666667</v>
      </c>
      <c r="W169" t="inlineStr">
        <is>
          <t>Lo ejecutado está por debajo de lo programado en la vigencia</t>
        </is>
      </c>
    </row>
    <row r="170">
      <c r="A170" t="inlineStr">
        <is>
          <t>IP-175</t>
        </is>
      </c>
      <c r="B170" t="inlineStr">
        <is>
          <t>40</t>
        </is>
      </c>
      <c r="C170" t="inlineStr">
        <is>
          <t>Vivienda, ciudad y territorio</t>
        </is>
      </c>
      <c r="D170" t="inlineStr">
        <is>
          <t>4001</t>
        </is>
      </c>
      <c r="E170" t="inlineStr">
        <is>
          <t>Acceso a soluciones de vivienda</t>
        </is>
      </c>
      <c r="F170" t="inlineStr">
        <is>
          <t>4001031</t>
        </is>
      </c>
      <c r="G170" t="inlineStr">
        <is>
          <t>Servicio de apoyo financiero para adquisición de vivienda</t>
        </is>
      </c>
      <c r="H170" t="inlineStr">
        <is>
          <t>400103102</t>
        </is>
      </c>
      <c r="I170" t="inlineStr">
        <is>
          <t>Subsidios de vivienda vinculados a los macroproyectos de interés social nacional urbanos asignados</t>
        </is>
      </c>
      <c r="J170" t="inlineStr">
        <is>
          <t>2024258170043</t>
        </is>
      </c>
      <c r="K170" t="inlineStr">
        <is>
          <t>Si</t>
        </is>
      </c>
      <c r="L170" t="inlineStr">
        <is>
          <t>Número</t>
        </is>
      </c>
      <c r="M170">
        <v>800</v>
      </c>
      <c r="N170">
        <v>50</v>
      </c>
      <c r="O170">
        <v>300</v>
      </c>
      <c r="P170">
        <v>300</v>
      </c>
      <c r="Q170">
        <v>150</v>
      </c>
      <c r="R170" t="inlineStr">
        <is>
          <t xml:space="preserve"> </t>
        </is>
      </c>
      <c r="S170" s="103" t="inlineStr">
        <is>
          <t xml:space="preserve"> </t>
        </is>
      </c>
      <c r="T170" t="inlineStr">
        <is>
          <t>No se encontró ejecución en PIIP</t>
        </is>
      </c>
      <c r="U170" t="inlineStr">
        <is>
          <t xml:space="preserve"> </t>
        </is>
      </c>
      <c r="V170" s="104" t="inlineStr">
        <is>
          <t xml:space="preserve"> </t>
        </is>
      </c>
      <c r="W170" t="inlineStr">
        <is>
          <t>No se encontró ejecución en PIIP</t>
        </is>
      </c>
    </row>
    <row r="171">
      <c r="A171" t="inlineStr">
        <is>
          <t>IP-176</t>
        </is>
      </c>
      <c r="B171" t="inlineStr">
        <is>
          <t>35</t>
        </is>
      </c>
      <c r="C171" t="inlineStr">
        <is>
          <t>Comercio, industria y turismo</t>
        </is>
      </c>
      <c r="D171" t="inlineStr">
        <is>
          <t>3502</t>
        </is>
      </c>
      <c r="E171" t="inlineStr">
        <is>
          <t>Productividad y competitividad de las empresas colombianas</t>
        </is>
      </c>
      <c r="F171" t="inlineStr">
        <is>
          <t>3502049</t>
        </is>
      </c>
      <c r="G171" t="inlineStr">
        <is>
          <t>Servicio de circuito turístico</t>
        </is>
      </c>
      <c r="H171" t="inlineStr">
        <is>
          <t>350204900</t>
        </is>
      </c>
      <c r="I171" t="inlineStr">
        <is>
          <t>Recorridos realizados</t>
        </is>
      </c>
      <c r="J171" t="inlineStr">
        <is>
          <t>2024258170013</t>
        </is>
      </c>
      <c r="K171" t="inlineStr">
        <is>
          <t>Si</t>
        </is>
      </c>
      <c r="L171" t="inlineStr">
        <is>
          <t>Número</t>
        </is>
      </c>
      <c r="M171">
        <v>80</v>
      </c>
      <c r="N171">
        <v>10</v>
      </c>
      <c r="O171">
        <v>30</v>
      </c>
      <c r="P171">
        <v>30</v>
      </c>
      <c r="Q171">
        <v>10</v>
      </c>
      <c r="R171">
        <v>16</v>
      </c>
      <c r="S171" s="103">
        <v>1.6</v>
      </c>
      <c r="T171" t="inlineStr">
        <is>
          <t>Hubo ejecución por encima de lo programado en SisPT</t>
        </is>
      </c>
      <c r="U171">
        <v>5</v>
      </c>
      <c r="V171" s="104">
        <v>0.166666666666667</v>
      </c>
      <c r="W171" t="inlineStr">
        <is>
          <t>Lo ejecutado está por debajo de lo programado en la vigencia</t>
        </is>
      </c>
    </row>
    <row r="172">
      <c r="A172" t="inlineStr">
        <is>
          <t>IP-177</t>
        </is>
      </c>
      <c r="B172" t="inlineStr">
        <is>
          <t>41</t>
        </is>
      </c>
      <c r="C172" t="inlineStr">
        <is>
          <t xml:space="preserve">Inclusión social y reconciliación </t>
        </is>
      </c>
      <c r="D172" t="inlineStr">
        <is>
          <t>4103</t>
        </is>
      </c>
      <c r="E172" t="inlineStr">
        <is>
          <t>Inclusión social y productiva para la población en situación de vulnerabilidad</t>
        </is>
      </c>
      <c r="F172" t="inlineStr">
        <is>
          <t>4103061</t>
        </is>
      </c>
      <c r="G172" t="inlineStr">
        <is>
          <t>Servicio de apoyo financiero para la entrega de transferencias monetarias no condicionadas</t>
        </is>
      </c>
      <c r="H172" t="inlineStr">
        <is>
          <t>410306100</t>
        </is>
      </c>
      <c r="I172" t="inlineStr">
        <is>
          <t>Familias beneficiadas con transferencias monetarias no condicionadas</t>
        </is>
      </c>
      <c r="J172" t="inlineStr">
        <is>
          <t>202400000006709</t>
        </is>
      </c>
      <c r="K172" t="inlineStr">
        <is>
          <t>No</t>
        </is>
      </c>
      <c r="L172" t="inlineStr">
        <is>
          <t>Número</t>
        </is>
      </c>
      <c r="M172">
        <v>100</v>
      </c>
      <c r="N172">
        <v>100</v>
      </c>
      <c r="O172">
        <v>100</v>
      </c>
      <c r="P172">
        <v>100</v>
      </c>
      <c r="Q172">
        <v>100</v>
      </c>
      <c r="R172" t="inlineStr">
        <is>
          <t xml:space="preserve"> </t>
        </is>
      </c>
      <c r="S172" s="103" t="inlineStr">
        <is>
          <t xml:space="preserve"> </t>
        </is>
      </c>
      <c r="T172" t="inlineStr">
        <is>
          <t>No se encontró ejecución en PIIP</t>
        </is>
      </c>
      <c r="U172">
        <v>0</v>
      </c>
      <c r="V172" s="104">
        <v>0</v>
      </c>
      <c r="W172" t="inlineStr">
        <is>
          <t>No se ejecutó en la vigencia</t>
        </is>
      </c>
    </row>
    <row r="173">
      <c r="A173" t="inlineStr">
        <is>
          <t>IP-178</t>
        </is>
      </c>
      <c r="B173" t="inlineStr">
        <is>
          <t>45</t>
        </is>
      </c>
      <c r="C173" t="inlineStr">
        <is>
          <t>Gobierno Territorial</t>
        </is>
      </c>
      <c r="D173" t="inlineStr">
        <is>
          <t>4502</t>
        </is>
      </c>
      <c r="E173" t="inlineStr">
        <is>
          <t>Fortalecimiento del buen gobierno para el respeto y garantía de los derechos humanos.</t>
        </is>
      </c>
      <c r="F173" t="inlineStr">
        <is>
          <t>4502004</t>
        </is>
      </c>
      <c r="G173" t="inlineStr">
        <is>
          <t>Salón comunal ampliado</t>
        </is>
      </c>
      <c r="H173" t="inlineStr">
        <is>
          <t>450200400</t>
        </is>
      </c>
      <c r="I173" t="inlineStr">
        <is>
          <t>Salones comunales ampliados</t>
        </is>
      </c>
      <c r="J173" t="inlineStr">
        <is>
          <t>202400000005779</t>
        </is>
      </c>
      <c r="K173" t="inlineStr">
        <is>
          <t>Si</t>
        </is>
      </c>
      <c r="L173" t="inlineStr">
        <is>
          <t>Número</t>
        </is>
      </c>
      <c r="M173">
        <v>19</v>
      </c>
      <c r="N173">
        <v>1</v>
      </c>
      <c r="O173">
        <v>6</v>
      </c>
      <c r="P173">
        <v>6</v>
      </c>
      <c r="Q173">
        <v>6</v>
      </c>
      <c r="R173" t="inlineStr">
        <is>
          <t xml:space="preserve"> </t>
        </is>
      </c>
      <c r="S173" s="103" t="inlineStr">
        <is>
          <t xml:space="preserve"> </t>
        </is>
      </c>
      <c r="T173" t="inlineStr">
        <is>
          <t>No se encontró ejecución en PIIP</t>
        </is>
      </c>
      <c r="U173" t="inlineStr">
        <is>
          <t xml:space="preserve"> </t>
        </is>
      </c>
      <c r="V173" s="104" t="inlineStr">
        <is>
          <t xml:space="preserve"> </t>
        </is>
      </c>
      <c r="W173" t="inlineStr">
        <is>
          <t>No se encontró ejecución en PIIP</t>
        </is>
      </c>
    </row>
    <row r="174">
      <c r="A174" t="inlineStr">
        <is>
          <t>IP-179</t>
        </is>
      </c>
      <c r="B174" t="inlineStr">
        <is>
          <t>32</t>
        </is>
      </c>
      <c r="C174" t="inlineStr">
        <is>
          <t>Ambiente y desarrollo sostenible</t>
        </is>
      </c>
      <c r="D174" t="inlineStr">
        <is>
          <t>3208</t>
        </is>
      </c>
      <c r="E174" t="inlineStr">
        <is>
          <t xml:space="preserve">Educación Ambiental </t>
        </is>
      </c>
      <c r="F174" t="inlineStr">
        <is>
          <t>3208007</t>
        </is>
      </c>
      <c r="G174" t="inlineStr">
        <is>
          <t>Servicio de apoyo técnico a proyectos de educación ambiental y participación con enfoque diferencial</t>
        </is>
      </c>
      <c r="H174" t="inlineStr">
        <is>
          <t>320800700</t>
        </is>
      </c>
      <c r="I174" t="inlineStr">
        <is>
          <t>Proyectos de etnoeducación apoyados</t>
        </is>
      </c>
      <c r="J174" t="inlineStr">
        <is>
          <t>2024258170053</t>
        </is>
      </c>
      <c r="K174" t="inlineStr">
        <is>
          <t>Si</t>
        </is>
      </c>
      <c r="L174" t="inlineStr">
        <is>
          <t>Número</t>
        </is>
      </c>
      <c r="M174">
        <v>2</v>
      </c>
      <c r="N174">
        <v>0.5</v>
      </c>
      <c r="O174">
        <v>0.5</v>
      </c>
      <c r="P174">
        <v>0.5</v>
      </c>
      <c r="Q174">
        <v>0.5</v>
      </c>
      <c r="R174">
        <v>1</v>
      </c>
      <c r="S174" s="103">
        <v>2</v>
      </c>
      <c r="T174" t="inlineStr">
        <is>
          <t>Hubo ejecución por encima de lo programado en SisPT</t>
        </is>
      </c>
      <c r="U174">
        <v>0.25</v>
      </c>
      <c r="V174" s="104">
        <v>0.5</v>
      </c>
      <c r="W174" t="inlineStr">
        <is>
          <t>Lo ejecutado está por debajo de lo programado en la vigencia</t>
        </is>
      </c>
    </row>
    <row r="175">
      <c r="A175" t="inlineStr">
        <is>
          <t>IP-181</t>
        </is>
      </c>
      <c r="B175" t="inlineStr">
        <is>
          <t>41</t>
        </is>
      </c>
      <c r="C175" t="inlineStr">
        <is>
          <t xml:space="preserve">Inclusión social y reconciliación </t>
        </is>
      </c>
      <c r="D175" t="inlineStr">
        <is>
          <t>4103</t>
        </is>
      </c>
      <c r="E175" t="inlineStr">
        <is>
          <t>Inclusión social y productiva para la población en situación de vulnerabilidad</t>
        </is>
      </c>
      <c r="F175" t="inlineStr">
        <is>
          <t>4103009</t>
        </is>
      </c>
      <c r="G175" t="inlineStr">
        <is>
          <t>Servicio de asistencia en temas de desarrollo de habilidades no cognitivas para la inclusión productiva</t>
        </is>
      </c>
      <c r="H175" t="inlineStr">
        <is>
          <t>410300900</t>
        </is>
      </c>
      <c r="I175" t="inlineStr">
        <is>
          <t xml:space="preserve">Personas asistidas en temas  de desarrollo de habilidades no cognitivas </t>
        </is>
      </c>
      <c r="J175" t="inlineStr">
        <is>
          <t>202400000006709</t>
        </is>
      </c>
      <c r="K175" t="inlineStr">
        <is>
          <t>Si</t>
        </is>
      </c>
      <c r="L175" t="inlineStr">
        <is>
          <t>Número</t>
        </is>
      </c>
      <c r="M175">
        <v>1</v>
      </c>
      <c r="N175">
        <v>0.1</v>
      </c>
      <c r="O175">
        <v>0.3</v>
      </c>
      <c r="P175">
        <v>0.3</v>
      </c>
      <c r="Q175">
        <v>0.3</v>
      </c>
      <c r="R175" t="inlineStr">
        <is>
          <t xml:space="preserve"> </t>
        </is>
      </c>
      <c r="S175" s="103" t="inlineStr">
        <is>
          <t xml:space="preserve"> </t>
        </is>
      </c>
      <c r="T175" t="inlineStr">
        <is>
          <t>No se encontró ejecución en PIIP</t>
        </is>
      </c>
      <c r="U175" t="inlineStr">
        <is>
          <t xml:space="preserve"> </t>
        </is>
      </c>
      <c r="V175" s="104" t="inlineStr">
        <is>
          <t xml:space="preserve"> </t>
        </is>
      </c>
      <c r="W175" t="inlineStr">
        <is>
          <t>No se encontró ejecución en PIIP</t>
        </is>
      </c>
    </row>
    <row r="176">
      <c r="A176" t="inlineStr">
        <is>
          <t>IP-182</t>
        </is>
      </c>
      <c r="B176" t="inlineStr">
        <is>
          <t>41</t>
        </is>
      </c>
      <c r="C176" t="inlineStr">
        <is>
          <t xml:space="preserve">Inclusión social y reconciliación </t>
        </is>
      </c>
      <c r="D176" t="inlineStr">
        <is>
          <t>4104</t>
        </is>
      </c>
      <c r="E176" t="inlineStr">
        <is>
          <t>Atención integral de población en situación permanente de desprotección social y/o familiar</t>
        </is>
      </c>
      <c r="F176" t="inlineStr">
        <is>
          <t>4104026</t>
        </is>
      </c>
      <c r="G176" t="inlineStr">
        <is>
          <t>Servicio de articulación de oferta social para la población habitante de calle</t>
        </is>
      </c>
      <c r="H176" t="inlineStr">
        <is>
          <t>410402600</t>
        </is>
      </c>
      <c r="I176" t="inlineStr">
        <is>
          <t>Personas atendidas con oferta institucional</t>
        </is>
      </c>
      <c r="J176" t="inlineStr">
        <is>
          <t>202500000003385</t>
        </is>
      </c>
      <c r="K176" t="inlineStr">
        <is>
          <t>No</t>
        </is>
      </c>
      <c r="L176" t="inlineStr">
        <is>
          <t>Número</t>
        </is>
      </c>
      <c r="M176">
        <v>1</v>
      </c>
      <c r="N176">
        <v>1</v>
      </c>
      <c r="O176">
        <v>1</v>
      </c>
      <c r="P176">
        <v>1</v>
      </c>
      <c r="Q176">
        <v>1</v>
      </c>
      <c r="R176" t="inlineStr">
        <is>
          <t xml:space="preserve"> </t>
        </is>
      </c>
      <c r="S176" s="103" t="inlineStr">
        <is>
          <t xml:space="preserve"> </t>
        </is>
      </c>
      <c r="T176" t="inlineStr">
        <is>
          <t>No se encontró ejecución en PIIP</t>
        </is>
      </c>
      <c r="U176" t="inlineStr">
        <is>
          <t xml:space="preserve"> </t>
        </is>
      </c>
      <c r="V176" s="104" t="inlineStr">
        <is>
          <t xml:space="preserve"> </t>
        </is>
      </c>
      <c r="W176" t="inlineStr">
        <is>
          <t>No se encontró ejecución en PIIP</t>
        </is>
      </c>
    </row>
    <row r="177">
      <c r="A177" t="inlineStr">
        <is>
          <t>IP-183</t>
        </is>
      </c>
      <c r="B177" t="inlineStr">
        <is>
          <t>45</t>
        </is>
      </c>
      <c r="C177" t="inlineStr">
        <is>
          <t>Gobierno Territorial</t>
        </is>
      </c>
      <c r="D177" t="inlineStr">
        <is>
          <t>4501</t>
        </is>
      </c>
      <c r="E177" t="inlineStr">
        <is>
          <t>Fortalecimiento de la convivencia y la seguridad ciudadana</t>
        </is>
      </c>
      <c r="F177" t="inlineStr">
        <is>
          <t>4501006</t>
        </is>
      </c>
      <c r="G177" t="inlineStr">
        <is>
          <t>Servicio de protección individual en riesgo extraordinario y extremo</t>
        </is>
      </c>
      <c r="H177" t="inlineStr">
        <is>
          <t>450100600</t>
        </is>
      </c>
      <c r="I177" t="inlineStr">
        <is>
          <t>Personas en riesgo extraordinario y extremo protegidas</t>
        </is>
      </c>
      <c r="J177" t="inlineStr">
        <is>
          <t>2024258170021</t>
        </is>
      </c>
      <c r="K177" t="inlineStr">
        <is>
          <t>No</t>
        </is>
      </c>
      <c r="L177" t="inlineStr">
        <is>
          <t>Número</t>
        </is>
      </c>
      <c r="M177">
        <v>1</v>
      </c>
      <c r="N177">
        <v>1</v>
      </c>
      <c r="O177">
        <v>1</v>
      </c>
      <c r="P177">
        <v>1</v>
      </c>
      <c r="Q177">
        <v>1</v>
      </c>
      <c r="R177" t="inlineStr">
        <is>
          <t xml:space="preserve"> </t>
        </is>
      </c>
      <c r="S177" s="103" t="inlineStr">
        <is>
          <t xml:space="preserve"> </t>
        </is>
      </c>
      <c r="T177" t="inlineStr">
        <is>
          <t>No se encontró ejecución en PIIP</t>
        </is>
      </c>
      <c r="U177" t="inlineStr">
        <is>
          <t xml:space="preserve"> </t>
        </is>
      </c>
      <c r="V177" s="104" t="inlineStr">
        <is>
          <t xml:space="preserve"> </t>
        </is>
      </c>
      <c r="W177" t="inlineStr">
        <is>
          <t>No se encontró ejecución en PIIP</t>
        </is>
      </c>
    </row>
    <row r="178">
      <c r="A178" t="inlineStr">
        <is>
          <t>IP-184</t>
        </is>
      </c>
      <c r="B178" t="inlineStr">
        <is>
          <t>24</t>
        </is>
      </c>
      <c r="C178" t="inlineStr">
        <is>
          <t>Transporte</t>
        </is>
      </c>
      <c r="D178" t="inlineStr">
        <is>
          <t>2409</t>
        </is>
      </c>
      <c r="E178" t="inlineStr">
        <is>
          <t>Seguridad de transporte</t>
        </is>
      </c>
      <c r="F178" t="inlineStr">
        <is>
          <t>2409008</t>
        </is>
      </c>
      <c r="G178" t="inlineStr">
        <is>
          <t>Documentos de lineamientos técnicos</t>
        </is>
      </c>
      <c r="H178" t="inlineStr">
        <is>
          <t>240900800</t>
        </is>
      </c>
      <c r="I178" t="inlineStr">
        <is>
          <t>Documentos de lineamientos técnicos realizados</t>
        </is>
      </c>
      <c r="J178" t="inlineStr">
        <is>
          <t>202500000004852</t>
        </is>
      </c>
      <c r="K178" t="inlineStr">
        <is>
          <t>Si</t>
        </is>
      </c>
      <c r="L178" t="inlineStr">
        <is>
          <t>Número</t>
        </is>
      </c>
      <c r="M178">
        <v>1</v>
      </c>
      <c r="N178">
        <v>0.25</v>
      </c>
      <c r="O178">
        <v>0.25</v>
      </c>
      <c r="P178">
        <v>0.25</v>
      </c>
      <c r="Q178">
        <v>0.25</v>
      </c>
      <c r="R178" t="inlineStr">
        <is>
          <t xml:space="preserve"> </t>
        </is>
      </c>
      <c r="S178" s="103" t="inlineStr">
        <is>
          <t xml:space="preserve"> </t>
        </is>
      </c>
      <c r="T178" t="inlineStr">
        <is>
          <t>No se encontró ejecución en PIIP</t>
        </is>
      </c>
      <c r="U178" t="inlineStr">
        <is>
          <t xml:space="preserve"> </t>
        </is>
      </c>
      <c r="V178" s="104" t="inlineStr">
        <is>
          <t xml:space="preserve"> </t>
        </is>
      </c>
      <c r="W178" t="inlineStr">
        <is>
          <t>No se encontró ejecución en PIIP</t>
        </is>
      </c>
    </row>
    <row r="179">
      <c r="A179" t="inlineStr">
        <is>
          <t>IP-185</t>
        </is>
      </c>
      <c r="B179" t="inlineStr">
        <is>
          <t>21</t>
        </is>
      </c>
      <c r="C179" t="inlineStr">
        <is>
          <t>Minas y Energía</t>
        </is>
      </c>
      <c r="D179" t="inlineStr">
        <is>
          <t>2102</t>
        </is>
      </c>
      <c r="E179" t="inlineStr">
        <is>
          <t>Consolidación productiva del sector de energía eléctrica</t>
        </is>
      </c>
      <c r="F179" t="inlineStr">
        <is>
          <t>2102010</t>
        </is>
      </c>
      <c r="G179" t="inlineStr">
        <is>
          <t>Redes de alumbrado público ampliadas</t>
        </is>
      </c>
      <c r="H179" t="inlineStr">
        <is>
          <t>210201000</t>
        </is>
      </c>
      <c r="I179" t="inlineStr">
        <is>
          <t>Redes de alumbrado público ampliadas</t>
        </is>
      </c>
      <c r="J179" t="inlineStr">
        <is>
          <t>2024258170056</t>
        </is>
      </c>
      <c r="K179" t="inlineStr">
        <is>
          <t>Si</t>
        </is>
      </c>
      <c r="L179" t="inlineStr">
        <is>
          <t xml:space="preserve">Metros </t>
        </is>
      </c>
      <c r="M179">
        <v>200</v>
      </c>
      <c r="N179">
        <v>50</v>
      </c>
      <c r="O179">
        <v>50</v>
      </c>
      <c r="P179">
        <v>50</v>
      </c>
      <c r="Q179">
        <v>50</v>
      </c>
      <c r="R179" t="inlineStr">
        <is>
          <t xml:space="preserve"> </t>
        </is>
      </c>
      <c r="S179" s="103" t="inlineStr">
        <is>
          <t xml:space="preserve"> </t>
        </is>
      </c>
      <c r="T179" t="inlineStr">
        <is>
          <t>No se encontró ejecución en PIIP</t>
        </is>
      </c>
      <c r="U179" t="inlineStr">
        <is>
          <t xml:space="preserve"> </t>
        </is>
      </c>
      <c r="V179" s="104" t="inlineStr">
        <is>
          <t xml:space="preserve"> </t>
        </is>
      </c>
      <c r="W179" t="inlineStr">
        <is>
          <t>No se encontró ejecución en PIIP</t>
        </is>
      </c>
    </row>
    <row r="180">
      <c r="A180" t="inlineStr">
        <is>
          <t>IP-186</t>
        </is>
      </c>
      <c r="B180" t="inlineStr">
        <is>
          <t>17</t>
        </is>
      </c>
      <c r="C180" t="inlineStr">
        <is>
          <t xml:space="preserve">Agricultura y desarrollo rural
</t>
        </is>
      </c>
      <c r="D180" t="inlineStr">
        <is>
          <t>1702</t>
        </is>
      </c>
      <c r="E180" t="inlineStr">
        <is>
          <t>Inclusión productiva de pequeños productores rurales</t>
        </is>
      </c>
      <c r="F180" t="inlineStr">
        <is>
          <t>1702021</t>
        </is>
      </c>
      <c r="G180" t="inlineStr">
        <is>
          <t>Servicio de acompañamiento productivo y empresarial</t>
        </is>
      </c>
      <c r="H180" t="inlineStr">
        <is>
          <t>170202100</t>
        </is>
      </c>
      <c r="I180" t="inlineStr">
        <is>
          <t>Unidades productivas beneficiadas</t>
        </is>
      </c>
      <c r="J180" t="inlineStr">
        <is>
          <t>2024258170024</t>
        </is>
      </c>
      <c r="K180" t="inlineStr">
        <is>
          <t>No</t>
        </is>
      </c>
      <c r="L180" t="inlineStr">
        <is>
          <t>Número</t>
        </is>
      </c>
      <c r="M180">
        <v>100</v>
      </c>
      <c r="N180">
        <v>100</v>
      </c>
      <c r="O180">
        <v>100</v>
      </c>
      <c r="P180">
        <v>100</v>
      </c>
      <c r="Q180">
        <v>100</v>
      </c>
      <c r="R180">
        <v>250</v>
      </c>
      <c r="S180" s="103">
        <v>2.5</v>
      </c>
      <c r="T180" t="inlineStr">
        <is>
          <t>Hubo ejecución por encima de lo programado en SisPT</t>
        </is>
      </c>
      <c r="U180">
        <v>54</v>
      </c>
      <c r="V180" s="104">
        <v>0.54</v>
      </c>
      <c r="W180" t="inlineStr">
        <is>
          <t>Lo ejecutado está por debajo de lo programado en la vigencia</t>
        </is>
      </c>
    </row>
    <row r="181">
      <c r="A181" t="inlineStr">
        <is>
          <t>IP-187</t>
        </is>
      </c>
      <c r="B181" t="inlineStr">
        <is>
          <t>33</t>
        </is>
      </c>
      <c r="C181" t="inlineStr">
        <is>
          <t>Cultura</t>
        </is>
      </c>
      <c r="D181" t="inlineStr">
        <is>
          <t>3301</t>
        </is>
      </c>
      <c r="E181" t="inlineStr">
        <is>
          <t>Promoción y acceso efectivo a procesos culturales y artísticos</t>
        </is>
      </c>
      <c r="F181" t="inlineStr">
        <is>
          <t>3301095</t>
        </is>
      </c>
      <c r="G181" t="inlineStr">
        <is>
          <t>Servicio de asistencia técnica en gestión artística y cultural</t>
        </is>
      </c>
      <c r="H181" t="inlineStr">
        <is>
          <t>330109503</t>
        </is>
      </c>
      <c r="I181" t="inlineStr">
        <is>
          <t>Entidades territoriales asesoradas en gestión cultural</t>
        </is>
      </c>
      <c r="J181" t="inlineStr">
        <is>
          <t>2024258170016</t>
        </is>
      </c>
      <c r="K181" t="inlineStr">
        <is>
          <t>Si</t>
        </is>
      </c>
      <c r="L181" t="inlineStr">
        <is>
          <t>Número</t>
        </is>
      </c>
      <c r="M181">
        <v>100</v>
      </c>
      <c r="N181">
        <v>25</v>
      </c>
      <c r="O181">
        <v>25</v>
      </c>
      <c r="P181">
        <v>25</v>
      </c>
      <c r="Q181">
        <v>25</v>
      </c>
      <c r="R181" t="inlineStr">
        <is>
          <t xml:space="preserve"> </t>
        </is>
      </c>
      <c r="S181" s="103" t="inlineStr">
        <is>
          <t xml:space="preserve"> </t>
        </is>
      </c>
      <c r="T181" t="inlineStr">
        <is>
          <t>No se encontró ejecución en PIIP</t>
        </is>
      </c>
      <c r="U181" t="inlineStr">
        <is>
          <t xml:space="preserve"> </t>
        </is>
      </c>
      <c r="V181" s="104" t="inlineStr">
        <is>
          <t xml:space="preserve"> </t>
        </is>
      </c>
      <c r="W181" t="inlineStr">
        <is>
          <t>No se encontró ejecución en PIIP</t>
        </is>
      </c>
    </row>
    <row r="182">
      <c r="A182" t="inlineStr">
        <is>
          <t>IP-189</t>
        </is>
      </c>
      <c r="B182" t="inlineStr">
        <is>
          <t>40</t>
        </is>
      </c>
      <c r="C182" t="inlineStr">
        <is>
          <t>Vivienda, ciudad y territorio</t>
        </is>
      </c>
      <c r="D182" t="inlineStr">
        <is>
          <t>4003</t>
        </is>
      </c>
      <c r="E182" t="inlineStr">
        <is>
          <t>Acceso de la población a los servicios de agua potable y saneamiento básico</t>
        </is>
      </c>
      <c r="F182" t="inlineStr">
        <is>
          <t>4003012</t>
        </is>
      </c>
      <c r="G182" t="inlineStr">
        <is>
          <t>Soluciones de disposición final de residuos solidos construidas</t>
        </is>
      </c>
      <c r="H182" t="inlineStr">
        <is>
          <t>400301200</t>
        </is>
      </c>
      <c r="I182" t="inlineStr">
        <is>
          <t>Soluciones de disposición final de residuos solidos construidas</t>
        </is>
      </c>
      <c r="J182" t="inlineStr">
        <is>
          <t>2024258170057</t>
        </is>
      </c>
      <c r="K182" t="inlineStr">
        <is>
          <t>Si</t>
        </is>
      </c>
      <c r="L182" t="inlineStr">
        <is>
          <t>Número</t>
        </is>
      </c>
      <c r="M182">
        <v>1</v>
      </c>
      <c r="N182">
        <v>0.2</v>
      </c>
      <c r="O182">
        <v>0.4</v>
      </c>
      <c r="P182">
        <v>0.2</v>
      </c>
      <c r="Q182">
        <v>0.2</v>
      </c>
      <c r="R182" t="inlineStr">
        <is>
          <t xml:space="preserve"> </t>
        </is>
      </c>
      <c r="S182" s="103" t="inlineStr">
        <is>
          <t xml:space="preserve"> </t>
        </is>
      </c>
      <c r="T182" t="inlineStr">
        <is>
          <t>No se encontró ejecución en PIIP</t>
        </is>
      </c>
      <c r="U182" t="inlineStr">
        <is>
          <t xml:space="preserve"> </t>
        </is>
      </c>
      <c r="V182" s="104" t="inlineStr">
        <is>
          <t xml:space="preserve"> </t>
        </is>
      </c>
      <c r="W182" t="inlineStr">
        <is>
          <t>No se encontró ejecución en PIIP</t>
        </is>
      </c>
    </row>
    <row r="183">
      <c r="A183" t="inlineStr">
        <is>
          <t>IP-190</t>
        </is>
      </c>
      <c r="B183" t="inlineStr">
        <is>
          <t>40</t>
        </is>
      </c>
      <c r="C183" t="inlineStr">
        <is>
          <t>Vivienda, ciudad y territorio</t>
        </is>
      </c>
      <c r="D183" t="inlineStr">
        <is>
          <t>4003</t>
        </is>
      </c>
      <c r="E183" t="inlineStr">
        <is>
          <t>Acceso de la población a los servicios de agua potable y saneamiento básico</t>
        </is>
      </c>
      <c r="F183" t="inlineStr">
        <is>
          <t>4003009</t>
        </is>
      </c>
      <c r="G183" t="inlineStr">
        <is>
          <t>Servicio de Acueducto</t>
        </is>
      </c>
      <c r="H183" t="inlineStr">
        <is>
          <t>400300900</t>
        </is>
      </c>
      <c r="I183" t="inlineStr">
        <is>
          <t>Usuarios conectados a la red de servicio de acueducto</t>
        </is>
      </c>
      <c r="J183" t="inlineStr">
        <is>
          <t>202400000007000</t>
        </is>
      </c>
      <c r="K183" t="inlineStr">
        <is>
          <t>Si</t>
        </is>
      </c>
      <c r="L183" t="inlineStr">
        <is>
          <t>Número</t>
        </is>
      </c>
      <c r="M183">
        <v>1</v>
      </c>
      <c r="N183">
        <v>0.1</v>
      </c>
      <c r="O183">
        <v>0.4</v>
      </c>
      <c r="P183">
        <v>0.5</v>
      </c>
      <c r="Q183">
        <v>0.1</v>
      </c>
      <c r="R183" t="inlineStr">
        <is>
          <t xml:space="preserve"> </t>
        </is>
      </c>
      <c r="S183" s="103" t="inlineStr">
        <is>
          <t xml:space="preserve"> </t>
        </is>
      </c>
      <c r="T183" t="inlineStr">
        <is>
          <t>No se encontró ejecución en PIIP</t>
        </is>
      </c>
      <c r="U183" t="inlineStr">
        <is>
          <t xml:space="preserve"> </t>
        </is>
      </c>
      <c r="V183" s="104" t="inlineStr">
        <is>
          <t xml:space="preserve"> </t>
        </is>
      </c>
      <c r="W183" t="inlineStr">
        <is>
          <t>No se encontró ejecución en PIIP</t>
        </is>
      </c>
    </row>
    <row r="184">
      <c r="A184" t="inlineStr">
        <is>
          <t>IP-191</t>
        </is>
      </c>
      <c r="B184" t="inlineStr">
        <is>
          <t>45</t>
        </is>
      </c>
      <c r="C184" t="inlineStr">
        <is>
          <t>Gobierno Territorial</t>
        </is>
      </c>
      <c r="D184" t="inlineStr">
        <is>
          <t>4599</t>
        </is>
      </c>
      <c r="E184" t="inlineStr">
        <is>
          <t>Fortalecimiento a la gestión y dirección de la administración pública territorial</t>
        </is>
      </c>
      <c r="F184" t="inlineStr">
        <is>
          <t>4599011</t>
        </is>
      </c>
      <c r="G184" t="inlineStr">
        <is>
          <t>Sedes adecuadas</t>
        </is>
      </c>
      <c r="H184" t="inlineStr">
        <is>
          <t>459901100</t>
        </is>
      </c>
      <c r="I184" t="inlineStr">
        <is>
          <t>Sedes adecuadas</t>
        </is>
      </c>
      <c r="J184" t="inlineStr">
        <is>
          <t>2024258170033</t>
        </is>
      </c>
      <c r="K184" t="inlineStr">
        <is>
          <t>Si</t>
        </is>
      </c>
      <c r="L184" t="inlineStr">
        <is>
          <t>Número</t>
        </is>
      </c>
      <c r="M184">
        <v>1</v>
      </c>
      <c r="N184">
        <v>0.9</v>
      </c>
      <c r="O184">
        <v>0.1</v>
      </c>
      <c r="P184">
        <v>0</v>
      </c>
      <c r="Q184">
        <v>0</v>
      </c>
      <c r="R184" t="inlineStr">
        <is>
          <t xml:space="preserve"> </t>
        </is>
      </c>
      <c r="S184" s="103" t="inlineStr">
        <is>
          <t xml:space="preserve"> </t>
        </is>
      </c>
      <c r="T184" t="inlineStr">
        <is>
          <t>No se encontró ejecución en PIIP</t>
        </is>
      </c>
      <c r="U184" t="inlineStr">
        <is>
          <t xml:space="preserve"> </t>
        </is>
      </c>
      <c r="V184" s="104" t="inlineStr">
        <is>
          <t xml:space="preserve"> </t>
        </is>
      </c>
      <c r="W184" t="inlineStr">
        <is>
          <t>No se encontró ejecución en PIIP</t>
        </is>
      </c>
    </row>
    <row r="185">
      <c r="A185" t="inlineStr">
        <is>
          <t>IP-192</t>
        </is>
      </c>
      <c r="B185" t="inlineStr">
        <is>
          <t>45</t>
        </is>
      </c>
      <c r="C185" t="inlineStr">
        <is>
          <t>Gobierno Territorial</t>
        </is>
      </c>
      <c r="D185" t="inlineStr">
        <is>
          <t>4502</t>
        </is>
      </c>
      <c r="E185" t="inlineStr">
        <is>
          <t>Fortalecimiento del buen gobierno para el respeto y garantía de los derechos humanos.</t>
        </is>
      </c>
      <c r="F185" t="inlineStr">
        <is>
          <t>4502022</t>
        </is>
      </c>
      <c r="G185" t="inlineStr">
        <is>
          <t>Servicio de asistencia técnica</t>
        </is>
      </c>
      <c r="H185" t="inlineStr">
        <is>
          <t>450202200</t>
        </is>
      </c>
      <c r="I185" t="inlineStr">
        <is>
          <t>Instancias territoriales de coordinación institucional asistidas y apoyadas</t>
        </is>
      </c>
      <c r="J185" t="inlineStr">
        <is>
          <t>2024258170036</t>
        </is>
      </c>
      <c r="K185" t="inlineStr">
        <is>
          <t>Si</t>
        </is>
      </c>
      <c r="L185" t="inlineStr">
        <is>
          <t>Número</t>
        </is>
      </c>
      <c r="M185">
        <v>4</v>
      </c>
      <c r="N185">
        <v>1</v>
      </c>
      <c r="O185">
        <v>1</v>
      </c>
      <c r="P185">
        <v>1</v>
      </c>
      <c r="Q185">
        <v>1</v>
      </c>
      <c r="R185" t="inlineStr">
        <is>
          <t xml:space="preserve"> </t>
        </is>
      </c>
      <c r="S185" s="103" t="inlineStr">
        <is>
          <t xml:space="preserve"> </t>
        </is>
      </c>
      <c r="T185" t="inlineStr">
        <is>
          <t>No se encontró ejecución en PIIP</t>
        </is>
      </c>
      <c r="U185" t="inlineStr">
        <is>
          <t xml:space="preserve"> </t>
        </is>
      </c>
      <c r="V185" s="104" t="inlineStr">
        <is>
          <t xml:space="preserve"> </t>
        </is>
      </c>
      <c r="W185" t="inlineStr">
        <is>
          <t>No se encontró ejecución en PIIP</t>
        </is>
      </c>
    </row>
    <row r="186">
      <c r="A186" t="inlineStr">
        <is>
          <t>IP-193</t>
        </is>
      </c>
      <c r="B186" t="inlineStr">
        <is>
          <t>45</t>
        </is>
      </c>
      <c r="C186" t="inlineStr">
        <is>
          <t>Gobierno Territorial</t>
        </is>
      </c>
      <c r="D186" t="inlineStr">
        <is>
          <t>4501</t>
        </is>
      </c>
      <c r="E186" t="inlineStr">
        <is>
          <t>Fortalecimiento de la convivencia y la seguridad ciudadana</t>
        </is>
      </c>
      <c r="F186" t="inlineStr">
        <is>
          <t>4501031</t>
        </is>
      </c>
      <c r="G186" t="inlineStr">
        <is>
          <t>Documentos normativos</t>
        </is>
      </c>
      <c r="H186" t="inlineStr">
        <is>
          <t>450103100</t>
        </is>
      </c>
      <c r="I186" t="inlineStr">
        <is>
          <t>Documentos normativos realizados</t>
        </is>
      </c>
      <c r="J186" t="inlineStr">
        <is>
          <t>2024258170023</t>
        </is>
      </c>
      <c r="K186" t="inlineStr">
        <is>
          <t>Si</t>
        </is>
      </c>
      <c r="L186" t="inlineStr">
        <is>
          <t>Número</t>
        </is>
      </c>
      <c r="M186">
        <v>1</v>
      </c>
      <c r="N186">
        <v>0.2</v>
      </c>
      <c r="O186">
        <v>0.6</v>
      </c>
      <c r="P186">
        <v>0.1</v>
      </c>
      <c r="Q186">
        <v>0.1</v>
      </c>
      <c r="R186" t="inlineStr">
        <is>
          <t xml:space="preserve"> </t>
        </is>
      </c>
      <c r="S186" s="103" t="inlineStr">
        <is>
          <t xml:space="preserve"> </t>
        </is>
      </c>
      <c r="T186" t="inlineStr">
        <is>
          <t>No se encontró ejecución en PIIP</t>
        </is>
      </c>
      <c r="U186" t="inlineStr">
        <is>
          <t xml:space="preserve"> </t>
        </is>
      </c>
      <c r="V186" s="104" t="inlineStr">
        <is>
          <t xml:space="preserve"> </t>
        </is>
      </c>
      <c r="W186" t="inlineStr">
        <is>
          <t>No se encontró ejecución en PIIP</t>
        </is>
      </c>
    </row>
    <row r="187">
      <c r="A187" t="inlineStr">
        <is>
          <t>IP-194</t>
        </is>
      </c>
      <c r="B187" t="inlineStr">
        <is>
          <t>41</t>
        </is>
      </c>
      <c r="C187" t="inlineStr">
        <is>
          <t xml:space="preserve">Inclusión social y reconciliación </t>
        </is>
      </c>
      <c r="D187" t="inlineStr">
        <is>
          <t>4101</t>
        </is>
      </c>
      <c r="E187" t="inlineStr">
        <is>
          <t>Atención, asistencia y reparación integral a las víctimas</t>
        </is>
      </c>
      <c r="F187" t="inlineStr">
        <is>
          <t>4101073</t>
        </is>
      </c>
      <c r="G187" t="inlineStr">
        <is>
          <t>Servicio de apoyo para la generación de ingresos</t>
        </is>
      </c>
      <c r="H187" t="inlineStr">
        <is>
          <t>410107300</t>
        </is>
      </c>
      <c r="I187" t="inlineStr">
        <is>
          <t>Hogares con asistencia técnica para la generación de ingresos</t>
        </is>
      </c>
      <c r="J187" t="inlineStr">
        <is>
          <t>202400000006511</t>
        </is>
      </c>
      <c r="K187" t="inlineStr">
        <is>
          <t>Si</t>
        </is>
      </c>
      <c r="L187" t="inlineStr">
        <is>
          <t>Número</t>
        </is>
      </c>
      <c r="M187">
        <v>20</v>
      </c>
      <c r="N187">
        <v>5</v>
      </c>
      <c r="O187">
        <v>5</v>
      </c>
      <c r="P187">
        <v>5</v>
      </c>
      <c r="Q187">
        <v>5</v>
      </c>
      <c r="R187" t="inlineStr">
        <is>
          <t xml:space="preserve"> </t>
        </is>
      </c>
      <c r="S187" s="103" t="inlineStr">
        <is>
          <t xml:space="preserve"> </t>
        </is>
      </c>
      <c r="T187" t="inlineStr">
        <is>
          <t>No se encontró ejecución en PIIP</t>
        </is>
      </c>
      <c r="U187" t="inlineStr">
        <is>
          <t xml:space="preserve"> </t>
        </is>
      </c>
      <c r="V187" s="104" t="inlineStr">
        <is>
          <t xml:space="preserve"> </t>
        </is>
      </c>
      <c r="W187" t="inlineStr">
        <is>
          <t>No se encontró ejecución en PIIP</t>
        </is>
      </c>
    </row>
    <row r="188">
      <c r="A188" t="inlineStr">
        <is>
          <t>IP-195</t>
        </is>
      </c>
      <c r="B188" t="inlineStr">
        <is>
          <t>23</t>
        </is>
      </c>
      <c r="C188" t="inlineStr">
        <is>
          <t>Tecnologías de la información y las comunicaciones</t>
        </is>
      </c>
      <c r="D188" t="inlineStr">
        <is>
          <t>2301</t>
        </is>
      </c>
      <c r="E188" t="inlineStr">
        <is>
          <t>Facilitar el acceso y uso de las Tecnologías de la Información y las Comunicaciones (TIC) en todo el territorio nacional</t>
        </is>
      </c>
      <c r="F188" t="inlineStr">
        <is>
          <t>2301030</t>
        </is>
      </c>
      <c r="G188" t="inlineStr">
        <is>
          <t>Servicio de educación informal en tecnologías de la información y las comunicaciones.</t>
        </is>
      </c>
      <c r="H188" t="inlineStr">
        <is>
          <t>230103001</t>
        </is>
      </c>
      <c r="I188" t="inlineStr">
        <is>
          <t>Soluciones de Conectividad en Centros de Acceso Comunitario Instaladas</t>
        </is>
      </c>
      <c r="J188" t="inlineStr">
        <is>
          <t>202400000007305</t>
        </is>
      </c>
      <c r="K188" t="inlineStr">
        <is>
          <t>Si</t>
        </is>
      </c>
      <c r="L188" t="inlineStr">
        <is>
          <t>Número</t>
        </is>
      </c>
      <c r="M188">
        <v>8</v>
      </c>
      <c r="N188">
        <v>0.5</v>
      </c>
      <c r="O188">
        <v>4</v>
      </c>
      <c r="P188">
        <v>2</v>
      </c>
      <c r="Q188">
        <v>1.5</v>
      </c>
      <c r="R188" t="inlineStr">
        <is>
          <t xml:space="preserve"> </t>
        </is>
      </c>
      <c r="S188" s="103" t="inlineStr">
        <is>
          <t xml:space="preserve"> </t>
        </is>
      </c>
      <c r="T188" t="inlineStr">
        <is>
          <t>No se encontró ejecución en PIIP</t>
        </is>
      </c>
      <c r="U188" t="inlineStr">
        <is>
          <t xml:space="preserve"> </t>
        </is>
      </c>
      <c r="V188" s="104" t="inlineStr">
        <is>
          <t xml:space="preserve"> </t>
        </is>
      </c>
      <c r="W188" t="inlineStr">
        <is>
          <t>No se encontró ejecución en PIIP</t>
        </is>
      </c>
    </row>
    <row r="189">
      <c r="A189" t="inlineStr">
        <is>
          <t>IP-196</t>
        </is>
      </c>
      <c r="B189" t="inlineStr">
        <is>
          <t>17</t>
        </is>
      </c>
      <c r="C189" t="inlineStr">
        <is>
          <t xml:space="preserve">Agricultura y desarrollo rural
</t>
        </is>
      </c>
      <c r="D189" t="inlineStr">
        <is>
          <t>1702</t>
        </is>
      </c>
      <c r="E189" t="inlineStr">
        <is>
          <t>Inclusión productiva de pequeños productores rurales</t>
        </is>
      </c>
      <c r="F189" t="inlineStr">
        <is>
          <t>1702016</t>
        </is>
      </c>
      <c r="G189" t="inlineStr">
        <is>
          <t>Servicio de apoyo para el fomento de la asociatividad</t>
        </is>
      </c>
      <c r="H189" t="inlineStr">
        <is>
          <t>170201600</t>
        </is>
      </c>
      <c r="I189" t="inlineStr">
        <is>
          <t>Asociaciones apoyadas</t>
        </is>
      </c>
      <c r="J189" t="inlineStr">
        <is>
          <t>2024258170024</t>
        </is>
      </c>
      <c r="K189" t="inlineStr">
        <is>
          <t>No</t>
        </is>
      </c>
      <c r="L189" t="inlineStr">
        <is>
          <t>Número</t>
        </is>
      </c>
      <c r="M189">
        <v>100</v>
      </c>
      <c r="N189">
        <v>100</v>
      </c>
      <c r="O189">
        <v>100</v>
      </c>
      <c r="P189">
        <v>100</v>
      </c>
      <c r="Q189">
        <v>100</v>
      </c>
      <c r="R189">
        <v>20</v>
      </c>
      <c r="S189" s="103">
        <v>0.2</v>
      </c>
      <c r="T189" t="inlineStr">
        <is>
          <t>Lo ejecutado está por debajo de lo programado en la vigencia</t>
        </is>
      </c>
      <c r="U189" t="inlineStr">
        <is>
          <t xml:space="preserve"> </t>
        </is>
      </c>
      <c r="V189" s="104" t="inlineStr">
        <is>
          <t xml:space="preserve"> </t>
        </is>
      </c>
      <c r="W189" t="inlineStr">
        <is>
          <t>No se encontró ejecución en PIIP</t>
        </is>
      </c>
    </row>
    <row r="190">
      <c r="A190" t="inlineStr">
        <is>
          <t>IP-197</t>
        </is>
      </c>
      <c r="B190" t="inlineStr">
        <is>
          <t>41</t>
        </is>
      </c>
      <c r="C190" t="inlineStr">
        <is>
          <t xml:space="preserve">Inclusión social y reconciliación </t>
        </is>
      </c>
      <c r="D190" t="inlineStr">
        <is>
          <t>4101</t>
        </is>
      </c>
      <c r="E190" t="inlineStr">
        <is>
          <t>Atención, asistencia y reparación integral a las víctimas</t>
        </is>
      </c>
      <c r="F190" t="inlineStr">
        <is>
          <t>4101014</t>
        </is>
      </c>
      <c r="G190" t="inlineStr">
        <is>
          <t>Servicio de caracterización de la población víctima para su posterior atención, asistencia y reparación integral</t>
        </is>
      </c>
      <c r="H190" t="inlineStr">
        <is>
          <t>410101400</t>
        </is>
      </c>
      <c r="I190" t="inlineStr">
        <is>
          <t>Víctimas caracterizadas</t>
        </is>
      </c>
      <c r="J190" t="inlineStr">
        <is>
          <t>202400000006511</t>
        </is>
      </c>
      <c r="K190" t="inlineStr">
        <is>
          <t>No</t>
        </is>
      </c>
      <c r="L190" t="inlineStr">
        <is>
          <t>Número</t>
        </is>
      </c>
      <c r="M190">
        <v>100</v>
      </c>
      <c r="N190">
        <v>100</v>
      </c>
      <c r="O190">
        <v>100</v>
      </c>
      <c r="P190">
        <v>100</v>
      </c>
      <c r="Q190">
        <v>100</v>
      </c>
      <c r="R190" t="inlineStr">
        <is>
          <t xml:space="preserve"> </t>
        </is>
      </c>
      <c r="S190" s="103" t="inlineStr">
        <is>
          <t xml:space="preserve"> </t>
        </is>
      </c>
      <c r="T190" t="inlineStr">
        <is>
          <t>No se encontró ejecución en PIIP</t>
        </is>
      </c>
      <c r="U190">
        <v>502</v>
      </c>
      <c r="V190" s="104">
        <v>5.02</v>
      </c>
      <c r="W190" t="inlineStr">
        <is>
          <t>Hubo ejecución por encima de lo programado en SisPT</t>
        </is>
      </c>
    </row>
    <row r="191">
      <c r="A191" t="inlineStr">
        <is>
          <t>IP-198</t>
        </is>
      </c>
      <c r="B191" t="inlineStr">
        <is>
          <t>45</t>
        </is>
      </c>
      <c r="C191" t="inlineStr">
        <is>
          <t>Gobierno Territorial</t>
        </is>
      </c>
      <c r="D191" t="inlineStr">
        <is>
          <t>4502</t>
        </is>
      </c>
      <c r="E191" t="inlineStr">
        <is>
          <t>Fortalecimiento del buen gobierno para el respeto y garantía de los derechos humanos.</t>
        </is>
      </c>
      <c r="F191" t="inlineStr">
        <is>
          <t>4502001</t>
        </is>
      </c>
      <c r="G191" t="inlineStr">
        <is>
          <t>Servicio de promoción a la participación ciudadana</t>
        </is>
      </c>
      <c r="H191" t="inlineStr">
        <is>
          <t>450200112</t>
        </is>
      </c>
      <c r="I191" t="inlineStr">
        <is>
          <t>Estrategias para el fomento de a la participación de las mujeres en los espacios de participación política y de toma de decisión implementadas</t>
        </is>
      </c>
      <c r="J191" t="inlineStr">
        <is>
          <t>202400000006494</t>
        </is>
      </c>
      <c r="K191" t="inlineStr">
        <is>
          <t>No</t>
        </is>
      </c>
      <c r="L191" t="inlineStr">
        <is>
          <t>Número</t>
        </is>
      </c>
      <c r="M191">
        <v>1</v>
      </c>
      <c r="N191">
        <v>1</v>
      </c>
      <c r="O191">
        <v>1</v>
      </c>
      <c r="P191">
        <v>1</v>
      </c>
      <c r="Q191">
        <v>1</v>
      </c>
      <c r="R191" t="inlineStr">
        <is>
          <t xml:space="preserve"> </t>
        </is>
      </c>
      <c r="S191" s="103" t="inlineStr">
        <is>
          <t xml:space="preserve"> </t>
        </is>
      </c>
      <c r="T191" t="inlineStr">
        <is>
          <t>No se encontró ejecución en PIIP</t>
        </is>
      </c>
      <c r="U191" t="inlineStr">
        <is>
          <t xml:space="preserve"> </t>
        </is>
      </c>
      <c r="V191" s="104" t="inlineStr">
        <is>
          <t xml:space="preserve"> </t>
        </is>
      </c>
      <c r="W191" t="inlineStr">
        <is>
          <t>No se encontró ejecución en PIIP</t>
        </is>
      </c>
    </row>
    <row r="192">
      <c r="A192" t="inlineStr">
        <is>
          <t>IP-199</t>
        </is>
      </c>
      <c r="B192" t="inlineStr">
        <is>
          <t>40</t>
        </is>
      </c>
      <c r="C192" t="inlineStr">
        <is>
          <t>Vivienda, ciudad y territorio</t>
        </is>
      </c>
      <c r="D192" t="inlineStr">
        <is>
          <t>4003</t>
        </is>
      </c>
      <c r="E192" t="inlineStr">
        <is>
          <t>Acceso de la población a los servicios de agua potable y saneamiento básico</t>
        </is>
      </c>
      <c r="F192" t="inlineStr">
        <is>
          <t>4003018</t>
        </is>
      </c>
      <c r="G192" t="inlineStr">
        <is>
          <t>Alcantarillados construidos</t>
        </is>
      </c>
      <c r="H192" t="inlineStr">
        <is>
          <t>400301802</t>
        </is>
      </c>
      <c r="I192" t="inlineStr">
        <is>
          <t>Plantas de tratamiento de aguas residuales  construidas</t>
        </is>
      </c>
      <c r="J192" t="inlineStr">
        <is>
          <t>202400000006996</t>
        </is>
      </c>
      <c r="K192" t="inlineStr">
        <is>
          <t>Si</t>
        </is>
      </c>
      <c r="L192" t="inlineStr">
        <is>
          <t>Número</t>
        </is>
      </c>
      <c r="M192">
        <v>6</v>
      </c>
      <c r="N192">
        <v>1</v>
      </c>
      <c r="O192">
        <v>2</v>
      </c>
      <c r="P192">
        <v>2</v>
      </c>
      <c r="Q192">
        <v>1</v>
      </c>
      <c r="R192" t="inlineStr">
        <is>
          <t xml:space="preserve"> </t>
        </is>
      </c>
      <c r="S192" s="103" t="inlineStr">
        <is>
          <t xml:space="preserve"> </t>
        </is>
      </c>
      <c r="T192" t="inlineStr">
        <is>
          <t>No se encontró ejecución en PIIP</t>
        </is>
      </c>
      <c r="U192" t="inlineStr">
        <is>
          <t xml:space="preserve"> </t>
        </is>
      </c>
      <c r="V192" s="104" t="inlineStr">
        <is>
          <t xml:space="preserve"> </t>
        </is>
      </c>
      <c r="W192" t="inlineStr">
        <is>
          <t>No se encontró ejecución en PIIP</t>
        </is>
      </c>
    </row>
    <row r="193">
      <c r="A193" t="inlineStr">
        <is>
          <t>IP-200</t>
        </is>
      </c>
      <c r="B193" t="inlineStr">
        <is>
          <t>17</t>
        </is>
      </c>
      <c r="C193" t="inlineStr">
        <is>
          <t xml:space="preserve">Agricultura y desarrollo rural
</t>
        </is>
      </c>
      <c r="D193" t="inlineStr">
        <is>
          <t>1702</t>
        </is>
      </c>
      <c r="E193" t="inlineStr">
        <is>
          <t>Inclusión productiva de pequeños productores rurales</t>
        </is>
      </c>
      <c r="F193" t="inlineStr">
        <is>
          <t>1702014</t>
        </is>
      </c>
      <c r="G193" t="inlineStr">
        <is>
          <t>Servicio de apoyo para el acceso a maquinaria y equipos</t>
        </is>
      </c>
      <c r="H193" t="inlineStr">
        <is>
          <t>170201400</t>
        </is>
      </c>
      <c r="I193" t="inlineStr">
        <is>
          <t>Productores beneficiados con acceso a maquinaria y equipo</t>
        </is>
      </c>
      <c r="J193" t="inlineStr">
        <is>
          <t>2024258170024</t>
        </is>
      </c>
      <c r="K193" t="inlineStr">
        <is>
          <t>Si</t>
        </is>
      </c>
      <c r="L193" t="inlineStr">
        <is>
          <t>Número</t>
        </is>
      </c>
      <c r="M193">
        <v>150</v>
      </c>
      <c r="N193">
        <v>30</v>
      </c>
      <c r="O193">
        <v>40</v>
      </c>
      <c r="P193">
        <v>40</v>
      </c>
      <c r="Q193">
        <v>40</v>
      </c>
      <c r="R193">
        <v>35</v>
      </c>
      <c r="S193" s="103">
        <v>1.16666666666667</v>
      </c>
      <c r="T193" t="inlineStr">
        <is>
          <t>Hubo ejecución por encima de lo programado en SisPT</t>
        </is>
      </c>
      <c r="U193">
        <v>20</v>
      </c>
      <c r="V193" s="104">
        <v>0.5</v>
      </c>
      <c r="W193" t="inlineStr">
        <is>
          <t>Lo ejecutado está por debajo de lo programado en la vigencia</t>
        </is>
      </c>
    </row>
    <row r="194">
      <c r="A194" t="inlineStr">
        <is>
          <t>IP-201</t>
        </is>
      </c>
      <c r="B194" t="inlineStr">
        <is>
          <t>23</t>
        </is>
      </c>
      <c r="C194" t="inlineStr">
        <is>
          <t>Tecnologías de la información y las comunicaciones</t>
        </is>
      </c>
      <c r="D194" t="inlineStr">
        <is>
          <t>2302</t>
        </is>
      </c>
      <c r="E194" t="inlineStr">
        <is>
          <t>Fomento del desarrollo de aplicaciones, software y contenidos para impulsar la apropiación de las Tecnologías de la Información y las Comunicaciones (TIC)</t>
        </is>
      </c>
      <c r="F194" t="inlineStr">
        <is>
          <t>2302057</t>
        </is>
      </c>
      <c r="G194" t="inlineStr">
        <is>
          <t>Servicio de difusión para el uso responsable de las Tecnologías de la Información y las Comunicaciones</t>
        </is>
      </c>
      <c r="H194" t="inlineStr">
        <is>
          <t>230205700</t>
        </is>
      </c>
      <c r="I194" t="inlineStr">
        <is>
          <t>Eventos de difusión para el uso responsable de las TIC realizados</t>
        </is>
      </c>
      <c r="J194" t="inlineStr">
        <is>
          <t>202400000007305</t>
        </is>
      </c>
      <c r="K194" t="inlineStr">
        <is>
          <t>Si</t>
        </is>
      </c>
      <c r="L194" t="inlineStr">
        <is>
          <t>Número</t>
        </is>
      </c>
      <c r="M194">
        <v>4</v>
      </c>
      <c r="N194">
        <v>0.5</v>
      </c>
      <c r="O194">
        <v>1</v>
      </c>
      <c r="P194">
        <v>1</v>
      </c>
      <c r="Q194">
        <v>1.5</v>
      </c>
      <c r="R194" t="inlineStr">
        <is>
          <t xml:space="preserve"> </t>
        </is>
      </c>
      <c r="S194" s="103" t="inlineStr">
        <is>
          <t xml:space="preserve"> </t>
        </is>
      </c>
      <c r="T194" t="inlineStr">
        <is>
          <t>No se encontró ejecución en PIIP</t>
        </is>
      </c>
      <c r="U194" t="inlineStr">
        <is>
          <t xml:space="preserve"> </t>
        </is>
      </c>
      <c r="V194" s="104" t="inlineStr">
        <is>
          <t xml:space="preserve"> </t>
        </is>
      </c>
      <c r="W194" t="inlineStr">
        <is>
          <t>No se encontró ejecución en PIIP</t>
        </is>
      </c>
    </row>
    <row r="195">
      <c r="A195" t="inlineStr">
        <is>
          <t>IP-202</t>
        </is>
      </c>
      <c r="B195" t="inlineStr">
        <is>
          <t>33</t>
        </is>
      </c>
      <c r="C195" t="inlineStr">
        <is>
          <t>Cultura</t>
        </is>
      </c>
      <c r="D195" t="inlineStr">
        <is>
          <t>3301</t>
        </is>
      </c>
      <c r="E195" t="inlineStr">
        <is>
          <t>Promoción y acceso efectivo a procesos culturales y artísticos</t>
        </is>
      </c>
      <c r="F195" t="inlineStr">
        <is>
          <t>3301073</t>
        </is>
      </c>
      <c r="G195" t="inlineStr">
        <is>
          <t>Servicio de circulación artística y cultural</t>
        </is>
      </c>
      <c r="H195" t="inlineStr">
        <is>
          <t>330107300</t>
        </is>
      </c>
      <c r="I195" t="inlineStr">
        <is>
          <t>Contenidos culturales  en circulación</t>
        </is>
      </c>
      <c r="J195" t="inlineStr">
        <is>
          <t>2024258170016</t>
        </is>
      </c>
      <c r="K195" t="inlineStr">
        <is>
          <t>Si</t>
        </is>
      </c>
      <c r="L195" t="inlineStr">
        <is>
          <t>Número</t>
        </is>
      </c>
      <c r="M195">
        <v>261</v>
      </c>
      <c r="N195">
        <v>65</v>
      </c>
      <c r="O195">
        <v>65</v>
      </c>
      <c r="P195">
        <v>65</v>
      </c>
      <c r="Q195">
        <v>66</v>
      </c>
      <c r="R195">
        <v>0</v>
      </c>
      <c r="S195" s="103">
        <v>0</v>
      </c>
      <c r="T195" t="inlineStr">
        <is>
          <t>No se ejecutó en la vigencia</t>
        </is>
      </c>
      <c r="U195">
        <v>359</v>
      </c>
      <c r="V195" s="104">
        <v>5.52307692307692</v>
      </c>
      <c r="W195" t="inlineStr">
        <is>
          <t>Hubo ejecución por encima de lo programado en SisPT</t>
        </is>
      </c>
    </row>
    <row r="196">
      <c r="A196" t="inlineStr">
        <is>
          <t>IP-203</t>
        </is>
      </c>
      <c r="B196" t="inlineStr">
        <is>
          <t>04</t>
        </is>
      </c>
      <c r="C196" t="inlineStr">
        <is>
          <t>Información Estadística</t>
        </is>
      </c>
      <c r="D196" t="inlineStr">
        <is>
          <t>0406</t>
        </is>
      </c>
      <c r="E196" t="inlineStr">
        <is>
          <t>Generación de la información geográfica del territorio nacional</t>
        </is>
      </c>
      <c r="F196" t="inlineStr">
        <is>
          <t>0406009</t>
        </is>
      </c>
      <c r="G196" t="inlineStr">
        <is>
          <t xml:space="preserve">Documentos de estudios técnicos </t>
        </is>
      </c>
      <c r="H196" t="inlineStr">
        <is>
          <t>040600900</t>
        </is>
      </c>
      <c r="I196" t="inlineStr">
        <is>
          <t>Documentos de estudios técnicos realizados</t>
        </is>
      </c>
      <c r="J196" t="inlineStr">
        <is>
          <t>202500000034910</t>
        </is>
      </c>
      <c r="K196" t="inlineStr">
        <is>
          <t>No</t>
        </is>
      </c>
      <c r="L196" t="inlineStr">
        <is>
          <t>Número</t>
        </is>
      </c>
      <c r="M196">
        <v>1</v>
      </c>
      <c r="N196">
        <v>0</v>
      </c>
      <c r="O196">
        <v>0</v>
      </c>
      <c r="P196">
        <v>1</v>
      </c>
      <c r="Q196">
        <v>0</v>
      </c>
      <c r="R196" t="inlineStr">
        <is>
          <t xml:space="preserve"> </t>
        </is>
      </c>
      <c r="S196" s="103" t="inlineStr">
        <is>
          <t xml:space="preserve"> </t>
        </is>
      </c>
      <c r="T196" t="inlineStr">
        <is>
          <t>No se encontró ejecución en PIIP</t>
        </is>
      </c>
      <c r="U196" t="inlineStr">
        <is>
          <t xml:space="preserve"> </t>
        </is>
      </c>
      <c r="V196" s="104" t="inlineStr">
        <is>
          <t xml:space="preserve"> </t>
        </is>
      </c>
      <c r="W196" t="inlineStr">
        <is>
          <t>No se encontró ejecución en PIIP</t>
        </is>
      </c>
    </row>
    <row r="197">
      <c r="A197" t="inlineStr">
        <is>
          <t>IP-204</t>
        </is>
      </c>
      <c r="B197" t="inlineStr">
        <is>
          <t>22</t>
        </is>
      </c>
      <c r="C197" t="inlineStr">
        <is>
          <t>Educación</t>
        </is>
      </c>
      <c r="D197" t="inlineStr">
        <is>
          <t>2201</t>
        </is>
      </c>
      <c r="E197" t="inlineStr">
        <is>
          <t>Calidad, cobertura y fortalecimiento de la educación inicial, prescolar, básica y media</t>
        </is>
      </c>
      <c r="F197" t="inlineStr">
        <is>
          <t>2201069</t>
        </is>
      </c>
      <c r="G197" t="inlineStr">
        <is>
          <t>Infraestructura educativa dotada</t>
        </is>
      </c>
      <c r="H197" t="inlineStr">
        <is>
          <t>220106900</t>
        </is>
      </c>
      <c r="I197" t="inlineStr">
        <is>
          <t>Sedes dotadas</t>
        </is>
      </c>
      <c r="J197" t="inlineStr">
        <is>
          <t>202400000005692</t>
        </is>
      </c>
      <c r="K197" t="inlineStr">
        <is>
          <t>Si</t>
        </is>
      </c>
      <c r="L197" t="inlineStr">
        <is>
          <t>Número</t>
        </is>
      </c>
      <c r="M197">
        <v>100</v>
      </c>
      <c r="N197">
        <v>5</v>
      </c>
      <c r="O197">
        <v>75</v>
      </c>
      <c r="P197">
        <v>20</v>
      </c>
      <c r="Q197">
        <v>0</v>
      </c>
      <c r="R197" t="inlineStr">
        <is>
          <t xml:space="preserve"> </t>
        </is>
      </c>
      <c r="S197" s="103" t="inlineStr">
        <is>
          <t xml:space="preserve"> </t>
        </is>
      </c>
      <c r="T197" t="inlineStr">
        <is>
          <t>No se encontró ejecución en PIIP</t>
        </is>
      </c>
      <c r="U197" t="inlineStr">
        <is>
          <t xml:space="preserve"> </t>
        </is>
      </c>
      <c r="V197" s="104" t="inlineStr">
        <is>
          <t xml:space="preserve"> </t>
        </is>
      </c>
      <c r="W197" t="inlineStr">
        <is>
          <t>No se encontró ejecución en PIIP</t>
        </is>
      </c>
    </row>
    <row r="198">
      <c r="A198" t="inlineStr">
        <is>
          <t>IP-205</t>
        </is>
      </c>
      <c r="B198" t="inlineStr">
        <is>
          <t>35</t>
        </is>
      </c>
      <c r="C198" t="inlineStr">
        <is>
          <t>Comercio, industria y turismo</t>
        </is>
      </c>
      <c r="D198" t="inlineStr">
        <is>
          <t>3502</t>
        </is>
      </c>
      <c r="E198" t="inlineStr">
        <is>
          <t>Productividad y competitividad de las empresas colombianas</t>
        </is>
      </c>
      <c r="F198" t="inlineStr">
        <is>
          <t>3502003</t>
        </is>
      </c>
      <c r="G198" t="inlineStr">
        <is>
          <t>Servicio de asistencia técnica para el fortalecimiento de capacidades gerenciales</t>
        </is>
      </c>
      <c r="H198" t="inlineStr">
        <is>
          <t>350200300</t>
        </is>
      </c>
      <c r="I198" t="inlineStr">
        <is>
          <t>Programas de gestión empresarial ejecutados en unidades productivas</t>
        </is>
      </c>
      <c r="J198" t="inlineStr">
        <is>
          <t>202400000006193</t>
        </is>
      </c>
      <c r="K198" t="inlineStr">
        <is>
          <t>No</t>
        </is>
      </c>
      <c r="L198" t="inlineStr">
        <is>
          <t>Número</t>
        </is>
      </c>
      <c r="M198">
        <v>1</v>
      </c>
      <c r="N198">
        <v>1</v>
      </c>
      <c r="O198">
        <v>1</v>
      </c>
      <c r="P198">
        <v>1</v>
      </c>
      <c r="Q198">
        <v>1</v>
      </c>
      <c r="R198" t="inlineStr">
        <is>
          <t xml:space="preserve"> </t>
        </is>
      </c>
      <c r="S198" s="103" t="inlineStr">
        <is>
          <t xml:space="preserve"> </t>
        </is>
      </c>
      <c r="T198" t="inlineStr">
        <is>
          <t>No se encontró ejecución en PIIP</t>
        </is>
      </c>
      <c r="U198">
        <v>0.6663</v>
      </c>
      <c r="V198" s="104">
        <v>0.6663</v>
      </c>
      <c r="W198" t="inlineStr">
        <is>
          <t>Lo ejecutado está por debajo de lo programado en la vigencia</t>
        </is>
      </c>
    </row>
    <row r="199">
      <c r="A199" t="inlineStr">
        <is>
          <t>IP-206</t>
        </is>
      </c>
      <c r="B199" t="inlineStr">
        <is>
          <t>33</t>
        </is>
      </c>
      <c r="C199" t="inlineStr">
        <is>
          <t>Cultura</t>
        </is>
      </c>
      <c r="D199" t="inlineStr">
        <is>
          <t>3301</t>
        </is>
      </c>
      <c r="E199" t="inlineStr">
        <is>
          <t>Promoción y acceso efectivo a procesos culturales y artísticos</t>
        </is>
      </c>
      <c r="F199" t="inlineStr">
        <is>
          <t>3301088</t>
        </is>
      </c>
      <c r="G199" t="inlineStr">
        <is>
          <t>Centros culturales construidos</t>
        </is>
      </c>
      <c r="H199" t="inlineStr">
        <is>
          <t>330108800</t>
        </is>
      </c>
      <c r="I199" t="inlineStr">
        <is>
          <t>Centros culturales construidos</t>
        </is>
      </c>
      <c r="J199" t="inlineStr">
        <is>
          <t>2024258170033</t>
        </is>
      </c>
      <c r="K199" t="inlineStr">
        <is>
          <t>Si</t>
        </is>
      </c>
      <c r="L199" t="inlineStr">
        <is>
          <t>Número</t>
        </is>
      </c>
      <c r="M199">
        <v>1</v>
      </c>
      <c r="N199">
        <v>0.25</v>
      </c>
      <c r="O199">
        <v>0.25</v>
      </c>
      <c r="P199">
        <v>0.25</v>
      </c>
      <c r="Q199">
        <v>0.25</v>
      </c>
      <c r="R199" t="inlineStr">
        <is>
          <t xml:space="preserve"> </t>
        </is>
      </c>
      <c r="S199" s="103" t="inlineStr">
        <is>
          <t xml:space="preserve"> </t>
        </is>
      </c>
      <c r="T199" t="inlineStr">
        <is>
          <t>No se encontró ejecución en PIIP</t>
        </is>
      </c>
      <c r="U199" t="inlineStr">
        <is>
          <t xml:space="preserve"> </t>
        </is>
      </c>
      <c r="V199" s="104" t="inlineStr">
        <is>
          <t xml:space="preserve"> </t>
        </is>
      </c>
      <c r="W199" t="inlineStr">
        <is>
          <t>No se encontró ejecución en PIIP</t>
        </is>
      </c>
    </row>
    <row r="200">
      <c r="A200" t="inlineStr">
        <is>
          <t>IP-207</t>
        </is>
      </c>
      <c r="B200" t="inlineStr">
        <is>
          <t>45</t>
        </is>
      </c>
      <c r="C200" t="inlineStr">
        <is>
          <t>Gobierno Territorial</t>
        </is>
      </c>
      <c r="D200" t="inlineStr">
        <is>
          <t>4502</t>
        </is>
      </c>
      <c r="E200" t="inlineStr">
        <is>
          <t>Fortalecimiento del buen gobierno para el respeto y garantía de los derechos humanos.</t>
        </is>
      </c>
      <c r="F200" t="inlineStr">
        <is>
          <t>4502038</t>
        </is>
      </c>
      <c r="G200" t="inlineStr">
        <is>
          <t>Servicio de promoción de la garantía de derechos</t>
        </is>
      </c>
      <c r="H200" t="inlineStr">
        <is>
          <t>450203800</t>
        </is>
      </c>
      <c r="I200" t="inlineStr">
        <is>
          <t>Estrategias de promoción de la garantía de derechos implementadas</t>
        </is>
      </c>
      <c r="J200" t="inlineStr">
        <is>
          <t>202400000006494</t>
        </is>
      </c>
      <c r="K200" t="inlineStr">
        <is>
          <t>No</t>
        </is>
      </c>
      <c r="L200" t="inlineStr">
        <is>
          <t>Número</t>
        </is>
      </c>
      <c r="M200">
        <v>1</v>
      </c>
      <c r="N200">
        <v>1</v>
      </c>
      <c r="O200">
        <v>1</v>
      </c>
      <c r="P200">
        <v>1</v>
      </c>
      <c r="Q200">
        <v>1</v>
      </c>
      <c r="R200" t="inlineStr">
        <is>
          <t xml:space="preserve"> </t>
        </is>
      </c>
      <c r="S200" s="103" t="inlineStr">
        <is>
          <t xml:space="preserve"> </t>
        </is>
      </c>
      <c r="T200" t="inlineStr">
        <is>
          <t>No se encontró ejecución en PIIP</t>
        </is>
      </c>
      <c r="U200" t="inlineStr">
        <is>
          <t xml:space="preserve"> </t>
        </is>
      </c>
      <c r="V200" s="104" t="inlineStr">
        <is>
          <t xml:space="preserve"> </t>
        </is>
      </c>
      <c r="W200" t="inlineStr">
        <is>
          <t>No se encontró ejecución en PIIP</t>
        </is>
      </c>
    </row>
    <row r="201">
      <c r="A201" t="inlineStr">
        <is>
          <t>IP-208</t>
        </is>
      </c>
      <c r="B201" t="inlineStr">
        <is>
          <t>41</t>
        </is>
      </c>
      <c r="C201" t="inlineStr">
        <is>
          <t xml:space="preserve">Inclusión social y reconciliación </t>
        </is>
      </c>
      <c r="D201" t="inlineStr">
        <is>
          <t>4102</t>
        </is>
      </c>
      <c r="E201" t="inlineStr">
        <is>
          <t>Desarrollo integral de la primera infancia a la juventud, y fortalecimiento de las capacidades de las familias de niñas, niños y adolescentes</t>
        </is>
      </c>
      <c r="F201" t="inlineStr">
        <is>
          <t>4102051</t>
        </is>
      </c>
      <c r="G201" t="inlineStr">
        <is>
          <t>Documentos de planeación</t>
        </is>
      </c>
      <c r="H201" t="inlineStr">
        <is>
          <t>410205100</t>
        </is>
      </c>
      <c r="I201" t="inlineStr">
        <is>
          <t>Documentos de planeación elaborados</t>
        </is>
      </c>
      <c r="J201" t="inlineStr">
        <is>
          <t>202400000006514</t>
        </is>
      </c>
      <c r="K201" t="inlineStr">
        <is>
          <t>No</t>
        </is>
      </c>
      <c r="L201" t="inlineStr">
        <is>
          <t>Número</t>
        </is>
      </c>
      <c r="M201">
        <v>1</v>
      </c>
      <c r="N201">
        <v>0</v>
      </c>
      <c r="O201">
        <v>1</v>
      </c>
      <c r="P201">
        <v>0</v>
      </c>
      <c r="Q201">
        <v>0</v>
      </c>
      <c r="R201" t="inlineStr">
        <is>
          <t xml:space="preserve"> </t>
        </is>
      </c>
      <c r="S201" s="103" t="inlineStr">
        <is>
          <t xml:space="preserve"> </t>
        </is>
      </c>
      <c r="T201" t="inlineStr">
        <is>
          <t>No se encontró ejecución en PIIP</t>
        </is>
      </c>
      <c r="U201" t="inlineStr">
        <is>
          <t xml:space="preserve"> </t>
        </is>
      </c>
      <c r="V201" s="104" t="inlineStr">
        <is>
          <t xml:space="preserve"> </t>
        </is>
      </c>
      <c r="W201" t="inlineStr">
        <is>
          <t>No se encontró ejecución en PIIP</t>
        </is>
      </c>
    </row>
    <row r="202">
      <c r="A202" t="inlineStr">
        <is>
          <t>IP-209</t>
        </is>
      </c>
      <c r="B202" t="inlineStr">
        <is>
          <t>43</t>
        </is>
      </c>
      <c r="C202" t="inlineStr">
        <is>
          <t>Deporte y Recreación</t>
        </is>
      </c>
      <c r="D202" t="inlineStr">
        <is>
          <t>4301</t>
        </is>
      </c>
      <c r="E202" t="inlineStr">
        <is>
          <t>Fomento a la recreación, la actividad física y el deporte para desarrollar entornos de convivencia y paz</t>
        </is>
      </c>
      <c r="F202" t="inlineStr">
        <is>
          <t>4301037</t>
        </is>
      </c>
      <c r="G202" t="inlineStr">
        <is>
          <t>Servicio de promoción de la actividad física, la recreación y el deporte</t>
        </is>
      </c>
      <c r="H202" t="inlineStr">
        <is>
          <t>430103704</t>
        </is>
      </c>
      <c r="I202" t="inlineStr">
        <is>
          <t>Municipios implementando  programas de recreación, actividad física y deporte social comunitario</t>
        </is>
      </c>
      <c r="J202" t="inlineStr">
        <is>
          <t/>
        </is>
      </c>
      <c r="K202" t="inlineStr">
        <is>
          <t>Si</t>
        </is>
      </c>
      <c r="L202" t="inlineStr">
        <is>
          <t>Número</t>
        </is>
      </c>
      <c r="M202">
        <v>4</v>
      </c>
      <c r="N202">
        <v>1</v>
      </c>
      <c r="O202">
        <v>1</v>
      </c>
      <c r="P202">
        <v>1</v>
      </c>
      <c r="Q202">
        <v>1</v>
      </c>
      <c r="R202" t="inlineStr">
        <is>
          <t xml:space="preserve"> </t>
        </is>
      </c>
      <c r="S202" s="103" t="inlineStr">
        <is>
          <t xml:space="preserve"> </t>
        </is>
      </c>
      <c r="T202" t="inlineStr">
        <is>
          <t>Por falta de código BPIN, no se encontró ejecución en PIIP</t>
        </is>
      </c>
      <c r="U202" t="inlineStr">
        <is>
          <t xml:space="preserve"> </t>
        </is>
      </c>
      <c r="V202" s="104" t="inlineStr">
        <is>
          <t xml:space="preserve"> </t>
        </is>
      </c>
      <c r="W202" t="inlineStr">
        <is>
          <t>Por falta de código BPIN, no se encontró ejecución en PIIP</t>
        </is>
      </c>
    </row>
    <row r="203">
      <c r="A203" t="inlineStr">
        <is>
          <t>IP-210</t>
        </is>
      </c>
      <c r="B203" t="inlineStr">
        <is>
          <t>32</t>
        </is>
      </c>
      <c r="C203" t="inlineStr">
        <is>
          <t>Ambiente y desarrollo sostenible</t>
        </is>
      </c>
      <c r="D203" t="inlineStr">
        <is>
          <t>3202</t>
        </is>
      </c>
      <c r="E203" t="inlineStr">
        <is>
          <t>Conservación de la biodiversidad y sus servicios ecosistémicos</t>
        </is>
      </c>
      <c r="F203" t="inlineStr">
        <is>
          <t>3202038</t>
        </is>
      </c>
      <c r="G203" t="inlineStr">
        <is>
          <t>Servicio de producción de plántulas en viveros</t>
        </is>
      </c>
      <c r="H203" t="inlineStr">
        <is>
          <t>320203800</t>
        </is>
      </c>
      <c r="I203" t="inlineStr">
        <is>
          <t>Plántulas producidas</t>
        </is>
      </c>
      <c r="J203" t="inlineStr">
        <is>
          <t>2024258170026</t>
        </is>
      </c>
      <c r="K203" t="inlineStr">
        <is>
          <t>Si</t>
        </is>
      </c>
      <c r="L203" t="inlineStr">
        <is>
          <t>Número</t>
        </is>
      </c>
      <c r="M203">
        <v>15000</v>
      </c>
      <c r="N203">
        <v>4000</v>
      </c>
      <c r="O203">
        <v>4000</v>
      </c>
      <c r="P203">
        <v>4000</v>
      </c>
      <c r="Q203">
        <v>3000</v>
      </c>
      <c r="R203">
        <v>9608</v>
      </c>
      <c r="S203" s="103">
        <v>2.402</v>
      </c>
      <c r="T203" t="inlineStr">
        <is>
          <t>Hubo ejecución por encima de lo programado en SisPT</t>
        </is>
      </c>
      <c r="U203">
        <v>3033</v>
      </c>
      <c r="V203" s="104">
        <v>0.75825</v>
      </c>
      <c r="W203" t="inlineStr">
        <is>
          <t>Lo ejecutado está por debajo de lo programado en la vigencia</t>
        </is>
      </c>
    </row>
    <row r="204">
      <c r="A204" t="inlineStr">
        <is>
          <t>IP-211</t>
        </is>
      </c>
      <c r="B204" t="inlineStr">
        <is>
          <t>35</t>
        </is>
      </c>
      <c r="C204" t="inlineStr">
        <is>
          <t>Comercio, industria y turismo</t>
        </is>
      </c>
      <c r="D204" t="inlineStr">
        <is>
          <t>3502</t>
        </is>
      </c>
      <c r="E204" t="inlineStr">
        <is>
          <t>Productividad y competitividad de las empresas colombianas</t>
        </is>
      </c>
      <c r="F204" t="inlineStr">
        <is>
          <t>3502017</t>
        </is>
      </c>
      <c r="G204" t="inlineStr">
        <is>
          <t>Servicio de asistencia técnica para emprendedores y/o empresas en edad temprana</t>
        </is>
      </c>
      <c r="H204" t="inlineStr">
        <is>
          <t>350201700</t>
        </is>
      </c>
      <c r="I204" t="inlineStr">
        <is>
          <t>Empresas asistidas técnicamente</t>
        </is>
      </c>
      <c r="J204" t="inlineStr">
        <is>
          <t>2024258170013</t>
        </is>
      </c>
      <c r="K204" t="inlineStr">
        <is>
          <t>Si</t>
        </is>
      </c>
      <c r="L204" t="inlineStr">
        <is>
          <t>Número</t>
        </is>
      </c>
      <c r="M204">
        <v>30</v>
      </c>
      <c r="N204">
        <v>5</v>
      </c>
      <c r="O204">
        <v>10</v>
      </c>
      <c r="P204">
        <v>10</v>
      </c>
      <c r="Q204">
        <v>5</v>
      </c>
      <c r="R204">
        <v>3</v>
      </c>
      <c r="S204" s="103">
        <v>0.6</v>
      </c>
      <c r="T204" t="inlineStr">
        <is>
          <t>Lo ejecutado está por debajo de lo programado en la vigencia</t>
        </is>
      </c>
      <c r="U204">
        <v>5</v>
      </c>
      <c r="V204" s="104">
        <v>0.5</v>
      </c>
      <c r="W204" t="inlineStr">
        <is>
          <t>Lo ejecutado está por debajo de lo programado en la vigencia</t>
        </is>
      </c>
    </row>
    <row r="205">
      <c r="A205" t="inlineStr">
        <is>
          <t>IP-212</t>
        </is>
      </c>
      <c r="B205" t="inlineStr">
        <is>
          <t>19</t>
        </is>
      </c>
      <c r="C205" t="inlineStr">
        <is>
          <t>Salud y protección social</t>
        </is>
      </c>
      <c r="D205" t="inlineStr">
        <is>
          <t>1905</t>
        </is>
      </c>
      <c r="E205" t="inlineStr">
        <is>
          <t>Salud pública</t>
        </is>
      </c>
      <c r="F205" t="inlineStr">
        <is>
          <t>1905015</t>
        </is>
      </c>
      <c r="G205" t="inlineStr">
        <is>
          <t>Documentos de planeación</t>
        </is>
      </c>
      <c r="H205" t="inlineStr">
        <is>
          <t>190501504</t>
        </is>
      </c>
      <c r="I205" t="inlineStr">
        <is>
          <t>Planes de intervenciones colectivas realizados</t>
        </is>
      </c>
      <c r="J205" t="inlineStr">
        <is>
          <t>2024258170054</t>
        </is>
      </c>
      <c r="K205" t="inlineStr">
        <is>
          <t>No</t>
        </is>
      </c>
      <c r="L205" t="inlineStr">
        <is>
          <t>Número</t>
        </is>
      </c>
      <c r="M205">
        <v>1</v>
      </c>
      <c r="N205">
        <v>1</v>
      </c>
      <c r="O205">
        <v>1</v>
      </c>
      <c r="P205">
        <v>1</v>
      </c>
      <c r="Q205">
        <v>1</v>
      </c>
      <c r="R205" t="inlineStr">
        <is>
          <t xml:space="preserve"> </t>
        </is>
      </c>
      <c r="S205" s="103" t="inlineStr">
        <is>
          <t xml:space="preserve"> </t>
        </is>
      </c>
      <c r="T205" t="inlineStr">
        <is>
          <t>No se encontró ejecución en PIIP</t>
        </is>
      </c>
      <c r="U205" t="inlineStr">
        <is>
          <t xml:space="preserve"> </t>
        </is>
      </c>
      <c r="V205" s="104" t="inlineStr">
        <is>
          <t xml:space="preserve"> </t>
        </is>
      </c>
      <c r="W205" t="inlineStr">
        <is>
          <t>No se encontró ejecución en PIIP</t>
        </is>
      </c>
    </row>
    <row r="206">
      <c r="A206" t="inlineStr">
        <is>
          <t>IP-213</t>
        </is>
      </c>
      <c r="B206" t="inlineStr">
        <is>
          <t>40</t>
        </is>
      </c>
      <c r="C206" t="inlineStr">
        <is>
          <t>Vivienda, ciudad y territorio</t>
        </is>
      </c>
      <c r="D206" t="inlineStr">
        <is>
          <t>4002</t>
        </is>
      </c>
      <c r="E206" t="inlineStr">
        <is>
          <t>Ordenamiento territorial y desarrollo urbano</t>
        </is>
      </c>
      <c r="F206" t="inlineStr">
        <is>
          <t>4002020</t>
        </is>
      </c>
      <c r="G206" t="inlineStr">
        <is>
          <t>Espacio publico adecuado</t>
        </is>
      </c>
      <c r="H206" t="inlineStr">
        <is>
          <t>400202001</t>
        </is>
      </c>
      <c r="I206" t="inlineStr">
        <is>
          <t>Andenes mantenidos</t>
        </is>
      </c>
      <c r="J206" t="inlineStr">
        <is>
          <t/>
        </is>
      </c>
      <c r="K206" t="inlineStr">
        <is>
          <t>Si</t>
        </is>
      </c>
      <c r="L206" t="inlineStr">
        <is>
          <t>Metros lineales</t>
        </is>
      </c>
      <c r="M206">
        <v>30000</v>
      </c>
      <c r="N206">
        <v>0</v>
      </c>
      <c r="O206">
        <v>5000</v>
      </c>
      <c r="P206">
        <v>10000</v>
      </c>
      <c r="Q206">
        <v>15000</v>
      </c>
      <c r="R206" t="inlineStr">
        <is>
          <t xml:space="preserve"> </t>
        </is>
      </c>
      <c r="S206" s="103" t="inlineStr">
        <is>
          <t xml:space="preserve"> </t>
        </is>
      </c>
      <c r="T206" t="inlineStr">
        <is>
          <t>Por falta de código BPIN, no se encontró ejecución en PIIP</t>
        </is>
      </c>
      <c r="U206" t="inlineStr">
        <is>
          <t xml:space="preserve"> </t>
        </is>
      </c>
      <c r="V206" s="104" t="inlineStr">
        <is>
          <t xml:space="preserve"> </t>
        </is>
      </c>
      <c r="W206" t="inlineStr">
        <is>
          <t>Por falta de código BPIN, no se encontró ejecución en PIIP</t>
        </is>
      </c>
    </row>
    <row r="207">
      <c r="A207" t="inlineStr">
        <is>
          <t>IP-214</t>
        </is>
      </c>
      <c r="B207" t="inlineStr">
        <is>
          <t>41</t>
        </is>
      </c>
      <c r="C207" t="inlineStr">
        <is>
          <t xml:space="preserve">Inclusión social y reconciliación </t>
        </is>
      </c>
      <c r="D207" t="inlineStr">
        <is>
          <t>4103</t>
        </is>
      </c>
      <c r="E207" t="inlineStr">
        <is>
          <t>Inclusión social y productiva para la población en situación de vulnerabilidad</t>
        </is>
      </c>
      <c r="F207" t="inlineStr">
        <is>
          <t>4103027</t>
        </is>
      </c>
      <c r="G207" t="inlineStr">
        <is>
          <t>Centros comunitarios adecuados</t>
        </is>
      </c>
      <c r="H207" t="inlineStr">
        <is>
          <t>410302700</t>
        </is>
      </c>
      <c r="I207" t="inlineStr">
        <is>
          <t>Centros comunitarios adecuados</t>
        </is>
      </c>
      <c r="J207" t="inlineStr">
        <is>
          <t>202400000006486</t>
        </is>
      </c>
      <c r="K207" t="inlineStr">
        <is>
          <t>Si</t>
        </is>
      </c>
      <c r="L207" t="inlineStr">
        <is>
          <t>Número</t>
        </is>
      </c>
      <c r="M207">
        <v>8</v>
      </c>
      <c r="N207">
        <v>4</v>
      </c>
      <c r="O207">
        <v>0</v>
      </c>
      <c r="P207">
        <v>4</v>
      </c>
      <c r="Q207">
        <v>0</v>
      </c>
      <c r="R207" t="inlineStr">
        <is>
          <t xml:space="preserve"> </t>
        </is>
      </c>
      <c r="S207" s="103" t="inlineStr">
        <is>
          <t xml:space="preserve"> </t>
        </is>
      </c>
      <c r="T207" t="inlineStr">
        <is>
          <t>No se encontró ejecución en PIIP</t>
        </is>
      </c>
      <c r="U207" t="inlineStr">
        <is>
          <t xml:space="preserve"> </t>
        </is>
      </c>
      <c r="V207" s="104" t="inlineStr">
        <is>
          <t xml:space="preserve"> </t>
        </is>
      </c>
      <c r="W207" t="inlineStr">
        <is>
          <t>No se encontró ejecución en PIIP</t>
        </is>
      </c>
    </row>
    <row r="208">
      <c r="A208" t="inlineStr">
        <is>
          <t>IP-215</t>
        </is>
      </c>
      <c r="B208" t="inlineStr">
        <is>
          <t>19</t>
        </is>
      </c>
      <c r="C208" t="inlineStr">
        <is>
          <t>Salud y protección social</t>
        </is>
      </c>
      <c r="D208" t="inlineStr">
        <is>
          <t>1905</t>
        </is>
      </c>
      <c r="E208" t="inlineStr">
        <is>
          <t>Salud pública</t>
        </is>
      </c>
      <c r="F208" t="inlineStr">
        <is>
          <t>1905024</t>
        </is>
      </c>
      <c r="G208" t="inlineStr">
        <is>
          <t>Servicio de gestión del riesgo para abordar situaciones de salud relacionadas con condiciones ambientales</t>
        </is>
      </c>
      <c r="H208" t="inlineStr">
        <is>
          <t>190502402</t>
        </is>
      </c>
      <c r="I208" t="inlineStr">
        <is>
          <t>Estrategias de gestión del riesgo para abordar situaciones de salud relacionadas con condiciones ambientales implementadas</t>
        </is>
      </c>
      <c r="J208" t="inlineStr">
        <is>
          <t>2024258170054</t>
        </is>
      </c>
      <c r="K208" t="inlineStr">
        <is>
          <t>No</t>
        </is>
      </c>
      <c r="L208" t="inlineStr">
        <is>
          <t>Número</t>
        </is>
      </c>
      <c r="M208">
        <v>4</v>
      </c>
      <c r="N208">
        <v>4</v>
      </c>
      <c r="O208">
        <v>4</v>
      </c>
      <c r="P208">
        <v>4</v>
      </c>
      <c r="Q208">
        <v>4</v>
      </c>
      <c r="R208" t="inlineStr">
        <is>
          <t xml:space="preserve"> </t>
        </is>
      </c>
      <c r="S208" s="103" t="inlineStr">
        <is>
          <t xml:space="preserve"> </t>
        </is>
      </c>
      <c r="T208" t="inlineStr">
        <is>
          <t>No se encontró ejecución en PIIP</t>
        </is>
      </c>
      <c r="U208" t="inlineStr">
        <is>
          <t xml:space="preserve"> </t>
        </is>
      </c>
      <c r="V208" s="104" t="inlineStr">
        <is>
          <t xml:space="preserve"> </t>
        </is>
      </c>
      <c r="W208" t="inlineStr">
        <is>
          <t>No se encontró ejecución en PIIP</t>
        </is>
      </c>
    </row>
    <row r="209">
      <c r="A209" t="inlineStr">
        <is>
          <t>IP-216</t>
        </is>
      </c>
      <c r="B209" t="inlineStr">
        <is>
          <t>41</t>
        </is>
      </c>
      <c r="C209" t="inlineStr">
        <is>
          <t xml:space="preserve">Inclusión social y reconciliación </t>
        </is>
      </c>
      <c r="D209" t="inlineStr">
        <is>
          <t>4103</t>
        </is>
      </c>
      <c r="E209" t="inlineStr">
        <is>
          <t>Inclusión social y productiva para la población en situación de vulnerabilidad</t>
        </is>
      </c>
      <c r="F209" t="inlineStr">
        <is>
          <t>4103026</t>
        </is>
      </c>
      <c r="G209" t="inlineStr">
        <is>
          <t>Centros comunitarios ampliados</t>
        </is>
      </c>
      <c r="H209" t="inlineStr">
        <is>
          <t>410302600</t>
        </is>
      </c>
      <c r="I209" t="inlineStr">
        <is>
          <t>Centros comunitarios ampliados</t>
        </is>
      </c>
      <c r="J209" t="inlineStr">
        <is>
          <t>202400000006486</t>
        </is>
      </c>
      <c r="K209" t="inlineStr">
        <is>
          <t>Si</t>
        </is>
      </c>
      <c r="L209" t="inlineStr">
        <is>
          <t>Número</t>
        </is>
      </c>
      <c r="M209">
        <v>1</v>
      </c>
      <c r="N209">
        <v>0.6</v>
      </c>
      <c r="O209">
        <v>0.2</v>
      </c>
      <c r="P209">
        <v>0.2</v>
      </c>
      <c r="Q209">
        <v>0</v>
      </c>
      <c r="R209" t="inlineStr">
        <is>
          <t xml:space="preserve"> </t>
        </is>
      </c>
      <c r="S209" s="103" t="inlineStr">
        <is>
          <t xml:space="preserve"> </t>
        </is>
      </c>
      <c r="T209" t="inlineStr">
        <is>
          <t>No se encontró ejecución en PIIP</t>
        </is>
      </c>
      <c r="U209" t="inlineStr">
        <is>
          <t xml:space="preserve"> </t>
        </is>
      </c>
      <c r="V209" s="104" t="inlineStr">
        <is>
          <t xml:space="preserve"> </t>
        </is>
      </c>
      <c r="W209" t="inlineStr">
        <is>
          <t>No se encontró ejecución en PIIP</t>
        </is>
      </c>
    </row>
    <row r="210">
      <c r="A210" t="inlineStr">
        <is>
          <t>IP-217</t>
        </is>
      </c>
      <c r="B210" t="inlineStr">
        <is>
          <t>41</t>
        </is>
      </c>
      <c r="C210" t="inlineStr">
        <is>
          <t xml:space="preserve">Inclusión social y reconciliación </t>
        </is>
      </c>
      <c r="D210" t="inlineStr">
        <is>
          <t>4104</t>
        </is>
      </c>
      <c r="E210" t="inlineStr">
        <is>
          <t>Atención integral de población en situación permanente de desprotección social y/o familiar</t>
        </is>
      </c>
      <c r="F210" t="inlineStr">
        <is>
          <t>4104010</t>
        </is>
      </c>
      <c r="G210" t="inlineStr">
        <is>
          <t>Servicio de educación informal a los cuidadores del adulto mayor</t>
        </is>
      </c>
      <c r="H210" t="inlineStr">
        <is>
          <t>410401000</t>
        </is>
      </c>
      <c r="I210" t="inlineStr">
        <is>
          <t>Cuidadores cualificados</t>
        </is>
      </c>
      <c r="J210" t="inlineStr">
        <is>
          <t>202500000003427</t>
        </is>
      </c>
      <c r="K210" t="inlineStr">
        <is>
          <t>No</t>
        </is>
      </c>
      <c r="L210" t="inlineStr">
        <is>
          <t>Número</t>
        </is>
      </c>
      <c r="M210">
        <v>1</v>
      </c>
      <c r="N210">
        <v>1</v>
      </c>
      <c r="O210">
        <v>1</v>
      </c>
      <c r="P210">
        <v>1</v>
      </c>
      <c r="Q210">
        <v>1</v>
      </c>
      <c r="R210" t="inlineStr">
        <is>
          <t xml:space="preserve"> </t>
        </is>
      </c>
      <c r="S210" s="103" t="inlineStr">
        <is>
          <t xml:space="preserve"> </t>
        </is>
      </c>
      <c r="T210" t="inlineStr">
        <is>
          <t>No se encontró ejecución en PIIP</t>
        </is>
      </c>
      <c r="U210" t="inlineStr">
        <is>
          <t xml:space="preserve"> </t>
        </is>
      </c>
      <c r="V210" s="104" t="inlineStr">
        <is>
          <t xml:space="preserve"> </t>
        </is>
      </c>
      <c r="W210" t="inlineStr">
        <is>
          <t>No se encontró ejecución en PIIP</t>
        </is>
      </c>
    </row>
    <row r="211">
      <c r="A211" t="inlineStr">
        <is>
          <t>IP-218</t>
        </is>
      </c>
      <c r="B211" t="inlineStr">
        <is>
          <t>40</t>
        </is>
      </c>
      <c r="C211" t="inlineStr">
        <is>
          <t>Vivienda, ciudad y territorio</t>
        </is>
      </c>
      <c r="D211" t="inlineStr">
        <is>
          <t>4003</t>
        </is>
      </c>
      <c r="E211" t="inlineStr">
        <is>
          <t>Acceso de la población a los servicios de agua potable y saneamiento básico</t>
        </is>
      </c>
      <c r="F211" t="inlineStr">
        <is>
          <t>4003016</t>
        </is>
      </c>
      <c r="G211" t="inlineStr">
        <is>
          <t>Acueductos ampliados</t>
        </is>
      </c>
      <c r="H211" t="inlineStr">
        <is>
          <t>400301602</t>
        </is>
      </c>
      <c r="I211" t="inlineStr">
        <is>
          <t>Plantas de tratamiento de agua potable ampliadas</t>
        </is>
      </c>
      <c r="J211" t="inlineStr">
        <is>
          <t>202400000007000</t>
        </is>
      </c>
      <c r="K211" t="inlineStr">
        <is>
          <t>Si</t>
        </is>
      </c>
      <c r="L211" t="inlineStr">
        <is>
          <t>Número</t>
        </is>
      </c>
      <c r="M211">
        <v>1</v>
      </c>
      <c r="N211">
        <v>0</v>
      </c>
      <c r="O211">
        <v>0.7</v>
      </c>
      <c r="P211">
        <v>0.3</v>
      </c>
      <c r="Q211">
        <v>0</v>
      </c>
      <c r="R211" t="inlineStr">
        <is>
          <t xml:space="preserve"> </t>
        </is>
      </c>
      <c r="S211" s="103" t="inlineStr">
        <is>
          <t xml:space="preserve"> </t>
        </is>
      </c>
      <c r="T211" t="inlineStr">
        <is>
          <t>No se encontró ejecución en PIIP</t>
        </is>
      </c>
      <c r="U211" t="inlineStr">
        <is>
          <t xml:space="preserve"> </t>
        </is>
      </c>
      <c r="V211" s="104" t="inlineStr">
        <is>
          <t xml:space="preserve"> </t>
        </is>
      </c>
      <c r="W211" t="inlineStr">
        <is>
          <t>No se encontró ejecución en PIIP</t>
        </is>
      </c>
    </row>
    <row r="212">
      <c r="A212" t="inlineStr">
        <is>
          <t>IP-219</t>
        </is>
      </c>
      <c r="B212" t="inlineStr">
        <is>
          <t>24</t>
        </is>
      </c>
      <c r="C212" t="inlineStr">
        <is>
          <t>Transporte</t>
        </is>
      </c>
      <c r="D212" t="inlineStr">
        <is>
          <t>2402</t>
        </is>
      </c>
      <c r="E212" t="inlineStr">
        <is>
          <t>Infraestructura red vial regional</t>
        </is>
      </c>
      <c r="F212" t="inlineStr">
        <is>
          <t>2402110</t>
        </is>
      </c>
      <c r="G212" t="inlineStr">
        <is>
          <t>Terminales de transporte construidas</t>
        </is>
      </c>
      <c r="H212" t="inlineStr">
        <is>
          <t>240211000</t>
        </is>
      </c>
      <c r="I212" t="inlineStr">
        <is>
          <t>Terminales de transporte construidas</t>
        </is>
      </c>
      <c r="J212" t="inlineStr">
        <is>
          <t/>
        </is>
      </c>
      <c r="K212" t="inlineStr">
        <is>
          <t>No</t>
        </is>
      </c>
      <c r="L212" t="inlineStr">
        <is>
          <t>Número</t>
        </is>
      </c>
      <c r="M212">
        <v>1</v>
      </c>
      <c r="N212">
        <v>0</v>
      </c>
      <c r="O212">
        <v>0</v>
      </c>
      <c r="P212">
        <v>1</v>
      </c>
      <c r="Q212">
        <v>0</v>
      </c>
      <c r="R212" t="inlineStr">
        <is>
          <t xml:space="preserve"> </t>
        </is>
      </c>
      <c r="S212" s="103" t="inlineStr">
        <is>
          <t xml:space="preserve"> </t>
        </is>
      </c>
      <c r="T212" t="inlineStr">
        <is>
          <t>Por falta de código BPIN, no se encontró ejecución en PIIP</t>
        </is>
      </c>
      <c r="U212" t="inlineStr">
        <is>
          <t xml:space="preserve"> </t>
        </is>
      </c>
      <c r="V212" s="104" t="inlineStr">
        <is>
          <t xml:space="preserve"> </t>
        </is>
      </c>
      <c r="W212" t="inlineStr">
        <is>
          <t>Por falta de código BPIN, no se encontró ejecución en PIIP</t>
        </is>
      </c>
    </row>
    <row r="213">
      <c r="A213" t="inlineStr">
        <is>
          <t>IP-220</t>
        </is>
      </c>
      <c r="B213" t="inlineStr">
        <is>
          <t>45</t>
        </is>
      </c>
      <c r="C213" t="inlineStr">
        <is>
          <t>Gobierno Territorial</t>
        </is>
      </c>
      <c r="D213" t="inlineStr">
        <is>
          <t>4503</t>
        </is>
      </c>
      <c r="E213" t="inlineStr">
        <is>
          <t>Gestión del riesgo de desastres y emergencias</t>
        </is>
      </c>
      <c r="F213" t="inlineStr">
        <is>
          <t>4503004</t>
        </is>
      </c>
      <c r="G213" t="inlineStr">
        <is>
          <t>Servicio de atención a emergencias y desastres</t>
        </is>
      </c>
      <c r="H213" t="inlineStr">
        <is>
          <t>450300400</t>
        </is>
      </c>
      <c r="I213" t="inlineStr">
        <is>
          <t>Emergencias y desastres atendidas</t>
        </is>
      </c>
      <c r="J213" t="inlineStr">
        <is>
          <t>202400000007122</t>
        </is>
      </c>
      <c r="K213" t="inlineStr">
        <is>
          <t>No</t>
        </is>
      </c>
      <c r="L213" t="inlineStr">
        <is>
          <t>Número</t>
        </is>
      </c>
      <c r="M213">
        <v>100</v>
      </c>
      <c r="N213">
        <v>100</v>
      </c>
      <c r="O213">
        <v>100</v>
      </c>
      <c r="P213">
        <v>100</v>
      </c>
      <c r="Q213">
        <v>100</v>
      </c>
      <c r="R213" t="inlineStr">
        <is>
          <t xml:space="preserve"> </t>
        </is>
      </c>
      <c r="S213" s="103" t="inlineStr">
        <is>
          <t xml:space="preserve"> </t>
        </is>
      </c>
      <c r="T213" t="inlineStr">
        <is>
          <t>No se encontró ejecución en PIIP</t>
        </is>
      </c>
      <c r="U213" t="inlineStr">
        <is>
          <t xml:space="preserve"> </t>
        </is>
      </c>
      <c r="V213" s="104" t="inlineStr">
        <is>
          <t xml:space="preserve"> </t>
        </is>
      </c>
      <c r="W213" t="inlineStr">
        <is>
          <t>No se encontró ejecución en PIIP</t>
        </is>
      </c>
    </row>
    <row r="214">
      <c r="A214" t="inlineStr">
        <is>
          <t>IP-221</t>
        </is>
      </c>
      <c r="B214" t="inlineStr">
        <is>
          <t>43</t>
        </is>
      </c>
      <c r="C214" t="inlineStr">
        <is>
          <t>Deporte y Recreación</t>
        </is>
      </c>
      <c r="D214" t="inlineStr">
        <is>
          <t>4301</t>
        </is>
      </c>
      <c r="E214" t="inlineStr">
        <is>
          <t>Fomento a la recreación, la actividad física y el deporte para desarrollar entornos de convivencia y paz</t>
        </is>
      </c>
      <c r="F214" t="inlineStr">
        <is>
          <t>4301003</t>
        </is>
      </c>
      <c r="G214" t="inlineStr">
        <is>
          <t>Servicio de administración de la infraestructura deportiva</t>
        </is>
      </c>
      <c r="H214" t="inlineStr">
        <is>
          <t>430100300</t>
        </is>
      </c>
      <c r="I214" t="inlineStr">
        <is>
          <t>Infraestructura deportiva en operación</t>
        </is>
      </c>
      <c r="J214" t="inlineStr">
        <is>
          <t>2024258170020</t>
        </is>
      </c>
      <c r="K214" t="inlineStr">
        <is>
          <t>Si</t>
        </is>
      </c>
      <c r="L214" t="inlineStr">
        <is>
          <t>Número</t>
        </is>
      </c>
      <c r="M214">
        <v>5</v>
      </c>
      <c r="N214">
        <v>1</v>
      </c>
      <c r="O214">
        <v>2</v>
      </c>
      <c r="P214">
        <v>1</v>
      </c>
      <c r="Q214">
        <v>1</v>
      </c>
      <c r="R214">
        <v>0</v>
      </c>
      <c r="S214" s="103">
        <v>0</v>
      </c>
      <c r="T214" t="inlineStr">
        <is>
          <t>No se ejecutó en la vigencia</t>
        </is>
      </c>
      <c r="U214">
        <v>0</v>
      </c>
      <c r="V214" s="104">
        <v>0</v>
      </c>
      <c r="W214" t="inlineStr">
        <is>
          <t>No se ejecutó en la vigencia</t>
        </is>
      </c>
    </row>
    <row r="215">
      <c r="A215" t="inlineStr">
        <is>
          <t>IP-222</t>
        </is>
      </c>
      <c r="B215" t="inlineStr">
        <is>
          <t>35</t>
        </is>
      </c>
      <c r="C215" t="inlineStr">
        <is>
          <t>Comercio, industria y turismo</t>
        </is>
      </c>
      <c r="D215" t="inlineStr">
        <is>
          <t>3502</t>
        </is>
      </c>
      <c r="E215" t="inlineStr">
        <is>
          <t>Productividad y competitividad de las empresas colombianas</t>
        </is>
      </c>
      <c r="F215" t="inlineStr">
        <is>
          <t>3502015</t>
        </is>
      </c>
      <c r="G215" t="inlineStr">
        <is>
          <t>Servicio para la formalización empresarial y de productos y/o Servicio</t>
        </is>
      </c>
      <c r="H215" t="inlineStr">
        <is>
          <t>350201500</t>
        </is>
      </c>
      <c r="I215" t="inlineStr">
        <is>
          <t>Empresas asistidas técnicamente en temas de legalidad y/o formalización.</t>
        </is>
      </c>
      <c r="J215" t="inlineStr">
        <is>
          <t>202400000006193</t>
        </is>
      </c>
      <c r="K215" t="inlineStr">
        <is>
          <t>Si</t>
        </is>
      </c>
      <c r="L215" t="inlineStr">
        <is>
          <t>Número</t>
        </is>
      </c>
      <c r="M215">
        <v>100</v>
      </c>
      <c r="N215">
        <v>25</v>
      </c>
      <c r="O215">
        <v>25</v>
      </c>
      <c r="P215">
        <v>25</v>
      </c>
      <c r="Q215">
        <v>25</v>
      </c>
      <c r="R215" t="inlineStr">
        <is>
          <t xml:space="preserve"> </t>
        </is>
      </c>
      <c r="S215" s="103" t="inlineStr">
        <is>
          <t xml:space="preserve"> </t>
        </is>
      </c>
      <c r="T215" t="inlineStr">
        <is>
          <t>No se encontró ejecución en PIIP</t>
        </is>
      </c>
      <c r="U215">
        <v>0</v>
      </c>
      <c r="V215" s="104">
        <v>0</v>
      </c>
      <c r="W215" t="inlineStr">
        <is>
          <t>No se ejecutó en la vigencia</t>
        </is>
      </c>
    </row>
    <row r="216">
      <c r="A216" t="inlineStr">
        <is>
          <t>IP-223</t>
        </is>
      </c>
      <c r="B216" t="inlineStr">
        <is>
          <t>24</t>
        </is>
      </c>
      <c r="C216" t="inlineStr">
        <is>
          <t>Transporte</t>
        </is>
      </c>
      <c r="D216" t="inlineStr">
        <is>
          <t>2402</t>
        </is>
      </c>
      <c r="E216" t="inlineStr">
        <is>
          <t>Infraestructura red vial regional</t>
        </is>
      </c>
      <c r="F216" t="inlineStr">
        <is>
          <t>2402125</t>
        </is>
      </c>
      <c r="G216" t="inlineStr">
        <is>
          <t>Banco de maquinaria dotado</t>
        </is>
      </c>
      <c r="H216" t="inlineStr">
        <is>
          <t>240212500</t>
        </is>
      </c>
      <c r="I216" t="inlineStr">
        <is>
          <t>Maquinaria y equipos adquiridos</t>
        </is>
      </c>
      <c r="J216" t="inlineStr">
        <is>
          <t>202400000006693</t>
        </is>
      </c>
      <c r="K216" t="inlineStr">
        <is>
          <t>No</t>
        </is>
      </c>
      <c r="L216" t="inlineStr">
        <is>
          <t>Número</t>
        </is>
      </c>
      <c r="M216">
        <v>1</v>
      </c>
      <c r="N216">
        <v>0</v>
      </c>
      <c r="O216">
        <v>1</v>
      </c>
      <c r="P216">
        <v>0</v>
      </c>
      <c r="Q216">
        <v>0</v>
      </c>
      <c r="R216" t="inlineStr">
        <is>
          <t xml:space="preserve"> </t>
        </is>
      </c>
      <c r="S216" s="103" t="inlineStr">
        <is>
          <t xml:space="preserve"> </t>
        </is>
      </c>
      <c r="T216" t="inlineStr">
        <is>
          <t>No se encontró ejecución en PIIP</t>
        </is>
      </c>
      <c r="U216" t="inlineStr">
        <is>
          <t xml:space="preserve"> </t>
        </is>
      </c>
      <c r="V216" s="104" t="inlineStr">
        <is>
          <t xml:space="preserve"> </t>
        </is>
      </c>
      <c r="W216" t="inlineStr">
        <is>
          <t>No se encontró ejecución en PIIP</t>
        </is>
      </c>
    </row>
    <row r="217">
      <c r="A217" t="inlineStr">
        <is>
          <t>IP-224</t>
        </is>
      </c>
      <c r="B217" t="inlineStr">
        <is>
          <t>32</t>
        </is>
      </c>
      <c r="C217" t="inlineStr">
        <is>
          <t>Ambiente y desarrollo sostenible</t>
        </is>
      </c>
      <c r="D217" t="inlineStr">
        <is>
          <t>3202</t>
        </is>
      </c>
      <c r="E217" t="inlineStr">
        <is>
          <t>Conservación de la biodiversidad y sus servicios ecosistémicos</t>
        </is>
      </c>
      <c r="F217" t="inlineStr">
        <is>
          <t>3202043</t>
        </is>
      </c>
      <c r="G217" t="inlineStr">
        <is>
          <t>Servicio apoyo financiero para la implementación de esquemas de pago por Servicio ambientales</t>
        </is>
      </c>
      <c r="H217" t="inlineStr">
        <is>
          <t>320204300</t>
        </is>
      </c>
      <c r="I217" t="inlineStr">
        <is>
          <t>Áreas con esquemas de Pago por Servicios Ambientales implementados</t>
        </is>
      </c>
      <c r="J217" t="inlineStr">
        <is>
          <t>2024258170026</t>
        </is>
      </c>
      <c r="K217" t="inlineStr">
        <is>
          <t>Si</t>
        </is>
      </c>
      <c r="L217" t="inlineStr">
        <is>
          <t>Hectáreas</t>
        </is>
      </c>
      <c r="M217">
        <v>10</v>
      </c>
      <c r="N217">
        <v>1</v>
      </c>
      <c r="O217">
        <v>4</v>
      </c>
      <c r="P217">
        <v>4</v>
      </c>
      <c r="Q217">
        <v>1</v>
      </c>
      <c r="R217">
        <v>0</v>
      </c>
      <c r="S217" s="103">
        <v>0</v>
      </c>
      <c r="T217" t="inlineStr">
        <is>
          <t>No se ejecutó en la vigencia</t>
        </is>
      </c>
      <c r="U217">
        <v>84</v>
      </c>
      <c r="V217" s="104">
        <v>21</v>
      </c>
      <c r="W217" t="inlineStr">
        <is>
          <t>Hubo ejecución por encima de lo programado en SisPT</t>
        </is>
      </c>
    </row>
    <row r="218">
      <c r="A218" t="inlineStr">
        <is>
          <t>IP-225</t>
        </is>
      </c>
      <c r="B218" t="inlineStr">
        <is>
          <t>41</t>
        </is>
      </c>
      <c r="C218" t="inlineStr">
        <is>
          <t xml:space="preserve">Inclusión social y reconciliación </t>
        </is>
      </c>
      <c r="D218" t="inlineStr">
        <is>
          <t>4104</t>
        </is>
      </c>
      <c r="E218" t="inlineStr">
        <is>
          <t>Atención integral de población en situación permanente de desprotección social y/o familiar</t>
        </is>
      </c>
      <c r="F218" t="inlineStr">
        <is>
          <t>4104002</t>
        </is>
      </c>
      <c r="G218" t="inlineStr">
        <is>
          <t>Centros de protección social para el adulto mayor adecuados</t>
        </is>
      </c>
      <c r="H218" t="inlineStr">
        <is>
          <t>410400200</t>
        </is>
      </c>
      <c r="I218" t="inlineStr">
        <is>
          <t>Centros de protección social para el adulto mayor adecuados</t>
        </is>
      </c>
      <c r="J218" t="inlineStr">
        <is>
          <t>202500000003385</t>
        </is>
      </c>
      <c r="K218" t="inlineStr">
        <is>
          <t>No</t>
        </is>
      </c>
      <c r="L218" t="inlineStr">
        <is>
          <t>Número</t>
        </is>
      </c>
      <c r="M218">
        <v>1</v>
      </c>
      <c r="N218">
        <v>1</v>
      </c>
      <c r="O218">
        <v>1</v>
      </c>
      <c r="P218">
        <v>1</v>
      </c>
      <c r="Q218">
        <v>1</v>
      </c>
      <c r="R218" t="inlineStr">
        <is>
          <t xml:space="preserve"> </t>
        </is>
      </c>
      <c r="S218" s="103" t="inlineStr">
        <is>
          <t xml:space="preserve"> </t>
        </is>
      </c>
      <c r="T218" t="inlineStr">
        <is>
          <t>No se encontró ejecución en PIIP</t>
        </is>
      </c>
      <c r="U218" t="inlineStr">
        <is>
          <t xml:space="preserve"> </t>
        </is>
      </c>
      <c r="V218" s="104" t="inlineStr">
        <is>
          <t xml:space="preserve"> </t>
        </is>
      </c>
      <c r="W218" t="inlineStr">
        <is>
          <t>No se encontró ejecución en PIIP</t>
        </is>
      </c>
    </row>
    <row r="219">
      <c r="A219" t="inlineStr">
        <is>
          <t>IP-226</t>
        </is>
      </c>
      <c r="B219" t="inlineStr">
        <is>
          <t>40</t>
        </is>
      </c>
      <c r="C219" t="inlineStr">
        <is>
          <t>Vivienda, ciudad y territorio</t>
        </is>
      </c>
      <c r="D219" t="inlineStr">
        <is>
          <t>4003</t>
        </is>
      </c>
      <c r="E219" t="inlineStr">
        <is>
          <t>Acceso de la población a los servicios de agua potable y saneamiento básico</t>
        </is>
      </c>
      <c r="F219" t="inlineStr">
        <is>
          <t>4003022</t>
        </is>
      </c>
      <c r="G219" t="inlineStr">
        <is>
          <t>Servicios de implementación del Plan de Gestión Integral de Residuos Solidos PGIRS</t>
        </is>
      </c>
      <c r="H219" t="inlineStr">
        <is>
          <t>400302200</t>
        </is>
      </c>
      <c r="I219" t="inlineStr">
        <is>
          <t>Plan de Gestión Integral de Residuos Solidos implementado</t>
        </is>
      </c>
      <c r="J219" t="inlineStr">
        <is>
          <t>202400000006697</t>
        </is>
      </c>
      <c r="K219" t="inlineStr">
        <is>
          <t>Si</t>
        </is>
      </c>
      <c r="L219" t="inlineStr">
        <is>
          <t>Número</t>
        </is>
      </c>
      <c r="M219">
        <v>1</v>
      </c>
      <c r="N219">
        <v>0.25</v>
      </c>
      <c r="O219">
        <v>0.25</v>
      </c>
      <c r="P219">
        <v>0.25</v>
      </c>
      <c r="Q219">
        <v>0.25</v>
      </c>
      <c r="R219" t="inlineStr">
        <is>
          <t xml:space="preserve"> </t>
        </is>
      </c>
      <c r="S219" s="103" t="inlineStr">
        <is>
          <t xml:space="preserve"> </t>
        </is>
      </c>
      <c r="T219" t="inlineStr">
        <is>
          <t>No se encontró ejecución en PIIP</t>
        </is>
      </c>
      <c r="U219">
        <v>0.192</v>
      </c>
      <c r="V219" s="104">
        <v>0.768</v>
      </c>
      <c r="W219" t="inlineStr">
        <is>
          <t>Lo ejecutado está por debajo de lo programado en la vigencia</t>
        </is>
      </c>
    </row>
    <row r="220">
      <c r="A220" t="inlineStr">
        <is>
          <t>IP-227</t>
        </is>
      </c>
      <c r="B220" t="inlineStr">
        <is>
          <t>32</t>
        </is>
      </c>
      <c r="C220" t="inlineStr">
        <is>
          <t>Ambiente y desarrollo sostenible</t>
        </is>
      </c>
      <c r="D220" t="inlineStr">
        <is>
          <t>3202</t>
        </is>
      </c>
      <c r="E220" t="inlineStr">
        <is>
          <t>Conservación de la biodiversidad y sus servicios ecosistémicos</t>
        </is>
      </c>
      <c r="F220" t="inlineStr">
        <is>
          <t>3202057</t>
        </is>
      </c>
      <c r="G220" t="inlineStr">
        <is>
          <t>Servicio de asistencia técnica</t>
        </is>
      </c>
      <c r="H220" t="inlineStr">
        <is>
          <t>320205701</t>
        </is>
      </c>
      <c r="I220" t="inlineStr">
        <is>
          <t>Proyectos asistidos técnicamente</t>
        </is>
      </c>
      <c r="J220" t="inlineStr">
        <is>
          <t>2024258170026</t>
        </is>
      </c>
      <c r="K220" t="inlineStr">
        <is>
          <t>Si</t>
        </is>
      </c>
      <c r="L220" t="inlineStr">
        <is>
          <t>Número</t>
        </is>
      </c>
      <c r="M220">
        <v>1</v>
      </c>
      <c r="N220">
        <v>0.1</v>
      </c>
      <c r="O220">
        <v>0.3</v>
      </c>
      <c r="P220">
        <v>0.3</v>
      </c>
      <c r="Q220">
        <v>0.3</v>
      </c>
      <c r="R220" t="inlineStr">
        <is>
          <t xml:space="preserve"> </t>
        </is>
      </c>
      <c r="S220" s="103" t="inlineStr">
        <is>
          <t xml:space="preserve"> </t>
        </is>
      </c>
      <c r="T220" t="inlineStr">
        <is>
          <t>No se encontró ejecución en PIIP</t>
        </is>
      </c>
      <c r="U220" t="inlineStr">
        <is>
          <t xml:space="preserve"> </t>
        </is>
      </c>
      <c r="V220" s="104" t="inlineStr">
        <is>
          <t xml:space="preserve"> </t>
        </is>
      </c>
      <c r="W220" t="inlineStr">
        <is>
          <t>No se encontró ejecución en PIIP</t>
        </is>
      </c>
    </row>
    <row r="221">
      <c r="A221" t="inlineStr">
        <is>
          <t>IP-228</t>
        </is>
      </c>
      <c r="B221" t="inlineStr">
        <is>
          <t>41</t>
        </is>
      </c>
      <c r="C221" t="inlineStr">
        <is>
          <t xml:space="preserve">Inclusión social y reconciliación </t>
        </is>
      </c>
      <c r="D221" t="inlineStr">
        <is>
          <t>4101</t>
        </is>
      </c>
      <c r="E221" t="inlineStr">
        <is>
          <t>Atención, asistencia y reparación integral a las víctimas</t>
        </is>
      </c>
      <c r="F221" t="inlineStr">
        <is>
          <t>4101025</t>
        </is>
      </c>
      <c r="G221" t="inlineStr">
        <is>
          <t>Servicio de ayuda y atención humanitaria</t>
        </is>
      </c>
      <c r="H221" t="inlineStr">
        <is>
          <t>410102506</t>
        </is>
      </c>
      <c r="I221" t="inlineStr">
        <is>
          <t>Hogares víctimas con atención humanitaria</t>
        </is>
      </c>
      <c r="J221" t="inlineStr">
        <is>
          <t>202400000006511</t>
        </is>
      </c>
      <c r="K221" t="inlineStr">
        <is>
          <t>No</t>
        </is>
      </c>
      <c r="L221" t="inlineStr">
        <is>
          <t>Número</t>
        </is>
      </c>
      <c r="M221">
        <v>100</v>
      </c>
      <c r="N221">
        <v>100</v>
      </c>
      <c r="O221">
        <v>100</v>
      </c>
      <c r="P221">
        <v>100</v>
      </c>
      <c r="Q221">
        <v>100</v>
      </c>
      <c r="R221" t="inlineStr">
        <is>
          <t xml:space="preserve"> </t>
        </is>
      </c>
      <c r="S221" s="103" t="inlineStr">
        <is>
          <t xml:space="preserve"> </t>
        </is>
      </c>
      <c r="T221" t="inlineStr">
        <is>
          <t>No se encontró ejecución en PIIP</t>
        </is>
      </c>
      <c r="U221" t="inlineStr">
        <is>
          <t xml:space="preserve"> </t>
        </is>
      </c>
      <c r="V221" s="104" t="inlineStr">
        <is>
          <t xml:space="preserve"> </t>
        </is>
      </c>
      <c r="W221" t="inlineStr">
        <is>
          <t>No se encontró ejecución en PIIP</t>
        </is>
      </c>
    </row>
    <row r="222">
      <c r="A222" t="inlineStr">
        <is>
          <t>IP-229</t>
        </is>
      </c>
      <c r="B222" t="inlineStr">
        <is>
          <t>45</t>
        </is>
      </c>
      <c r="C222" t="inlineStr">
        <is>
          <t>Gobierno Territorial</t>
        </is>
      </c>
      <c r="D222" t="inlineStr">
        <is>
          <t>4501</t>
        </is>
      </c>
      <c r="E222" t="inlineStr">
        <is>
          <t>Fortalecimiento de la convivencia y la seguridad ciudadana</t>
        </is>
      </c>
      <c r="F222" t="inlineStr">
        <is>
          <t>4501082</t>
        </is>
      </c>
      <c r="G222" t="inlineStr">
        <is>
          <t>Servicio de apoyo para la atención especializada e interdisciplinaria en las comisarias de familia</t>
        </is>
      </c>
      <c r="H222" t="inlineStr">
        <is>
          <t>450108200</t>
        </is>
      </c>
      <c r="I222" t="inlineStr">
        <is>
          <t>Casos atendidos</t>
        </is>
      </c>
      <c r="J222" t="inlineStr">
        <is>
          <t>2024258170021</t>
        </is>
      </c>
      <c r="K222" t="inlineStr">
        <is>
          <t>Si</t>
        </is>
      </c>
      <c r="L222" t="inlineStr">
        <is>
          <t>Número</t>
        </is>
      </c>
      <c r="M222">
        <v>3200</v>
      </c>
      <c r="N222">
        <v>800</v>
      </c>
      <c r="O222">
        <v>800</v>
      </c>
      <c r="P222">
        <v>800</v>
      </c>
      <c r="Q222">
        <v>800</v>
      </c>
      <c r="R222" t="inlineStr">
        <is>
          <t xml:space="preserve"> </t>
        </is>
      </c>
      <c r="S222" s="103" t="inlineStr">
        <is>
          <t xml:space="preserve"> </t>
        </is>
      </c>
      <c r="T222" t="inlineStr">
        <is>
          <t>No se encontró ejecución en PIIP</t>
        </is>
      </c>
      <c r="U222">
        <v>3000</v>
      </c>
      <c r="V222" s="104">
        <v>3.75</v>
      </c>
      <c r="W222" t="inlineStr">
        <is>
          <t>Hubo ejecución por encima de lo programado en SisPT</t>
        </is>
      </c>
    </row>
    <row r="223">
      <c r="A223" t="inlineStr">
        <is>
          <t>IP-230</t>
        </is>
      </c>
      <c r="B223" t="inlineStr">
        <is>
          <t>32</t>
        </is>
      </c>
      <c r="C223" t="inlineStr">
        <is>
          <t>Ambiente y desarrollo sostenible</t>
        </is>
      </c>
      <c r="D223" t="inlineStr">
        <is>
          <t>3206</t>
        </is>
      </c>
      <c r="E223" t="inlineStr">
        <is>
          <t>Gestión del cambio climático para un desarrollo bajo en carbono y resiliente al clima</t>
        </is>
      </c>
      <c r="F223" t="inlineStr">
        <is>
          <t>3206005</t>
        </is>
      </c>
      <c r="G223" t="inlineStr">
        <is>
          <t>Servicio de divulgación de la información en gestión del cambio climático para un desarrollo bajo en carbono y resiliente al clima</t>
        </is>
      </c>
      <c r="H223" t="inlineStr">
        <is>
          <t>320600500</t>
        </is>
      </c>
      <c r="I223" t="inlineStr">
        <is>
          <t xml:space="preserve">Campañas de información en gestión de cambio climático realizadas </t>
        </is>
      </c>
      <c r="J223" t="inlineStr">
        <is>
          <t>2024258170047</t>
        </is>
      </c>
      <c r="K223" t="inlineStr">
        <is>
          <t>Si</t>
        </is>
      </c>
      <c r="L223" t="inlineStr">
        <is>
          <t>Número</t>
        </is>
      </c>
      <c r="M223">
        <v>3</v>
      </c>
      <c r="N223">
        <v>0.5</v>
      </c>
      <c r="O223">
        <v>0.5</v>
      </c>
      <c r="P223">
        <v>1</v>
      </c>
      <c r="Q223">
        <v>1</v>
      </c>
      <c r="R223">
        <v>0.5</v>
      </c>
      <c r="S223" s="103">
        <v>1</v>
      </c>
      <c r="T223" t="inlineStr">
        <is>
          <t>Se ejecutó el 100% de lo programado en la vigencia</t>
        </is>
      </c>
      <c r="U223">
        <v>0.7</v>
      </c>
      <c r="V223" s="104">
        <v>1.4</v>
      </c>
      <c r="W223" t="inlineStr">
        <is>
          <t>Hubo ejecución por encima de lo programado en SisPT</t>
        </is>
      </c>
    </row>
    <row r="224">
      <c r="A224" t="inlineStr">
        <is>
          <t>IP-231</t>
        </is>
      </c>
      <c r="B224" t="inlineStr">
        <is>
          <t>41</t>
        </is>
      </c>
      <c r="C224" t="inlineStr">
        <is>
          <t xml:space="preserve">Inclusión social y reconciliación </t>
        </is>
      </c>
      <c r="D224" t="inlineStr">
        <is>
          <t>4103</t>
        </is>
      </c>
      <c r="E224" t="inlineStr">
        <is>
          <t>Inclusión social y productiva para la población en situación de vulnerabilidad</t>
        </is>
      </c>
      <c r="F224" t="inlineStr">
        <is>
          <t>4103069</t>
        </is>
      </c>
      <c r="G224" t="inlineStr">
        <is>
          <t>Servicio de información implementado</t>
        </is>
      </c>
      <c r="H224" t="inlineStr">
        <is>
          <t>410306900</t>
        </is>
      </c>
      <c r="I224" t="inlineStr">
        <is>
          <t>Sistemas de información implementados</t>
        </is>
      </c>
      <c r="J224" t="inlineStr">
        <is>
          <t>202400000006709</t>
        </is>
      </c>
      <c r="K224" t="inlineStr">
        <is>
          <t>Si</t>
        </is>
      </c>
      <c r="L224" t="inlineStr">
        <is>
          <t>Número</t>
        </is>
      </c>
      <c r="M224">
        <v>1</v>
      </c>
      <c r="N224">
        <v>0.1</v>
      </c>
      <c r="O224">
        <v>0.3</v>
      </c>
      <c r="P224">
        <v>0.3</v>
      </c>
      <c r="Q224">
        <v>0.3</v>
      </c>
      <c r="R224" t="inlineStr">
        <is>
          <t xml:space="preserve"> </t>
        </is>
      </c>
      <c r="S224" s="103" t="inlineStr">
        <is>
          <t xml:space="preserve"> </t>
        </is>
      </c>
      <c r="T224" t="inlineStr">
        <is>
          <t>No se encontró ejecución en PIIP</t>
        </is>
      </c>
      <c r="U224" t="inlineStr">
        <is>
          <t xml:space="preserve"> </t>
        </is>
      </c>
      <c r="V224" s="104" t="inlineStr">
        <is>
          <t xml:space="preserve"> </t>
        </is>
      </c>
      <c r="W224" t="inlineStr">
        <is>
          <t>No se encontró ejecución en PIIP</t>
        </is>
      </c>
    </row>
    <row r="225">
      <c r="A225" t="inlineStr">
        <is>
          <t>IP-232</t>
        </is>
      </c>
      <c r="B225" t="inlineStr">
        <is>
          <t>43</t>
        </is>
      </c>
      <c r="C225" t="inlineStr">
        <is>
          <t>Deporte y Recreación</t>
        </is>
      </c>
      <c r="D225" t="inlineStr">
        <is>
          <t>4302</t>
        </is>
      </c>
      <c r="E225" t="inlineStr">
        <is>
          <t>Formación y preparación de deportistas</t>
        </is>
      </c>
      <c r="F225" t="inlineStr">
        <is>
          <t>4302075</t>
        </is>
      </c>
      <c r="G225" t="inlineStr">
        <is>
          <t>Servicio de asistencia técnica para la promoción del deporte</t>
        </is>
      </c>
      <c r="H225" t="inlineStr">
        <is>
          <t>430207500</t>
        </is>
      </c>
      <c r="I225" t="inlineStr">
        <is>
          <t xml:space="preserve">Organismos deportivos asistidos </t>
        </is>
      </c>
      <c r="J225" t="inlineStr">
        <is>
          <t>2024258170019</t>
        </is>
      </c>
      <c r="K225" t="inlineStr">
        <is>
          <t>Si</t>
        </is>
      </c>
      <c r="L225" t="inlineStr">
        <is>
          <t>Número</t>
        </is>
      </c>
      <c r="M225">
        <v>100</v>
      </c>
      <c r="N225">
        <v>0.25</v>
      </c>
      <c r="O225">
        <v>0.25</v>
      </c>
      <c r="P225">
        <v>0.25</v>
      </c>
      <c r="Q225">
        <v>0.25</v>
      </c>
      <c r="R225">
        <v>0</v>
      </c>
      <c r="S225" s="103">
        <v>0</v>
      </c>
      <c r="T225" t="inlineStr">
        <is>
          <t>No se ejecutó en la vigencia</t>
        </is>
      </c>
      <c r="U225" t="inlineStr">
        <is>
          <t xml:space="preserve"> </t>
        </is>
      </c>
      <c r="V225" s="104" t="inlineStr">
        <is>
          <t xml:space="preserve"> </t>
        </is>
      </c>
      <c r="W225" t="inlineStr">
        <is>
          <t>No se encontró ejecución en PIIP</t>
        </is>
      </c>
    </row>
    <row r="226">
      <c r="A226" t="inlineStr">
        <is>
          <t>IP-233</t>
        </is>
      </c>
      <c r="B226" t="inlineStr">
        <is>
          <t>45</t>
        </is>
      </c>
      <c r="C226" t="inlineStr">
        <is>
          <t>Gobierno Territorial</t>
        </is>
      </c>
      <c r="D226" t="inlineStr">
        <is>
          <t>4599</t>
        </is>
      </c>
      <c r="E226" t="inlineStr">
        <is>
          <t>Fortalecimiento a la gestión y dirección de la administración pública territorial</t>
        </is>
      </c>
      <c r="F226" t="inlineStr">
        <is>
          <t>4599025</t>
        </is>
      </c>
      <c r="G226" t="inlineStr">
        <is>
          <t>Servicios de información implementados</t>
        </is>
      </c>
      <c r="H226" t="inlineStr">
        <is>
          <t>459902504</t>
        </is>
      </c>
      <c r="I226" t="inlineStr">
        <is>
          <t>Observatorio implementado</t>
        </is>
      </c>
      <c r="J226" t="inlineStr">
        <is>
          <t>202400000007035</t>
        </is>
      </c>
      <c r="K226" t="inlineStr">
        <is>
          <t>No</t>
        </is>
      </c>
      <c r="L226" t="inlineStr">
        <is>
          <t>Número</t>
        </is>
      </c>
      <c r="M226">
        <v>1</v>
      </c>
      <c r="N226">
        <v>1</v>
      </c>
      <c r="O226">
        <v>1</v>
      </c>
      <c r="P226">
        <v>1</v>
      </c>
      <c r="Q226">
        <v>1</v>
      </c>
      <c r="R226" t="inlineStr">
        <is>
          <t xml:space="preserve"> </t>
        </is>
      </c>
      <c r="S226" s="103" t="inlineStr">
        <is>
          <t xml:space="preserve"> </t>
        </is>
      </c>
      <c r="T226" t="inlineStr">
        <is>
          <t>No se encontró ejecución en PIIP</t>
        </is>
      </c>
      <c r="U226" t="inlineStr">
        <is>
          <t xml:space="preserve"> </t>
        </is>
      </c>
      <c r="V226" s="104" t="inlineStr">
        <is>
          <t xml:space="preserve"> </t>
        </is>
      </c>
      <c r="W226" t="inlineStr">
        <is>
          <t>No se encontró ejecución en PIIP</t>
        </is>
      </c>
    </row>
    <row r="227">
      <c r="A227" t="inlineStr">
        <is>
          <t>IP-234</t>
        </is>
      </c>
      <c r="B227" t="inlineStr">
        <is>
          <t>43</t>
        </is>
      </c>
      <c r="C227" t="inlineStr">
        <is>
          <t>Deporte y Recreación</t>
        </is>
      </c>
      <c r="D227" t="inlineStr">
        <is>
          <t>4301</t>
        </is>
      </c>
      <c r="E227" t="inlineStr">
        <is>
          <t>Fomento a la recreación, la actividad física y el deporte para desarrollar entornos de convivencia y paz</t>
        </is>
      </c>
      <c r="F227" t="inlineStr">
        <is>
          <t>4301004</t>
        </is>
      </c>
      <c r="G227" t="inlineStr">
        <is>
          <t>Servicio de mantenimiento a la infraestructura deportiva</t>
        </is>
      </c>
      <c r="H227" t="inlineStr">
        <is>
          <t>430100400</t>
        </is>
      </c>
      <c r="I227" t="inlineStr">
        <is>
          <t>Infraestructura deportiva mantenida</t>
        </is>
      </c>
      <c r="J227" t="inlineStr">
        <is>
          <t>2024258170020</t>
        </is>
      </c>
      <c r="K227" t="inlineStr">
        <is>
          <t>Si</t>
        </is>
      </c>
      <c r="L227" t="inlineStr">
        <is>
          <t>Número</t>
        </is>
      </c>
      <c r="M227">
        <v>4</v>
      </c>
      <c r="N227">
        <v>1</v>
      </c>
      <c r="O227">
        <v>1</v>
      </c>
      <c r="P227">
        <v>1</v>
      </c>
      <c r="Q227">
        <v>1</v>
      </c>
      <c r="R227">
        <v>0</v>
      </c>
      <c r="S227" s="103">
        <v>0</v>
      </c>
      <c r="T227" t="inlineStr">
        <is>
          <t>No se ejecutó en la vigencia</t>
        </is>
      </c>
      <c r="U227" t="inlineStr">
        <is>
          <t xml:space="preserve"> </t>
        </is>
      </c>
      <c r="V227" s="104" t="inlineStr">
        <is>
          <t xml:space="preserve"> </t>
        </is>
      </c>
      <c r="W227" t="inlineStr">
        <is>
          <t>No se encontró ejecución en PIIP</t>
        </is>
      </c>
    </row>
    <row r="228">
      <c r="A228" t="inlineStr">
        <is>
          <t>IP-235</t>
        </is>
      </c>
      <c r="B228" t="inlineStr">
        <is>
          <t>32</t>
        </is>
      </c>
      <c r="C228" t="inlineStr">
        <is>
          <t>Ambiente y desarrollo sostenible</t>
        </is>
      </c>
      <c r="D228" t="inlineStr">
        <is>
          <t>3201</t>
        </is>
      </c>
      <c r="E228" t="inlineStr">
        <is>
          <t>Fortalecimiento del desempeño ambiental de los sectores productivos</t>
        </is>
      </c>
      <c r="F228" t="inlineStr">
        <is>
          <t>3201008</t>
        </is>
      </c>
      <c r="G228" t="inlineStr">
        <is>
          <t>Servicio de vigilancia de la calidad del aire</t>
        </is>
      </c>
      <c r="H228" t="inlineStr">
        <is>
          <t>320100800</t>
        </is>
      </c>
      <c r="I228" t="inlineStr">
        <is>
          <t xml:space="preserve">Estaciones para el monitoreo de la calidad del aire implementadas </t>
        </is>
      </c>
      <c r="J228" t="inlineStr">
        <is>
          <t>2024258170055</t>
        </is>
      </c>
      <c r="K228" t="inlineStr">
        <is>
          <t>Si</t>
        </is>
      </c>
      <c r="L228" t="inlineStr">
        <is>
          <t>Número</t>
        </is>
      </c>
      <c r="M228">
        <v>1</v>
      </c>
      <c r="N228">
        <v>0.25</v>
      </c>
      <c r="O228">
        <v>0.25</v>
      </c>
      <c r="P228">
        <v>0.25</v>
      </c>
      <c r="Q228">
        <v>0.25</v>
      </c>
      <c r="R228">
        <v>0</v>
      </c>
      <c r="S228" s="103">
        <v>0</v>
      </c>
      <c r="T228" t="inlineStr">
        <is>
          <t>No se ejecutó en la vigencia</t>
        </is>
      </c>
      <c r="U228" t="inlineStr">
        <is>
          <t xml:space="preserve"> </t>
        </is>
      </c>
      <c r="V228" s="104" t="inlineStr">
        <is>
          <t xml:space="preserve"> </t>
        </is>
      </c>
      <c r="W228" t="inlineStr">
        <is>
          <t>No se encontró ejecución en PIIP</t>
        </is>
      </c>
    </row>
    <row r="229">
      <c r="A229" t="inlineStr">
        <is>
          <t>IP-236</t>
        </is>
      </c>
      <c r="B229" t="inlineStr">
        <is>
          <t>32</t>
        </is>
      </c>
      <c r="C229" t="inlineStr">
        <is>
          <t>Ambiente y desarrollo sostenible</t>
        </is>
      </c>
      <c r="D229" t="inlineStr">
        <is>
          <t>3202</t>
        </is>
      </c>
      <c r="E229" t="inlineStr">
        <is>
          <t>Conservación de la biodiversidad y sus servicios ecosistémicos</t>
        </is>
      </c>
      <c r="F229" t="inlineStr">
        <is>
          <t>3202004</t>
        </is>
      </c>
      <c r="G229" t="inlineStr">
        <is>
          <t>Documentos de investigación para la conservación de la biodiversidad y sus servicios eco sistémicos</t>
        </is>
      </c>
      <c r="H229" t="inlineStr">
        <is>
          <t>320200400</t>
        </is>
      </c>
      <c r="I229" t="inlineStr">
        <is>
          <t>Documentos de investigación realizados</t>
        </is>
      </c>
      <c r="J229" t="inlineStr">
        <is>
          <t>2024258170026</t>
        </is>
      </c>
      <c r="K229" t="inlineStr">
        <is>
          <t>Si</t>
        </is>
      </c>
      <c r="L229" t="inlineStr">
        <is>
          <t>Número</t>
        </is>
      </c>
      <c r="M229">
        <v>1</v>
      </c>
      <c r="N229">
        <v>0.25</v>
      </c>
      <c r="O229">
        <v>0.25</v>
      </c>
      <c r="P229">
        <v>0.25</v>
      </c>
      <c r="Q229">
        <v>0.25</v>
      </c>
      <c r="R229">
        <v>0.375</v>
      </c>
      <c r="S229" s="103">
        <v>1.5</v>
      </c>
      <c r="T229" t="inlineStr">
        <is>
          <t>Hubo ejecución por encima de lo programado en SisPT</t>
        </is>
      </c>
      <c r="U229">
        <v>0.23</v>
      </c>
      <c r="V229" s="104">
        <v>0.92</v>
      </c>
      <c r="W229" t="inlineStr">
        <is>
          <t>Lo ejecutado está por debajo de lo programado en la vigencia</t>
        </is>
      </c>
    </row>
    <row r="230">
      <c r="A230" t="inlineStr">
        <is>
          <t>IP-237</t>
        </is>
      </c>
      <c r="B230" t="inlineStr">
        <is>
          <t>04</t>
        </is>
      </c>
      <c r="C230" t="inlineStr">
        <is>
          <t>Información Estadística</t>
        </is>
      </c>
      <c r="D230" t="inlineStr">
        <is>
          <t>0406</t>
        </is>
      </c>
      <c r="E230" t="inlineStr">
        <is>
          <t>Generación de la información geográfica del territorio nacional</t>
        </is>
      </c>
      <c r="F230" t="inlineStr">
        <is>
          <t>0406004</t>
        </is>
      </c>
      <c r="G230" t="inlineStr">
        <is>
          <t>Servicio de información catastral actualizado</t>
        </is>
      </c>
      <c r="H230" t="inlineStr">
        <is>
          <t>040600400</t>
        </is>
      </c>
      <c r="I230" t="inlineStr">
        <is>
          <t>Sistema de Información catastral actualizado</t>
        </is>
      </c>
      <c r="J230" t="inlineStr">
        <is>
          <t>2024258170010</t>
        </is>
      </c>
      <c r="K230" t="inlineStr">
        <is>
          <t>No</t>
        </is>
      </c>
      <c r="L230" t="inlineStr">
        <is>
          <t>Número</t>
        </is>
      </c>
      <c r="M230">
        <v>1</v>
      </c>
      <c r="N230">
        <v>1</v>
      </c>
      <c r="O230">
        <v>1</v>
      </c>
      <c r="P230">
        <v>1</v>
      </c>
      <c r="Q230">
        <v>1</v>
      </c>
      <c r="R230">
        <v>0</v>
      </c>
      <c r="S230" s="103">
        <v>0</v>
      </c>
      <c r="T230" t="inlineStr">
        <is>
          <t>No se ejecutó en la vigencia</t>
        </is>
      </c>
      <c r="U230" t="inlineStr">
        <is>
          <t xml:space="preserve"> </t>
        </is>
      </c>
      <c r="V230" s="104" t="inlineStr">
        <is>
          <t xml:space="preserve"> </t>
        </is>
      </c>
      <c r="W230" t="inlineStr">
        <is>
          <t>No se encontró ejecución en PIIP</t>
        </is>
      </c>
    </row>
    <row r="231">
      <c r="A231" t="inlineStr">
        <is>
          <t>IP-238</t>
        </is>
      </c>
      <c r="B231" t="inlineStr">
        <is>
          <t>19</t>
        </is>
      </c>
      <c r="C231" t="inlineStr">
        <is>
          <t>Salud y protección social</t>
        </is>
      </c>
      <c r="D231" t="inlineStr">
        <is>
          <t>1905</t>
        </is>
      </c>
      <c r="E231" t="inlineStr">
        <is>
          <t>Salud pública</t>
        </is>
      </c>
      <c r="F231" t="inlineStr">
        <is>
          <t>1905014</t>
        </is>
      </c>
      <c r="G231" t="inlineStr">
        <is>
          <t>Documentos de lineamientos técnicos</t>
        </is>
      </c>
      <c r="H231" t="inlineStr">
        <is>
          <t>190501400</t>
        </is>
      </c>
      <c r="I231" t="inlineStr">
        <is>
          <t>Documentos de lineamientos técnicos elaborados</t>
        </is>
      </c>
      <c r="J231" t="inlineStr">
        <is>
          <t>2024258170054</t>
        </is>
      </c>
      <c r="K231" t="inlineStr">
        <is>
          <t>No</t>
        </is>
      </c>
      <c r="L231" t="inlineStr">
        <is>
          <t>Número</t>
        </is>
      </c>
      <c r="M231">
        <v>1</v>
      </c>
      <c r="N231">
        <v>1</v>
      </c>
      <c r="O231">
        <v>1</v>
      </c>
      <c r="P231">
        <v>1</v>
      </c>
      <c r="Q231">
        <v>1</v>
      </c>
      <c r="R231">
        <v>1</v>
      </c>
      <c r="S231" s="103">
        <v>1</v>
      </c>
      <c r="T231" t="inlineStr">
        <is>
          <t>Se ejecutó el 100% de lo programado en la vigencia</t>
        </is>
      </c>
      <c r="U231">
        <v>0.28</v>
      </c>
      <c r="V231" s="104">
        <v>0.28</v>
      </c>
      <c r="W231" t="inlineStr">
        <is>
          <t>Lo ejecutado está por debajo de lo programado en la vigencia</t>
        </is>
      </c>
    </row>
    <row r="232">
      <c r="A232" t="inlineStr">
        <is>
          <t>IP-239</t>
        </is>
      </c>
      <c r="B232" t="inlineStr">
        <is>
          <t>22</t>
        </is>
      </c>
      <c r="C232" t="inlineStr">
        <is>
          <t>Educación</t>
        </is>
      </c>
      <c r="D232" t="inlineStr">
        <is>
          <t>2201</t>
        </is>
      </c>
      <c r="E232" t="inlineStr">
        <is>
          <t>Calidad, cobertura y fortalecimiento de la educación inicial, prescolar, básica y media</t>
        </is>
      </c>
      <c r="F232" t="inlineStr">
        <is>
          <t>2201073</t>
        </is>
      </c>
      <c r="G232" t="inlineStr">
        <is>
          <t>Servicio de evaluación de la calidad de la educación inicial, preescolar, básica y media</t>
        </is>
      </c>
      <c r="H232" t="inlineStr">
        <is>
          <t>220107301</t>
        </is>
      </c>
      <c r="I232" t="inlineStr">
        <is>
          <t>Secretarías de Educación que adelantan procesos de evaluación de la educación inicial</t>
        </is>
      </c>
      <c r="J232" t="inlineStr">
        <is>
          <t>202400000005692</t>
        </is>
      </c>
      <c r="K232" t="inlineStr">
        <is>
          <t>No</t>
        </is>
      </c>
      <c r="L232" t="inlineStr">
        <is>
          <t>Número</t>
        </is>
      </c>
      <c r="M232">
        <v>3</v>
      </c>
      <c r="N232">
        <v>3</v>
      </c>
      <c r="O232">
        <v>3</v>
      </c>
      <c r="P232">
        <v>3</v>
      </c>
      <c r="Q232">
        <v>3</v>
      </c>
      <c r="R232" t="inlineStr">
        <is>
          <t xml:space="preserve"> </t>
        </is>
      </c>
      <c r="S232" s="103" t="inlineStr">
        <is>
          <t xml:space="preserve"> </t>
        </is>
      </c>
      <c r="T232" t="inlineStr">
        <is>
          <t>No se encontró ejecución en PIIP</t>
        </is>
      </c>
      <c r="U232" t="inlineStr">
        <is>
          <t xml:space="preserve"> </t>
        </is>
      </c>
      <c r="V232" s="104" t="inlineStr">
        <is>
          <t xml:space="preserve"> </t>
        </is>
      </c>
      <c r="W232" t="inlineStr">
        <is>
          <t>No se encontró ejecución en PIIP</t>
        </is>
      </c>
    </row>
    <row r="233">
      <c r="A233" t="inlineStr">
        <is>
          <t>IP-240</t>
        </is>
      </c>
      <c r="B233" t="inlineStr">
        <is>
          <t>43</t>
        </is>
      </c>
      <c r="C233" t="inlineStr">
        <is>
          <t>Deporte y Recreación</t>
        </is>
      </c>
      <c r="D233" t="inlineStr">
        <is>
          <t>4301</t>
        </is>
      </c>
      <c r="E233" t="inlineStr">
        <is>
          <t>Fomento a la recreación, la actividad física y el deporte para desarrollar entornos de convivencia y paz</t>
        </is>
      </c>
      <c r="F233" t="inlineStr">
        <is>
          <t>4301037</t>
        </is>
      </c>
      <c r="G233" t="inlineStr">
        <is>
          <t>Servicio de promoción de la actividad física, la recreación y el deporte</t>
        </is>
      </c>
      <c r="H233" t="inlineStr">
        <is>
          <t>430103700</t>
        </is>
      </c>
      <c r="I233" t="inlineStr">
        <is>
          <t>Personas que acceden a servicios deportivos, recreativos y de actividad física</t>
        </is>
      </c>
      <c r="J233" t="inlineStr">
        <is>
          <t>2024258170020</t>
        </is>
      </c>
      <c r="K233" t="inlineStr">
        <is>
          <t>Si</t>
        </is>
      </c>
      <c r="L233" t="inlineStr">
        <is>
          <t>Número</t>
        </is>
      </c>
      <c r="M233">
        <v>3490</v>
      </c>
      <c r="N233">
        <v>490</v>
      </c>
      <c r="O233">
        <v>1000</v>
      </c>
      <c r="P233">
        <v>1000</v>
      </c>
      <c r="Q233">
        <v>1000</v>
      </c>
      <c r="R233">
        <v>0</v>
      </c>
      <c r="S233" s="103">
        <v>0</v>
      </c>
      <c r="T233" t="inlineStr">
        <is>
          <t>No se ejecutó en la vigencia</t>
        </is>
      </c>
      <c r="U233">
        <v>0</v>
      </c>
      <c r="V233" s="104">
        <v>0</v>
      </c>
      <c r="W233" t="inlineStr">
        <is>
          <t>No se ejecutó en la vigencia</t>
        </is>
      </c>
    </row>
    <row r="234">
      <c r="A234" t="inlineStr">
        <is>
          <t>IP-241</t>
        </is>
      </c>
      <c r="B234" t="inlineStr">
        <is>
          <t>22</t>
        </is>
      </c>
      <c r="C234" t="inlineStr">
        <is>
          <t>Educación</t>
        </is>
      </c>
      <c r="D234" t="inlineStr">
        <is>
          <t>2201</t>
        </is>
      </c>
      <c r="E234" t="inlineStr">
        <is>
          <t>Calidad, cobertura y fortalecimiento de la educación inicial, prescolar, básica y media</t>
        </is>
      </c>
      <c r="F234" t="inlineStr">
        <is>
          <t>2201081</t>
        </is>
      </c>
      <c r="G234" t="inlineStr">
        <is>
          <t>Servicio de apoyo a la atención integral para la convivencia escolar</t>
        </is>
      </c>
      <c r="H234" t="inlineStr">
        <is>
          <t>220108100</t>
        </is>
      </c>
      <c r="I234" t="inlineStr">
        <is>
          <t>Sedes educativas apoyadas en la implementación de la ruta de atención integral para la convivencia escolar</t>
        </is>
      </c>
      <c r="J234" t="inlineStr">
        <is>
          <t>202400000005692</t>
        </is>
      </c>
      <c r="K234" t="inlineStr">
        <is>
          <t>No</t>
        </is>
      </c>
      <c r="L234" t="inlineStr">
        <is>
          <t>Número</t>
        </is>
      </c>
      <c r="M234">
        <v>3</v>
      </c>
      <c r="N234">
        <v>3</v>
      </c>
      <c r="O234">
        <v>3</v>
      </c>
      <c r="P234">
        <v>3</v>
      </c>
      <c r="Q234">
        <v>3</v>
      </c>
      <c r="R234" t="inlineStr">
        <is>
          <t xml:space="preserve"> </t>
        </is>
      </c>
      <c r="S234" s="103" t="inlineStr">
        <is>
          <t xml:space="preserve"> </t>
        </is>
      </c>
      <c r="T234" t="inlineStr">
        <is>
          <t>No se encontró ejecución en PIIP</t>
        </is>
      </c>
      <c r="U234">
        <v>100.03</v>
      </c>
      <c r="V234" s="104">
        <v>33.3433333333333</v>
      </c>
      <c r="W234" t="inlineStr">
        <is>
          <t>Hubo ejecución por encima de lo programado en SisPT</t>
        </is>
      </c>
    </row>
    <row r="235">
      <c r="A235" t="inlineStr">
        <is>
          <t>IP-242</t>
        </is>
      </c>
      <c r="B235" t="inlineStr">
        <is>
          <t>45</t>
        </is>
      </c>
      <c r="C235" t="inlineStr">
        <is>
          <t>Gobierno Territorial</t>
        </is>
      </c>
      <c r="D235" t="inlineStr">
        <is>
          <t>4501</t>
        </is>
      </c>
      <c r="E235" t="inlineStr">
        <is>
          <t>Fortalecimiento de la convivencia y la seguridad ciudadana</t>
        </is>
      </c>
      <c r="F235" t="inlineStr">
        <is>
          <t>4501026</t>
        </is>
      </c>
      <c r="G235" t="inlineStr">
        <is>
          <t>Documentos Planeacion</t>
        </is>
      </c>
      <c r="H235" t="inlineStr">
        <is>
          <t>450102601</t>
        </is>
      </c>
      <c r="I235" t="inlineStr">
        <is>
          <t>Documentos de planeación con seguimiento realizados</t>
        </is>
      </c>
      <c r="J235" t="inlineStr">
        <is>
          <t>202400000007013</t>
        </is>
      </c>
      <c r="K235" t="inlineStr">
        <is>
          <t>No</t>
        </is>
      </c>
      <c r="L235" t="inlineStr">
        <is>
          <t>Número</t>
        </is>
      </c>
      <c r="M235">
        <v>1</v>
      </c>
      <c r="N235">
        <v>1</v>
      </c>
      <c r="O235">
        <v>1</v>
      </c>
      <c r="P235">
        <v>1</v>
      </c>
      <c r="Q235">
        <v>1</v>
      </c>
      <c r="R235" t="inlineStr">
        <is>
          <t xml:space="preserve"> </t>
        </is>
      </c>
      <c r="S235" s="103" t="inlineStr">
        <is>
          <t xml:space="preserve"> </t>
        </is>
      </c>
      <c r="T235" t="inlineStr">
        <is>
          <t>No se encontró ejecución en PIIP</t>
        </is>
      </c>
      <c r="U235" t="inlineStr">
        <is>
          <t xml:space="preserve"> </t>
        </is>
      </c>
      <c r="V235" s="104" t="inlineStr">
        <is>
          <t xml:space="preserve"> </t>
        </is>
      </c>
      <c r="W235" t="inlineStr">
        <is>
          <t>No se encontró ejecución en PIIP</t>
        </is>
      </c>
    </row>
    <row r="236">
      <c r="A236" t="inlineStr">
        <is>
          <t>IP-243</t>
        </is>
      </c>
      <c r="B236" t="inlineStr">
        <is>
          <t>22</t>
        </is>
      </c>
      <c r="C236" t="inlineStr">
        <is>
          <t>Educación</t>
        </is>
      </c>
      <c r="D236" t="inlineStr">
        <is>
          <t>2202</t>
        </is>
      </c>
      <c r="E236" t="inlineStr">
        <is>
          <t>Calidad y fomento de la educación superior</t>
        </is>
      </c>
      <c r="F236" t="inlineStr">
        <is>
          <t>2202011</t>
        </is>
      </c>
      <c r="G236" t="inlineStr">
        <is>
          <t>Servicio de mejoramiento de la calidad de la educación para el trabajo y el desarrollo humano</t>
        </is>
      </c>
      <c r="H236" t="inlineStr">
        <is>
          <t>220201100</t>
        </is>
      </c>
      <c r="I236" t="inlineStr">
        <is>
          <t>Procesos para el mejoramiento de la calidad de la educación para el trabajo y el desarrollo humano adelantados</t>
        </is>
      </c>
      <c r="J236" t="inlineStr">
        <is>
          <t>202400000005715</t>
        </is>
      </c>
      <c r="K236" t="inlineStr">
        <is>
          <t>Si</t>
        </is>
      </c>
      <c r="L236" t="inlineStr">
        <is>
          <t>Número</t>
        </is>
      </c>
      <c r="M236">
        <v>5000</v>
      </c>
      <c r="N236">
        <v>1669</v>
      </c>
      <c r="O236">
        <v>1111</v>
      </c>
      <c r="P236">
        <v>1110</v>
      </c>
      <c r="Q236">
        <v>1110</v>
      </c>
      <c r="R236" t="inlineStr">
        <is>
          <t xml:space="preserve"> </t>
        </is>
      </c>
      <c r="S236" s="103" t="inlineStr">
        <is>
          <t xml:space="preserve"> </t>
        </is>
      </c>
      <c r="T236" t="inlineStr">
        <is>
          <t>No se encontró ejecución en PIIP</t>
        </is>
      </c>
      <c r="U236" t="inlineStr">
        <is>
          <t xml:space="preserve"> </t>
        </is>
      </c>
      <c r="V236" s="104" t="inlineStr">
        <is>
          <t xml:space="preserve"> </t>
        </is>
      </c>
      <c r="W236" t="inlineStr">
        <is>
          <t>No se encontró ejecución en PIIP</t>
        </is>
      </c>
    </row>
    <row r="237">
      <c r="A237" t="inlineStr">
        <is>
          <t>IP-244</t>
        </is>
      </c>
      <c r="B237" t="inlineStr">
        <is>
          <t>41</t>
        </is>
      </c>
      <c r="C237" t="inlineStr">
        <is>
          <t xml:space="preserve">Inclusión social y reconciliación </t>
        </is>
      </c>
      <c r="D237" t="inlineStr">
        <is>
          <t>4103</t>
        </is>
      </c>
      <c r="E237" t="inlineStr">
        <is>
          <t>Inclusión social y productiva para la población en situación de vulnerabilidad</t>
        </is>
      </c>
      <c r="F237" t="inlineStr">
        <is>
          <t>4103025</t>
        </is>
      </c>
      <c r="G237" t="inlineStr">
        <is>
          <t>Centros comunitarios construidos</t>
        </is>
      </c>
      <c r="H237" t="inlineStr">
        <is>
          <t>410302500</t>
        </is>
      </c>
      <c r="I237" t="inlineStr">
        <is>
          <t>Centros comunitarios construidos</t>
        </is>
      </c>
      <c r="J237" t="inlineStr">
        <is>
          <t>202400000006486</t>
        </is>
      </c>
      <c r="K237" t="inlineStr">
        <is>
          <t>Si</t>
        </is>
      </c>
      <c r="L237" t="inlineStr">
        <is>
          <t>Número</t>
        </is>
      </c>
      <c r="M237">
        <v>1</v>
      </c>
      <c r="N237">
        <v>0.1</v>
      </c>
      <c r="O237">
        <v>0.2</v>
      </c>
      <c r="P237">
        <v>0.2</v>
      </c>
      <c r="Q237">
        <v>0.5</v>
      </c>
      <c r="R237" t="inlineStr">
        <is>
          <t xml:space="preserve"> </t>
        </is>
      </c>
      <c r="S237" s="103" t="inlineStr">
        <is>
          <t xml:space="preserve"> </t>
        </is>
      </c>
      <c r="T237" t="inlineStr">
        <is>
          <t>No se encontró ejecución en PIIP</t>
        </is>
      </c>
      <c r="U237" t="inlineStr">
        <is>
          <t xml:space="preserve"> </t>
        </is>
      </c>
      <c r="V237" s="104" t="inlineStr">
        <is>
          <t xml:space="preserve"> </t>
        </is>
      </c>
      <c r="W237" t="inlineStr">
        <is>
          <t>No se encontró ejecución en PIIP</t>
        </is>
      </c>
    </row>
    <row r="238">
      <c r="A238" t="inlineStr">
        <is>
          <t>IP-245</t>
        </is>
      </c>
      <c r="B238" t="inlineStr">
        <is>
          <t>35</t>
        </is>
      </c>
      <c r="C238" t="inlineStr">
        <is>
          <t>Comercio, industria y turismo</t>
        </is>
      </c>
      <c r="D238" t="inlineStr">
        <is>
          <t>3502</t>
        </is>
      </c>
      <c r="E238" t="inlineStr">
        <is>
          <t>Productividad y competitividad de las empresas colombianas</t>
        </is>
      </c>
      <c r="F238" t="inlineStr">
        <is>
          <t>3502047</t>
        </is>
      </c>
      <c r="G238" t="inlineStr">
        <is>
          <t>Documentos de planeación</t>
        </is>
      </c>
      <c r="H238" t="inlineStr">
        <is>
          <t>350204700</t>
        </is>
      </c>
      <c r="I238" t="inlineStr">
        <is>
          <t>Documentos de planeación elaborados</t>
        </is>
      </c>
      <c r="J238" t="inlineStr">
        <is>
          <t>2024258170013</t>
        </is>
      </c>
      <c r="K238" t="inlineStr">
        <is>
          <t>No</t>
        </is>
      </c>
      <c r="L238" t="inlineStr">
        <is>
          <t>Número</t>
        </is>
      </c>
      <c r="M238">
        <v>1</v>
      </c>
      <c r="N238">
        <v>0</v>
      </c>
      <c r="O238">
        <v>1</v>
      </c>
      <c r="P238">
        <v>0</v>
      </c>
      <c r="Q238">
        <v>0</v>
      </c>
      <c r="R238" t="inlineStr">
        <is>
          <t xml:space="preserve"> </t>
        </is>
      </c>
      <c r="S238" s="103" t="inlineStr">
        <is>
          <t xml:space="preserve"> </t>
        </is>
      </c>
      <c r="T238" t="inlineStr">
        <is>
          <t>No se encontró ejecución en PIIP</t>
        </is>
      </c>
      <c r="U238">
        <v>0.02</v>
      </c>
      <c r="V238" s="104">
        <v>0.02</v>
      </c>
      <c r="W238" t="inlineStr">
        <is>
          <t>Lo ejecutado está por debajo de lo programado en la vigencia</t>
        </is>
      </c>
    </row>
    <row r="239">
      <c r="A239" t="inlineStr">
        <is>
          <t>IP-246</t>
        </is>
      </c>
      <c r="B239" t="inlineStr">
        <is>
          <t>45</t>
        </is>
      </c>
      <c r="C239" t="inlineStr">
        <is>
          <t>Gobierno Territorial</t>
        </is>
      </c>
      <c r="D239" t="inlineStr">
        <is>
          <t>4501</t>
        </is>
      </c>
      <c r="E239" t="inlineStr">
        <is>
          <t>Fortalecimiento de la convivencia y la seguridad ciudadana</t>
        </is>
      </c>
      <c r="F239" t="inlineStr">
        <is>
          <t>4501049</t>
        </is>
      </c>
      <c r="G239" t="inlineStr">
        <is>
          <t>Servicio de educación informal</t>
        </is>
      </c>
      <c r="H239" t="inlineStr">
        <is>
          <t>450104900</t>
        </is>
      </c>
      <c r="I239" t="inlineStr">
        <is>
          <t>Personas capacitadas</t>
        </is>
      </c>
      <c r="J239" t="inlineStr">
        <is>
          <t>2024258170018</t>
        </is>
      </c>
      <c r="K239" t="inlineStr">
        <is>
          <t>Si</t>
        </is>
      </c>
      <c r="L239" t="inlineStr">
        <is>
          <t>Número</t>
        </is>
      </c>
      <c r="M239">
        <v>24000</v>
      </c>
      <c r="N239">
        <v>6000</v>
      </c>
      <c r="O239">
        <v>6000</v>
      </c>
      <c r="P239">
        <v>6000</v>
      </c>
      <c r="Q239">
        <v>6000</v>
      </c>
      <c r="R239" t="inlineStr">
        <is>
          <t xml:space="preserve"> </t>
        </is>
      </c>
      <c r="S239" s="103" t="inlineStr">
        <is>
          <t xml:space="preserve"> </t>
        </is>
      </c>
      <c r="T239" t="inlineStr">
        <is>
          <t>No se encontró ejecución en PIIP</t>
        </is>
      </c>
      <c r="U239" t="inlineStr">
        <is>
          <t xml:space="preserve"> </t>
        </is>
      </c>
      <c r="V239" s="104" t="inlineStr">
        <is>
          <t xml:space="preserve"> </t>
        </is>
      </c>
      <c r="W239" t="inlineStr">
        <is>
          <t>No se encontró ejecución en PIIP</t>
        </is>
      </c>
    </row>
    <row r="240">
      <c r="A240" t="inlineStr">
        <is>
          <t>IP-247</t>
        </is>
      </c>
      <c r="B240" t="inlineStr">
        <is>
          <t>43</t>
        </is>
      </c>
      <c r="C240" t="inlineStr">
        <is>
          <t>Deporte y Recreación</t>
        </is>
      </c>
      <c r="D240" t="inlineStr">
        <is>
          <t>4301</t>
        </is>
      </c>
      <c r="E240" t="inlineStr">
        <is>
          <t>Fomento a la recreación, la actividad física y el deporte para desarrollar entornos de convivencia y paz</t>
        </is>
      </c>
      <c r="F240" t="inlineStr">
        <is>
          <t>4301004</t>
        </is>
      </c>
      <c r="G240" t="inlineStr">
        <is>
          <t>Servicio de mantenimiento a la infraestructura deportiva</t>
        </is>
      </c>
      <c r="H240" t="inlineStr">
        <is>
          <t>430100400</t>
        </is>
      </c>
      <c r="I240" t="inlineStr">
        <is>
          <t>Infraestructura deportiva mantenida</t>
        </is>
      </c>
      <c r="J240" t="inlineStr">
        <is>
          <t>202400000005086</t>
        </is>
      </c>
      <c r="K240" t="inlineStr">
        <is>
          <t>Si</t>
        </is>
      </c>
      <c r="L240" t="inlineStr">
        <is>
          <t>Número</t>
        </is>
      </c>
      <c r="M240">
        <v>15</v>
      </c>
      <c r="N240">
        <v>0.1</v>
      </c>
      <c r="O240">
        <v>5</v>
      </c>
      <c r="P240">
        <v>5</v>
      </c>
      <c r="Q240">
        <v>4.9</v>
      </c>
      <c r="R240" t="inlineStr">
        <is>
          <t xml:space="preserve"> </t>
        </is>
      </c>
      <c r="S240" s="103" t="inlineStr">
        <is>
          <t xml:space="preserve"> </t>
        </is>
      </c>
      <c r="T240" t="inlineStr">
        <is>
          <t>No se encontró ejecución en PIIP</t>
        </is>
      </c>
      <c r="U240" t="inlineStr">
        <is>
          <t xml:space="preserve"> </t>
        </is>
      </c>
      <c r="V240" s="104" t="inlineStr">
        <is>
          <t xml:space="preserve"> </t>
        </is>
      </c>
      <c r="W240" t="inlineStr">
        <is>
          <t>No se encontró ejecución en PIIP</t>
        </is>
      </c>
    </row>
    <row r="241">
      <c r="A241" t="inlineStr">
        <is>
          <t>IP-248</t>
        </is>
      </c>
      <c r="B241" t="inlineStr">
        <is>
          <t>32</t>
        </is>
      </c>
      <c r="C241" t="inlineStr">
        <is>
          <t>Ambiente y desarrollo sostenible</t>
        </is>
      </c>
      <c r="D241" t="inlineStr">
        <is>
          <t>3208</t>
        </is>
      </c>
      <c r="E241" t="inlineStr">
        <is>
          <t xml:space="preserve">Educación Ambiental </t>
        </is>
      </c>
      <c r="F241" t="inlineStr">
        <is>
          <t>3208006</t>
        </is>
      </c>
      <c r="G241" t="inlineStr">
        <is>
          <t>Servicio de asistencia técnica para la implementación de lasestrategias educativo ambientales y de participación</t>
        </is>
      </c>
      <c r="H241" t="inlineStr">
        <is>
          <t>320800600</t>
        </is>
      </c>
      <c r="I241" t="inlineStr">
        <is>
          <t xml:space="preserve">Estrategias educativo ambientales y de participación implementadas </t>
        </is>
      </c>
      <c r="J241" t="inlineStr">
        <is>
          <t>2024258170053</t>
        </is>
      </c>
      <c r="K241" t="inlineStr">
        <is>
          <t>Si</t>
        </is>
      </c>
      <c r="L241" t="inlineStr">
        <is>
          <t>Número</t>
        </is>
      </c>
      <c r="M241">
        <v>7</v>
      </c>
      <c r="N241">
        <v>1</v>
      </c>
      <c r="O241">
        <v>2</v>
      </c>
      <c r="P241">
        <v>2</v>
      </c>
      <c r="Q241">
        <v>2</v>
      </c>
      <c r="R241">
        <v>1</v>
      </c>
      <c r="S241" s="103">
        <v>1</v>
      </c>
      <c r="T241" t="inlineStr">
        <is>
          <t>Se ejecutó el 100% de lo programado en la vigencia</t>
        </is>
      </c>
      <c r="U241">
        <v>1.9</v>
      </c>
      <c r="V241" s="104">
        <v>0.95</v>
      </c>
      <c r="W241" t="inlineStr">
        <is>
          <t>Lo ejecutado está por debajo de lo programado en la vigencia</t>
        </is>
      </c>
    </row>
    <row r="242">
      <c r="A242" t="inlineStr">
        <is>
          <t>IP-249</t>
        </is>
      </c>
      <c r="B242" t="inlineStr">
        <is>
          <t>24</t>
        </is>
      </c>
      <c r="C242" t="inlineStr">
        <is>
          <t>Transporte</t>
        </is>
      </c>
      <c r="D242" t="inlineStr">
        <is>
          <t>2402</t>
        </is>
      </c>
      <c r="E242" t="inlineStr">
        <is>
          <t>Infraestructura red vial regional</t>
        </is>
      </c>
      <c r="F242" t="inlineStr">
        <is>
          <t>2402113</t>
        </is>
      </c>
      <c r="G242" t="inlineStr">
        <is>
          <t>Vía urbana construida</t>
        </is>
      </c>
      <c r="H242" t="inlineStr">
        <is>
          <t>240211300</t>
        </is>
      </c>
      <c r="I242" t="inlineStr">
        <is>
          <t xml:space="preserve">Vía urbana construida </t>
        </is>
      </c>
      <c r="J242" t="inlineStr">
        <is>
          <t>202400000006693</t>
        </is>
      </c>
      <c r="K242" t="inlineStr">
        <is>
          <t>Si</t>
        </is>
      </c>
      <c r="L242" t="inlineStr">
        <is>
          <t>Kilómetros</t>
        </is>
      </c>
      <c r="M242">
        <v>15</v>
      </c>
      <c r="N242">
        <v>0.5</v>
      </c>
      <c r="O242">
        <v>2</v>
      </c>
      <c r="P242">
        <v>5</v>
      </c>
      <c r="Q242">
        <v>7.5</v>
      </c>
      <c r="R242" t="inlineStr">
        <is>
          <t xml:space="preserve"> </t>
        </is>
      </c>
      <c r="S242" s="103" t="inlineStr">
        <is>
          <t xml:space="preserve"> </t>
        </is>
      </c>
      <c r="T242" t="inlineStr">
        <is>
          <t>No se encontró ejecución en PIIP</t>
        </is>
      </c>
      <c r="U242" t="inlineStr">
        <is>
          <t xml:space="preserve"> </t>
        </is>
      </c>
      <c r="V242" s="104" t="inlineStr">
        <is>
          <t xml:space="preserve"> </t>
        </is>
      </c>
      <c r="W242" t="inlineStr">
        <is>
          <t>No se encontró ejecución en PIIP</t>
        </is>
      </c>
    </row>
    <row r="243">
      <c r="A243" t="inlineStr">
        <is>
          <t>IP-250</t>
        </is>
      </c>
      <c r="B243" t="inlineStr">
        <is>
          <t>45</t>
        </is>
      </c>
      <c r="C243" t="inlineStr">
        <is>
          <t>Gobierno Territorial</t>
        </is>
      </c>
      <c r="D243" t="inlineStr">
        <is>
          <t>4599</t>
        </is>
      </c>
      <c r="E243" t="inlineStr">
        <is>
          <t>Fortalecimiento a la gestión y dirección de la administración pública territorial</t>
        </is>
      </c>
      <c r="F243" t="inlineStr">
        <is>
          <t>4599033</t>
        </is>
      </c>
      <c r="G243" t="inlineStr">
        <is>
          <t>Servicio de información para el registro administrativo de SISBEN</t>
        </is>
      </c>
      <c r="H243" t="inlineStr">
        <is>
          <t>459903300</t>
        </is>
      </c>
      <c r="I243" t="inlineStr">
        <is>
          <t>Hogares que realizaron la encuesta</t>
        </is>
      </c>
      <c r="J243" t="inlineStr">
        <is>
          <t>202400000005452</t>
        </is>
      </c>
      <c r="K243" t="inlineStr">
        <is>
          <t>No</t>
        </is>
      </c>
      <c r="L243" t="inlineStr">
        <is>
          <t>Número</t>
        </is>
      </c>
      <c r="M243">
        <v>1</v>
      </c>
      <c r="N243">
        <v>1</v>
      </c>
      <c r="O243">
        <v>1</v>
      </c>
      <c r="P243">
        <v>1</v>
      </c>
      <c r="Q243">
        <v>1</v>
      </c>
      <c r="R243" t="inlineStr">
        <is>
          <t xml:space="preserve"> </t>
        </is>
      </c>
      <c r="S243" s="103" t="inlineStr">
        <is>
          <t xml:space="preserve"> </t>
        </is>
      </c>
      <c r="T243" t="inlineStr">
        <is>
          <t>No se encontró ejecución en PIIP</t>
        </is>
      </c>
      <c r="U243">
        <v>0.3</v>
      </c>
      <c r="V243" s="104">
        <v>0.3</v>
      </c>
      <c r="W243" t="inlineStr">
        <is>
          <t>Lo ejecutado está por debajo de lo programado en la vigencia</t>
        </is>
      </c>
    </row>
    <row r="244">
      <c r="A244" t="inlineStr">
        <is>
          <t>IP-251</t>
        </is>
      </c>
      <c r="B244" t="inlineStr">
        <is>
          <t>22</t>
        </is>
      </c>
      <c r="C244" t="inlineStr">
        <is>
          <t>Educación</t>
        </is>
      </c>
      <c r="D244" t="inlineStr">
        <is>
          <t>2201</t>
        </is>
      </c>
      <c r="E244" t="inlineStr">
        <is>
          <t>Calidad, cobertura y fortalecimiento de la educación inicial, prescolar, básica y media</t>
        </is>
      </c>
      <c r="F244" t="inlineStr">
        <is>
          <t>2201070</t>
        </is>
      </c>
      <c r="G244" t="inlineStr">
        <is>
          <t>Ambientes de aprendizaje para la educación inicial preescolar, básica y media dotados</t>
        </is>
      </c>
      <c r="H244" t="inlineStr">
        <is>
          <t>220107000</t>
        </is>
      </c>
      <c r="I244" t="inlineStr">
        <is>
          <t>Ambientes de aprendizaje dotados</t>
        </is>
      </c>
      <c r="J244" t="inlineStr">
        <is>
          <t>202400000005692</t>
        </is>
      </c>
      <c r="K244" t="inlineStr">
        <is>
          <t>No</t>
        </is>
      </c>
      <c r="L244" t="inlineStr">
        <is>
          <t>Número</t>
        </is>
      </c>
      <c r="M244">
        <v>11</v>
      </c>
      <c r="N244">
        <v>11</v>
      </c>
      <c r="O244">
        <v>11</v>
      </c>
      <c r="P244">
        <v>11</v>
      </c>
      <c r="Q244">
        <v>11</v>
      </c>
      <c r="R244" t="inlineStr">
        <is>
          <t xml:space="preserve"> </t>
        </is>
      </c>
      <c r="S244" s="103" t="inlineStr">
        <is>
          <t xml:space="preserve"> </t>
        </is>
      </c>
      <c r="T244" t="inlineStr">
        <is>
          <t>No se encontró ejecución en PIIP</t>
        </is>
      </c>
      <c r="U244">
        <v>5.14</v>
      </c>
      <c r="V244" s="104">
        <v>0.467272727272727</v>
      </c>
      <c r="W244" t="inlineStr">
        <is>
          <t>Lo ejecutado está por debajo de lo programado en la vigencia</t>
        </is>
      </c>
    </row>
    <row r="245">
      <c r="A245" t="inlineStr">
        <is>
          <t>IP-252</t>
        </is>
      </c>
      <c r="B245" t="inlineStr">
        <is>
          <t>45</t>
        </is>
      </c>
      <c r="C245" t="inlineStr">
        <is>
          <t>Gobierno Territorial</t>
        </is>
      </c>
      <c r="D245" t="inlineStr">
        <is>
          <t>4599</t>
        </is>
      </c>
      <c r="E245" t="inlineStr">
        <is>
          <t>Fortalecimiento a la gestión y dirección de la administración pública territorial</t>
        </is>
      </c>
      <c r="F245" t="inlineStr">
        <is>
          <t>4599007</t>
        </is>
      </c>
      <c r="G245" t="inlineStr">
        <is>
          <t>Servicios tecnológicos</t>
        </is>
      </c>
      <c r="H245" t="inlineStr">
        <is>
          <t>459900700</t>
        </is>
      </c>
      <c r="I245" t="inlineStr">
        <is>
          <t>Índice de capacidad en la prestación de servicios de tecnología</t>
        </is>
      </c>
      <c r="J245" t="inlineStr">
        <is>
          <t>202400000006673</t>
        </is>
      </c>
      <c r="K245" t="inlineStr">
        <is>
          <t>Si</t>
        </is>
      </c>
      <c r="L245" t="inlineStr">
        <is>
          <t>Porcentaje</t>
        </is>
      </c>
      <c r="M245">
        <v>100</v>
      </c>
      <c r="N245">
        <v>25</v>
      </c>
      <c r="O245">
        <v>25</v>
      </c>
      <c r="P245">
        <v>25</v>
      </c>
      <c r="Q245">
        <v>25</v>
      </c>
      <c r="R245" t="inlineStr">
        <is>
          <t xml:space="preserve"> </t>
        </is>
      </c>
      <c r="S245" s="103" t="inlineStr">
        <is>
          <t xml:space="preserve"> </t>
        </is>
      </c>
      <c r="T245" t="inlineStr">
        <is>
          <t>No se encontró ejecución en PIIP</t>
        </is>
      </c>
      <c r="U245" t="inlineStr">
        <is>
          <t xml:space="preserve"> </t>
        </is>
      </c>
      <c r="V245" s="104" t="inlineStr">
        <is>
          <t xml:space="preserve"> </t>
        </is>
      </c>
      <c r="W245" t="inlineStr">
        <is>
          <t>No se encontró ejecución en PIIP</t>
        </is>
      </c>
    </row>
    <row r="246">
      <c r="A246" t="inlineStr">
        <is>
          <t>IP-253</t>
        </is>
      </c>
      <c r="B246" t="inlineStr">
        <is>
          <t>45</t>
        </is>
      </c>
      <c r="C246" t="inlineStr">
        <is>
          <t>Gobierno Territorial</t>
        </is>
      </c>
      <c r="D246" t="inlineStr">
        <is>
          <t>4501</t>
        </is>
      </c>
      <c r="E246" t="inlineStr">
        <is>
          <t>Fortalecimiento de la convivencia y la seguridad ciudadana</t>
        </is>
      </c>
      <c r="F246" t="inlineStr">
        <is>
          <t>4501018</t>
        </is>
      </c>
      <c r="G246" t="inlineStr">
        <is>
          <t>Comisarías de familia dotadas</t>
        </is>
      </c>
      <c r="H246" t="inlineStr">
        <is>
          <t>450101800</t>
        </is>
      </c>
      <c r="I246" t="inlineStr">
        <is>
          <t>Comisarías de familia dotada</t>
        </is>
      </c>
      <c r="J246" t="inlineStr">
        <is>
          <t>2024258170021</t>
        </is>
      </c>
      <c r="K246" t="inlineStr">
        <is>
          <t>No</t>
        </is>
      </c>
      <c r="L246" t="inlineStr">
        <is>
          <t>Número</t>
        </is>
      </c>
      <c r="M246">
        <v>100</v>
      </c>
      <c r="N246">
        <v>100</v>
      </c>
      <c r="O246">
        <v>100</v>
      </c>
      <c r="P246">
        <v>100</v>
      </c>
      <c r="Q246">
        <v>100</v>
      </c>
      <c r="R246" t="inlineStr">
        <is>
          <t xml:space="preserve"> </t>
        </is>
      </c>
      <c r="S246" s="103" t="inlineStr">
        <is>
          <t xml:space="preserve"> </t>
        </is>
      </c>
      <c r="T246" t="inlineStr">
        <is>
          <t>No se encontró ejecución en PIIP</t>
        </is>
      </c>
      <c r="U246" t="inlineStr">
        <is>
          <t xml:space="preserve"> </t>
        </is>
      </c>
      <c r="V246" s="104" t="inlineStr">
        <is>
          <t xml:space="preserve"> </t>
        </is>
      </c>
      <c r="W246" t="inlineStr">
        <is>
          <t>No se encontró ejecución en PIIP</t>
        </is>
      </c>
    </row>
    <row r="247">
      <c r="A247" t="inlineStr">
        <is>
          <t>IP-254</t>
        </is>
      </c>
      <c r="B247" t="inlineStr">
        <is>
          <t>32</t>
        </is>
      </c>
      <c r="C247" t="inlineStr">
        <is>
          <t>Ambiente y desarrollo sostenible</t>
        </is>
      </c>
      <c r="D247" t="inlineStr">
        <is>
          <t>3208</t>
        </is>
      </c>
      <c r="E247" t="inlineStr">
        <is>
          <t xml:space="preserve">Educación Ambiental </t>
        </is>
      </c>
      <c r="F247" t="inlineStr">
        <is>
          <t>3208010</t>
        </is>
      </c>
      <c r="G247" t="inlineStr">
        <is>
          <t>Servicio de educación informal ambiental</t>
        </is>
      </c>
      <c r="H247" t="inlineStr">
        <is>
          <t>320801000</t>
        </is>
      </c>
      <c r="I247" t="inlineStr">
        <is>
          <t>Personas capacitadas</t>
        </is>
      </c>
      <c r="J247" t="inlineStr">
        <is>
          <t>2024258170053</t>
        </is>
      </c>
      <c r="K247" t="inlineStr">
        <is>
          <t>Si</t>
        </is>
      </c>
      <c r="L247" t="inlineStr">
        <is>
          <t>Número</t>
        </is>
      </c>
      <c r="M247">
        <v>1</v>
      </c>
      <c r="N247">
        <v>0.25</v>
      </c>
      <c r="O247">
        <v>0.25</v>
      </c>
      <c r="P247">
        <v>0.25</v>
      </c>
      <c r="Q247">
        <v>0.25</v>
      </c>
      <c r="R247" t="inlineStr">
        <is>
          <t xml:space="preserve"> </t>
        </is>
      </c>
      <c r="S247" s="103" t="inlineStr">
        <is>
          <t xml:space="preserve"> </t>
        </is>
      </c>
      <c r="T247" t="inlineStr">
        <is>
          <t>No se encontró ejecución en PIIP</t>
        </is>
      </c>
      <c r="U247" t="inlineStr">
        <is>
          <t xml:space="preserve"> </t>
        </is>
      </c>
      <c r="V247" s="104" t="inlineStr">
        <is>
          <t xml:space="preserve"> </t>
        </is>
      </c>
      <c r="W247" t="inlineStr">
        <is>
          <t>No se encontró ejecución en PIIP</t>
        </is>
      </c>
    </row>
    <row r="248">
      <c r="A248" t="inlineStr">
        <is>
          <t>IP-255</t>
        </is>
      </c>
      <c r="B248" t="inlineStr">
        <is>
          <t>45</t>
        </is>
      </c>
      <c r="C248" t="inlineStr">
        <is>
          <t>Gobierno Territorial</t>
        </is>
      </c>
      <c r="D248" t="inlineStr">
        <is>
          <t>4501</t>
        </is>
      </c>
      <c r="E248" t="inlineStr">
        <is>
          <t>Fortalecimiento de la convivencia y la seguridad ciudadana</t>
        </is>
      </c>
      <c r="F248" t="inlineStr">
        <is>
          <t>4501063</t>
        </is>
      </c>
      <c r="G248" t="inlineStr">
        <is>
          <t>Servicio de apoyo financiero para la atención integral de animales</t>
        </is>
      </c>
      <c r="H248" t="inlineStr">
        <is>
          <t>450106300</t>
        </is>
      </c>
      <c r="I248" t="inlineStr">
        <is>
          <t>Prestadores del servicio de atención integral de animales apoyados</t>
        </is>
      </c>
      <c r="J248" t="inlineStr">
        <is>
          <t>2024258170023</t>
        </is>
      </c>
      <c r="K248" t="inlineStr">
        <is>
          <t>No</t>
        </is>
      </c>
      <c r="L248" t="inlineStr">
        <is>
          <t>Número</t>
        </is>
      </c>
      <c r="M248">
        <v>100</v>
      </c>
      <c r="N248">
        <v>100</v>
      </c>
      <c r="O248">
        <v>100</v>
      </c>
      <c r="P248">
        <v>100</v>
      </c>
      <c r="Q248">
        <v>100</v>
      </c>
      <c r="R248" t="inlineStr">
        <is>
          <t xml:space="preserve"> </t>
        </is>
      </c>
      <c r="S248" s="103" t="inlineStr">
        <is>
          <t xml:space="preserve"> </t>
        </is>
      </c>
      <c r="T248" t="inlineStr">
        <is>
          <t>No se encontró ejecución en PIIP</t>
        </is>
      </c>
      <c r="U248" t="inlineStr">
        <is>
          <t xml:space="preserve"> </t>
        </is>
      </c>
      <c r="V248" s="104" t="inlineStr">
        <is>
          <t xml:space="preserve"> </t>
        </is>
      </c>
      <c r="W248" t="inlineStr">
        <is>
          <t>No se encontró ejecución en PIIP</t>
        </is>
      </c>
    </row>
    <row r="249">
      <c r="A249" t="inlineStr">
        <is>
          <t>IP-256</t>
        </is>
      </c>
      <c r="B249" t="inlineStr">
        <is>
          <t>40</t>
        </is>
      </c>
      <c r="C249" t="inlineStr">
        <is>
          <t>Vivienda, ciudad y territorio</t>
        </is>
      </c>
      <c r="D249" t="inlineStr">
        <is>
          <t>4002</t>
        </is>
      </c>
      <c r="E249" t="inlineStr">
        <is>
          <t>Ordenamiento territorial y desarrollo urbano</t>
        </is>
      </c>
      <c r="F249" t="inlineStr">
        <is>
          <t>4002016</t>
        </is>
      </c>
      <c r="G249" t="inlineStr">
        <is>
          <t>Documentos de planeación</t>
        </is>
      </c>
      <c r="H249" t="inlineStr">
        <is>
          <t>400201601</t>
        </is>
      </c>
      <c r="I249" t="inlineStr">
        <is>
          <t>Documentos de planeación en Ordenamiento Territorial implementados</t>
        </is>
      </c>
      <c r="J249" t="inlineStr">
        <is>
          <t>202400000006237</t>
        </is>
      </c>
      <c r="K249" t="inlineStr">
        <is>
          <t>Si</t>
        </is>
      </c>
      <c r="L249" t="inlineStr">
        <is>
          <t>Número</t>
        </is>
      </c>
      <c r="M249">
        <v>1</v>
      </c>
      <c r="N249">
        <v>0.1</v>
      </c>
      <c r="O249">
        <v>0.5</v>
      </c>
      <c r="P249">
        <v>0.2</v>
      </c>
      <c r="Q249">
        <v>0.2</v>
      </c>
      <c r="R249" t="inlineStr">
        <is>
          <t xml:space="preserve"> </t>
        </is>
      </c>
      <c r="S249" s="103" t="inlineStr">
        <is>
          <t xml:space="preserve"> </t>
        </is>
      </c>
      <c r="T249" t="inlineStr">
        <is>
          <t>No se encontró ejecución en PIIP</t>
        </is>
      </c>
      <c r="U249" t="inlineStr">
        <is>
          <t xml:space="preserve"> </t>
        </is>
      </c>
      <c r="V249" s="104" t="inlineStr">
        <is>
          <t xml:space="preserve"> </t>
        </is>
      </c>
      <c r="W249" t="inlineStr">
        <is>
          <t>No se encontró ejecución en PIIP</t>
        </is>
      </c>
    </row>
    <row r="250">
      <c r="A250" t="inlineStr">
        <is>
          <t>IP-257</t>
        </is>
      </c>
      <c r="B250" t="inlineStr">
        <is>
          <t>43</t>
        </is>
      </c>
      <c r="C250" t="inlineStr">
        <is>
          <t>Deporte y Recreación</t>
        </is>
      </c>
      <c r="D250" t="inlineStr">
        <is>
          <t>4301</t>
        </is>
      </c>
      <c r="E250" t="inlineStr">
        <is>
          <t>Fomento a la recreación, la actividad física y el deporte para desarrollar entornos de convivencia y paz</t>
        </is>
      </c>
      <c r="F250" t="inlineStr">
        <is>
          <t>4301030</t>
        </is>
      </c>
      <c r="G250" t="inlineStr">
        <is>
          <t>Parque recreo-deportivo construido y dotado</t>
        </is>
      </c>
      <c r="H250" t="inlineStr">
        <is>
          <t>430103000</t>
        </is>
      </c>
      <c r="I250" t="inlineStr">
        <is>
          <t>Parque recreo-deportivo construido y dotado</t>
        </is>
      </c>
      <c r="J250" t="inlineStr">
        <is>
          <t>202400000005086</t>
        </is>
      </c>
      <c r="K250" t="inlineStr">
        <is>
          <t>Si</t>
        </is>
      </c>
      <c r="L250" t="inlineStr">
        <is>
          <t>Número</t>
        </is>
      </c>
      <c r="M250">
        <v>1</v>
      </c>
      <c r="N250">
        <v>0.8</v>
      </c>
      <c r="O250">
        <v>0.2</v>
      </c>
      <c r="P250">
        <v>0</v>
      </c>
      <c r="Q250">
        <v>0</v>
      </c>
      <c r="R250" t="inlineStr">
        <is>
          <t xml:space="preserve"> </t>
        </is>
      </c>
      <c r="S250" s="103" t="inlineStr">
        <is>
          <t xml:space="preserve"> </t>
        </is>
      </c>
      <c r="T250" t="inlineStr">
        <is>
          <t>No se encontró ejecución en PIIP</t>
        </is>
      </c>
      <c r="U250" t="inlineStr">
        <is>
          <t xml:space="preserve"> </t>
        </is>
      </c>
      <c r="V250" s="104" t="inlineStr">
        <is>
          <t xml:space="preserve"> </t>
        </is>
      </c>
      <c r="W250" t="inlineStr">
        <is>
          <t>No se encontró ejecución en PIIP</t>
        </is>
      </c>
    </row>
    <row r="251">
      <c r="A251" t="inlineStr">
        <is>
          <t>IP-258</t>
        </is>
      </c>
      <c r="B251" t="inlineStr">
        <is>
          <t>23</t>
        </is>
      </c>
      <c r="C251" t="inlineStr">
        <is>
          <t>Tecnologías de la información y las comunicaciones</t>
        </is>
      </c>
      <c r="D251" t="inlineStr">
        <is>
          <t>2301</t>
        </is>
      </c>
      <c r="E251" t="inlineStr">
        <is>
          <t>Facilitar el acceso y uso de las Tecnologías de la Información y las Comunicaciones (TIC) en todo el territorio nacional</t>
        </is>
      </c>
      <c r="F251" t="inlineStr">
        <is>
          <t>2301079</t>
        </is>
      </c>
      <c r="G251" t="inlineStr">
        <is>
          <t xml:space="preserve"> Servicio de acceso zonas digitales</t>
        </is>
      </c>
      <c r="H251" t="inlineStr">
        <is>
          <t>230107900</t>
        </is>
      </c>
      <c r="I251" t="inlineStr">
        <is>
          <t>Zonas digitales instaladas</t>
        </is>
      </c>
      <c r="J251" t="inlineStr">
        <is>
          <t>202400000007305</t>
        </is>
      </c>
      <c r="K251" t="inlineStr">
        <is>
          <t>Si</t>
        </is>
      </c>
      <c r="L251" t="inlineStr">
        <is>
          <t>Número</t>
        </is>
      </c>
      <c r="M251">
        <v>16</v>
      </c>
      <c r="N251">
        <v>0.5</v>
      </c>
      <c r="O251">
        <v>8</v>
      </c>
      <c r="P251">
        <v>4</v>
      </c>
      <c r="Q251">
        <v>3.5</v>
      </c>
      <c r="R251" t="inlineStr">
        <is>
          <t xml:space="preserve"> </t>
        </is>
      </c>
      <c r="S251" s="103" t="inlineStr">
        <is>
          <t xml:space="preserve"> </t>
        </is>
      </c>
      <c r="T251" t="inlineStr">
        <is>
          <t>No se encontró ejecución en PIIP</t>
        </is>
      </c>
      <c r="U251" t="inlineStr">
        <is>
          <t xml:space="preserve"> </t>
        </is>
      </c>
      <c r="V251" s="104" t="inlineStr">
        <is>
          <t xml:space="preserve"> </t>
        </is>
      </c>
      <c r="W251" t="inlineStr">
        <is>
          <t>No se encontró ejecución en PIIP</t>
        </is>
      </c>
    </row>
    <row r="252">
      <c r="A252" t="inlineStr">
        <is>
          <t>IP-259</t>
        </is>
      </c>
      <c r="B252" t="inlineStr">
        <is>
          <t>35</t>
        </is>
      </c>
      <c r="C252" t="inlineStr">
        <is>
          <t>Comercio, industria y turismo</t>
        </is>
      </c>
      <c r="D252" t="inlineStr">
        <is>
          <t>3502</t>
        </is>
      </c>
      <c r="E252" t="inlineStr">
        <is>
          <t>Productividad y competitividad de las empresas colombianas</t>
        </is>
      </c>
      <c r="F252" t="inlineStr">
        <is>
          <t>3502090</t>
        </is>
      </c>
      <c r="G252" t="inlineStr">
        <is>
          <t>Servicio de educación informal</t>
        </is>
      </c>
      <c r="H252" t="inlineStr">
        <is>
          <t>350209000</t>
        </is>
      </c>
      <c r="I252" t="inlineStr">
        <is>
          <t>Cursos ofrecidos</t>
        </is>
      </c>
      <c r="J252" t="inlineStr">
        <is>
          <t>202400000006193</t>
        </is>
      </c>
      <c r="K252" t="inlineStr">
        <is>
          <t>Si</t>
        </is>
      </c>
      <c r="L252" t="inlineStr">
        <is>
          <t>Número</t>
        </is>
      </c>
      <c r="M252">
        <v>40</v>
      </c>
      <c r="N252">
        <v>10</v>
      </c>
      <c r="O252">
        <v>10</v>
      </c>
      <c r="P252">
        <v>10</v>
      </c>
      <c r="Q252">
        <v>10</v>
      </c>
      <c r="R252" t="inlineStr">
        <is>
          <t xml:space="preserve"> </t>
        </is>
      </c>
      <c r="S252" s="103" t="inlineStr">
        <is>
          <t xml:space="preserve"> </t>
        </is>
      </c>
      <c r="T252" t="inlineStr">
        <is>
          <t>No se encontró ejecución en PIIP</t>
        </is>
      </c>
      <c r="U252">
        <v>8</v>
      </c>
      <c r="V252" s="104">
        <v>0.8</v>
      </c>
      <c r="W252" t="inlineStr">
        <is>
          <t>Lo ejecutado está por debajo de lo programado en la vigencia</t>
        </is>
      </c>
    </row>
    <row r="253">
      <c r="A253" t="inlineStr">
        <is>
          <t>IP-260</t>
        </is>
      </c>
      <c r="B253" t="inlineStr">
        <is>
          <t>41</t>
        </is>
      </c>
      <c r="C253" t="inlineStr">
        <is>
          <t xml:space="preserve">Inclusión social y reconciliación </t>
        </is>
      </c>
      <c r="D253" t="inlineStr">
        <is>
          <t>4104</t>
        </is>
      </c>
      <c r="E253" t="inlineStr">
        <is>
          <t>Atención integral de población en situación permanente de desprotección social y/o familiar</t>
        </is>
      </c>
      <c r="F253" t="inlineStr">
        <is>
          <t>4104010</t>
        </is>
      </c>
      <c r="G253" t="inlineStr">
        <is>
          <t>Servicio de educación informal a los cuidadores del adulto mayor</t>
        </is>
      </c>
      <c r="H253" t="inlineStr">
        <is>
          <t>410401000</t>
        </is>
      </c>
      <c r="I253" t="inlineStr">
        <is>
          <t>Cuidadores cualificados</t>
        </is>
      </c>
      <c r="J253" t="inlineStr">
        <is>
          <t>202500000003385</t>
        </is>
      </c>
      <c r="K253" t="inlineStr">
        <is>
          <t>No</t>
        </is>
      </c>
      <c r="L253" t="inlineStr">
        <is>
          <t>Número</t>
        </is>
      </c>
      <c r="M253">
        <v>1</v>
      </c>
      <c r="N253">
        <v>1</v>
      </c>
      <c r="O253">
        <v>1</v>
      </c>
      <c r="P253">
        <v>1</v>
      </c>
      <c r="Q253">
        <v>1</v>
      </c>
      <c r="R253" t="inlineStr">
        <is>
          <t xml:space="preserve"> </t>
        </is>
      </c>
      <c r="S253" s="103" t="inlineStr">
        <is>
          <t xml:space="preserve"> </t>
        </is>
      </c>
      <c r="T253" t="inlineStr">
        <is>
          <t>No se encontró ejecución en PIIP</t>
        </is>
      </c>
      <c r="U253" t="inlineStr">
        <is>
          <t xml:space="preserve"> </t>
        </is>
      </c>
      <c r="V253" s="104" t="inlineStr">
        <is>
          <t xml:space="preserve"> </t>
        </is>
      </c>
      <c r="W253" t="inlineStr">
        <is>
          <t>No se encontró ejecución en PIIP</t>
        </is>
      </c>
    </row>
    <row r="254">
      <c r="A254" t="inlineStr">
        <is>
          <t>IP-425</t>
        </is>
      </c>
      <c r="B254" t="inlineStr">
        <is>
          <t>22</t>
        </is>
      </c>
      <c r="C254" t="inlineStr">
        <is>
          <t>Educación</t>
        </is>
      </c>
      <c r="D254" t="inlineStr">
        <is>
          <t>2201</t>
        </is>
      </c>
      <c r="E254" t="inlineStr">
        <is>
          <t>Calidad, cobertura y fortalecimiento de la educación inicial, prescolar, básica y media</t>
        </is>
      </c>
      <c r="F254" t="inlineStr">
        <is>
          <t>2201051</t>
        </is>
      </c>
      <c r="G254" t="inlineStr">
        <is>
          <t>Infraestructura educativa construida</t>
        </is>
      </c>
      <c r="H254" t="inlineStr">
        <is>
          <t>220105100</t>
        </is>
      </c>
      <c r="I254" t="inlineStr">
        <is>
          <t xml:space="preserve">Sedes educativas nuevas construidas </t>
        </is>
      </c>
      <c r="J254" t="inlineStr">
        <is>
          <t>202400000005692</t>
        </is>
      </c>
      <c r="K254" t="inlineStr">
        <is>
          <t>No</t>
        </is>
      </c>
      <c r="L254" t="inlineStr">
        <is>
          <t>Número</t>
        </is>
      </c>
      <c r="M254">
        <v>3</v>
      </c>
      <c r="N254">
        <v>0</v>
      </c>
      <c r="O254">
        <v>1</v>
      </c>
      <c r="P254">
        <v>0</v>
      </c>
      <c r="Q254">
        <v>0</v>
      </c>
      <c r="R254" t="inlineStr">
        <is>
          <t xml:space="preserve"> </t>
        </is>
      </c>
      <c r="S254" s="103" t="inlineStr">
        <is>
          <t xml:space="preserve"> </t>
        </is>
      </c>
      <c r="T254" t="inlineStr">
        <is>
          <t>No se encontró ejecución en PIIP</t>
        </is>
      </c>
      <c r="U254">
        <v>0</v>
      </c>
      <c r="V254" s="104">
        <v>0</v>
      </c>
      <c r="W254" t="inlineStr">
        <is>
          <t>No se ejecutó en la vigencia</t>
        </is>
      </c>
    </row>
    <row r="255">
      <c r="S255" s="103"/>
      <c r="V255" s="104"/>
    </row>
  </sheetData>
  <mergeCells count="6">
    <mergeCell ref="U6:W6"/>
    <mergeCell ref="N6:Q6"/>
    <mergeCell ref="A2:M2"/>
    <mergeCell ref="A3:M3"/>
    <mergeCell ref="R6:T6"/>
    <mergeCell ref="A4:K4"/>
  </mergeCells>
  <conditionalFormatting sqref="S8:S1048576">
    <cfRule type="cellIs" dxfId="1" priority="1" operator="between">
      <formula>1.0000001</formula>
      <formula>999999999</formula>
    </cfRule>
  </conditionalFormatting>
  <conditionalFormatting sqref="S8:S1048576">
    <cfRule type="colorScale" priority="3">
      <colorScale>
        <cfvo type="num" val="0"/>
        <cfvo type="num" val="0.5"/>
        <cfvo type="num" val="1"/>
        <color rgb="FFFB9985"/>
        <color rgb="FFFCF797"/>
        <color rgb="FFADEC9E"/>
      </colorScale>
    </cfRule>
  </conditionalFormatting>
  <conditionalFormatting sqref="V8:V1048576">
    <cfRule type="cellIs" dxfId="0" priority="2" operator="between">
      <formula>1.00000001</formula>
      <formula>9999999999</formula>
    </cfRule>
  </conditionalFormatting>
  <conditionalFormatting sqref="V8:V1048576">
    <cfRule type="colorScale" priority="5">
      <colorScale>
        <cfvo type="num" val="0"/>
        <cfvo type="num" val="0.5"/>
        <cfvo type="num" val="1"/>
        <color rgb="FFFB9985"/>
        <color rgb="FFFCF797"/>
        <color rgb="FFADEC9E"/>
      </colorScale>
    </cfRule>
  </conditionalFormatting>
  <pageMargins left="0.7" right="0.7" top="0.75" bottom="0.75" header="0.3" footer="0.3"/>
  <pageSetup orientation="portrait" r:id="rId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Company/>
  <DocSecurity>0</DocSecurity>
  <HeadingPairs>
    <vt:vector size="2" baseType="variant">
      <vt:variant>
        <vt:lpstr>Hojas de cálculo</vt:lpstr>
      </vt:variant>
      <vt:variant>
        <vt:i4>3</vt:i4>
      </vt:variant>
    </vt:vector>
  </HeadingPairs>
  <HyperlinksChanged>false</HyperlinksChanged>
  <LinksUpToDate>false</LinksUpToDate>
  <ScaleCrop>false</ScaleCrop>
  <SharedDoc>false</SharedDoc>
  <TitlesOfParts>
    <vt:vector size="3" baseType="lpstr">
      <vt:lpstr>Resumen</vt:lpstr>
      <vt:lpstr>Detalle seguimiento financiero</vt:lpstr>
      <vt:lpstr>Detalle seguimiento físico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Andres Gallegos Vargas</dc:creator>
  <cp:lastModifiedBy>German Andres Gallegos Vargas</cp:lastModifiedBy>
  <dcterms:created xsi:type="dcterms:W3CDTF">2025-07-07T13:41:15Z</dcterms:created>
  <dcterms:modified xsi:type="dcterms:W3CDTF">2025-11-20T23:01:40Z</dcterms:modified>
</cp:coreProperties>
</file>