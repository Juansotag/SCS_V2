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<sst xmlns="http://schemas.openxmlformats.org/spreadsheetml/2006/main" count="135" uniqueCount="135">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</sst>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ables/table1.xml><?xml version="1.0" encoding="utf-8"?>
<table xmlns="http://schemas.openxmlformats.org/spreadsheetml/2006/main" xmlns:mc="http://schemas.openxmlformats.org/markup-compatibility/2006" id="1" name="seguim_fciero" displayName="seguim_fciero" ref="A7:X149" totalsRowCount="0" totalsRowShown="0">
  <autoFilter ref="A7:X149"/>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179" totalsRowCount="0" totalsRowShown="0">
  <autoFilter ref="A7:W179"/>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ZIPAQUIRÁ CREE, PROTEGE Y AVANZA 2024-2028</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Zipaquirá,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ZIPAQUIRÁ AVANZA.</t>
        </is>
      </c>
      <c r="Q7" s="6">
        <v>55127.8148358</v>
      </c>
      <c r="R7" s="6">
        <v>126365.46298786</v>
      </c>
      <c r="S7" s="6">
        <v>171008.47712766</v>
      </c>
      <c r="T7" s="6">
        <v>74678.71533266</v>
      </c>
      <c r="U7" s="7">
        <f t="shared" ref="U7" si="0">SUM(Q7:T7)</f>
        <v>0</v>
      </c>
      <c r="V7" s="8">
        <f t="shared" ref="V7:V70" si="1">IF(P7="","",INDEX(Q7:U7,MATCH($D$16,$C$23:$G$23,0)))</f>
        <v>0</v>
      </c>
      <c r="W7" s="42" t="str">
        <f>IFERROR(IF(P7="","",CONCATENATE(TEXT(V7,$U$2)," (",TEXT(V7*100/$I$23,$U$3),"%)")),"")</f>
      </c>
    </row>
    <row r="8" spans="2:28" x14ac:dyDescent="0.25">
      <c r="P8" s="6" t="inlineStr">
        <is>
          <t>ZIPAQUIRÁ CREE.</t>
        </is>
      </c>
      <c r="Q8" s="6">
        <v>51740.2998889164</v>
      </c>
      <c r="R8" s="6">
        <v>67537.3826523078</v>
      </c>
      <c r="S8" s="6">
        <v>25617.5781860324</v>
      </c>
      <c r="T8" s="6">
        <v>26320.1703550193</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ZIPAQUIRÁ PROTEGE.</t>
        </is>
      </c>
      <c r="Q9" s="6">
        <v>59942.531044</v>
      </c>
      <c r="R9" s="6">
        <v>138796.44978716</v>
      </c>
      <c r="S9" s="6">
        <v>208043.666014735</v>
      </c>
      <c r="T9" s="6">
        <v>199157.210940961</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c r="Q10" s="6"/>
      <c r="R10" s="6"/>
      <c r="S10" s="6"/>
      <c r="T10" s="6"/>
      <c r="U10" s="7">
        <f t="shared" si="4"/>
        <v>0</v>
      </c>
      <c r="V10" s="8" t="str">
        <f t="shared" si="1"/>
      </c>
      <c r="W10" s="42" t="str">
        <f t="shared" si="3"/>
      </c>
    </row>
    <row r="11" spans="2:28" x14ac:dyDescent="0.25">
      <c r="P11" s="6"/>
      <c r="Q11" s="6"/>
      <c r="R11" s="6"/>
      <c r="S11" s="6"/>
      <c r="T11" s="6"/>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12432.957014</v>
      </c>
      <c r="D24" s="14">
        <v>16104.460392</v>
      </c>
      <c r="E24" s="14">
        <v>16090.460386</v>
      </c>
      <c r="F24" s="14">
        <v>14992.12221</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1484.498962</v>
      </c>
      <c r="D25" s="14">
        <v>9942.50879116</v>
      </c>
      <c r="E25" s="14">
        <v>7641.0577720754</v>
      </c>
      <c r="F25" s="14">
        <v>5403.4313589812</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0</v>
      </c>
      <c r="D26" s="14">
        <v>0</v>
      </c>
      <c r="E26" s="14">
        <v>0</v>
      </c>
      <c r="F26" s="14">
        <v>0</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2500</v>
      </c>
      <c r="D27" s="9">
        <v>2619</v>
      </c>
      <c r="E27" s="9">
        <v>2615.5</v>
      </c>
      <c r="F27" s="9">
        <v>2615.5</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1931.808752</v>
      </c>
      <c r="D28" s="9">
        <v>40631.3701185</v>
      </c>
      <c r="E28" s="9">
        <v>1009.4616223952</v>
      </c>
      <c r="F28" s="9">
        <v>1041.5980410857</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1486.118686</v>
      </c>
      <c r="D30" s="9">
        <v>5705.4319064</v>
      </c>
      <c r="E30" s="9">
        <v>1423.9999999996</v>
      </c>
      <c r="F30" s="9">
        <v>1465.9999999998</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0</v>
      </c>
      <c r="D31" s="9">
        <v>0</v>
      </c>
      <c r="E31" s="9">
        <v>0</v>
      </c>
      <c r="F31" s="9">
        <v>0</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10354.1914728964</v>
      </c>
      <c r="D32" s="9">
        <v>26559.2569060328</v>
      </c>
      <c r="E32" s="9">
        <v>33329.2597856748</v>
      </c>
      <c r="F32" s="9">
        <v>27031.6071428428</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0</v>
      </c>
      <c r="D33" s="9">
        <v>0</v>
      </c>
      <c r="E33" s="9">
        <v>0</v>
      </c>
      <c r="F33" s="9">
        <v>0</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44541.866666</v>
      </c>
      <c r="D34" s="9">
        <v>7751.370666</v>
      </c>
      <c r="E34" s="9">
        <v>4776.714666</v>
      </c>
      <c r="F34" s="9">
        <v>960.048</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1617.088074</v>
      </c>
      <c r="D35" s="9">
        <v>9921.840542</v>
      </c>
      <c r="E35" s="9">
        <v>12832.744008</v>
      </c>
      <c r="F35" s="9">
        <v>7815.734626</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741</v>
      </c>
      <c r="D36" s="9">
        <v>14145.2</v>
      </c>
      <c r="E36" s="9">
        <v>14737.4</v>
      </c>
      <c r="F36" s="9">
        <v>13698.4</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52496.384104</v>
      </c>
      <c r="D38" s="9">
        <v>102386.0551</v>
      </c>
      <c r="E38" s="9">
        <v>165212.99777466</v>
      </c>
      <c r="F38" s="9">
        <v>171180.91667198</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1615.98097802</v>
      </c>
      <c r="D39" s="9">
        <v>6691.146387375</v>
      </c>
      <c r="E39" s="9">
        <v>7469.0454439628</v>
      </c>
      <c r="F39" s="9">
        <v>7673.753837091</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0</v>
      </c>
      <c r="D40" s="9">
        <v>800</v>
      </c>
      <c r="E40" s="9">
        <v>0</v>
      </c>
      <c r="F40" s="9">
        <v>0</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0</v>
      </c>
      <c r="D41" s="9">
        <v>0</v>
      </c>
      <c r="E41" s="9">
        <v>0</v>
      </c>
      <c r="F41" s="9">
        <v>0</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35608.7510598</v>
      </c>
      <c r="D42" s="9">
        <v>89441.65461786</v>
      </c>
      <c r="E42" s="9">
        <v>137531.07986966</v>
      </c>
      <c r="F42" s="9">
        <v>46276.98474066</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48956.0806969164</v>
      </c>
      <c r="D43" s="9">
        <v>148704.962823969</v>
      </c>
      <c r="E43" s="9">
        <v>47440.623914373</v>
      </c>
      <c r="F43" s="9">
        <v>43144.692179575</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0</v>
      </c>
      <c r="D44" s="9">
        <v>0</v>
      </c>
      <c r="E44" s="9">
        <v>0</v>
      </c>
      <c r="F44" s="9">
        <v>0</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17890.035214</v>
      </c>
      <c r="D45" s="9">
        <v>38484.25717</v>
      </c>
      <c r="E45" s="9">
        <v>0</v>
      </c>
      <c r="F45" s="9">
        <v>0</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349.459576</v>
      </c>
      <c r="D46" s="9">
        <v>1529.45918</v>
      </c>
      <c r="E46" s="9">
        <v>1423.9999999996</v>
      </c>
      <c r="F46" s="9">
        <v>1465.9999999998</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255.395618</v>
      </c>
      <c r="D47" s="9">
        <v>1084.220749</v>
      </c>
      <c r="E47" s="9">
        <v>1009.4616223952</v>
      </c>
      <c r="F47" s="9">
        <v>1041.5980410857</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433.167752</v>
      </c>
      <c r="D48" s="9">
        <v>3699.8717055</v>
      </c>
      <c r="E48" s="9">
        <v>1506.61625</v>
      </c>
      <c r="F48" s="9">
        <v>1275.878418</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0</v>
      </c>
      <c r="D50" s="9">
        <v>0</v>
      </c>
      <c r="E50" s="9">
        <v>0</v>
      </c>
      <c r="F50" s="9">
        <v>0</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7930</v>
      </c>
      <c r="D52" s="9">
        <v>33909.647415</v>
      </c>
      <c r="E52" s="9">
        <v>100063.647415</v>
      </c>
      <c r="F52" s="9">
        <v>16410</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40000</v>
      </c>
      <c r="D53" s="9">
        <v>0</v>
      </c>
      <c r="E53" s="9">
        <v>0</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1310</v>
      </c>
      <c r="D54" s="9">
        <v>14987.49119</v>
      </c>
      <c r="E54" s="9">
        <v>31493.623322</v>
      </c>
      <c r="F54" s="9">
        <v>15932.800002</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0</v>
      </c>
      <c r="D55" s="9">
        <v>0</v>
      </c>
      <c r="E55" s="9">
        <v>233.333332</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49686.5069118</v>
      </c>
      <c r="D56" s="9">
        <v>90299.385193859</v>
      </c>
      <c r="E56" s="9">
        <v>221498.41547266</v>
      </c>
      <c r="F56" s="9">
        <v>220885.12798798</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0.508</v>
      </c>
      <c r="D57" s="9">
        <v>1467.830668</v>
      </c>
      <c r="E57" s="9">
        <v>1465.830666</v>
      </c>
      <c r="F57" s="9">
        <v>865.830666</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12165.935376</v>
      </c>
      <c r="D58" s="9">
        <v>12496.054082</v>
      </c>
      <c r="E58" s="9">
        <v>12486.05408</v>
      </c>
      <c r="F58" s="9">
        <v>12451.956462</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53592.594634</v>
      </c>
      <c r="D59" s="9">
        <v>107175.96499986</v>
      </c>
      <c r="E59" s="9">
        <v>167117.929673164</v>
      </c>
      <c r="F59" s="9">
        <v>171236.12125653</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1139.322316</v>
      </c>
      <c r="D60" s="9">
        <v>1867.9493347</v>
      </c>
      <c r="E60" s="9">
        <v>254.1858732986</v>
      </c>
      <c r="F60" s="9">
        <v>262.2779329354</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0</v>
      </c>
      <c r="E61" s="9">
        <v>0</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35190.2978738</v>
      </c>
      <c r="D62" s="9">
        <v>87749.81072702</v>
      </c>
      <c r="E62" s="9">
        <v>133344.377533735</v>
      </c>
      <c r="F62" s="9">
        <v>43764.3417056412</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640</v>
      </c>
      <c r="D63" s="9">
        <v>13363.2</v>
      </c>
      <c r="E63" s="9">
        <v>13363.2</v>
      </c>
      <c r="F63" s="9">
        <v>12363.2</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2524</v>
      </c>
      <c r="D64" s="9">
        <v>3484.4708936</v>
      </c>
      <c r="E64" s="9">
        <v>3395.9309241042</v>
      </c>
      <c r="F64" s="9">
        <v>3080.4015715008</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1615.98097802</v>
      </c>
      <c r="D65" s="9">
        <v>6291.146387375</v>
      </c>
      <c r="E65" s="9">
        <v>7469.0454439628</v>
      </c>
      <c r="F65" s="9">
        <v>7673.753837091</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0</v>
      </c>
      <c r="D66" s="9">
        <v>0</v>
      </c>
      <c r="E66" s="9">
        <v>0</v>
      </c>
      <c r="F66" s="9">
        <v>0</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3559.803654</v>
      </c>
      <c r="D67" s="9">
        <v>48231.98501794</v>
      </c>
      <c r="E67" s="9">
        <v>11192.2824546956</v>
      </c>
      <c r="F67" s="9">
        <v>10297.0974817643</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32.4</v>
      </c>
      <c r="D68" s="9">
        <v>2456.914286</v>
      </c>
      <c r="E68" s="9">
        <v>1325.485714</v>
      </c>
      <c r="F68" s="9">
        <v>551.2</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136</v>
      </c>
      <c r="D69" s="9">
        <v>2276</v>
      </c>
      <c r="E69" s="9">
        <v>4118.2</v>
      </c>
      <c r="F69" s="9">
        <v>1050</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976.84</v>
      </c>
      <c r="D71" s="9">
        <v>2436.493334</v>
      </c>
      <c r="E71" s="9">
        <v>2168.133334</v>
      </c>
      <c r="F71" s="9">
        <v>1446.533334</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14735.5540488964</v>
      </c>
      <c r="D72" s="9">
        <v>41924.8591188328</v>
      </c>
      <c r="E72" s="9">
        <v>45553.0310043146</v>
      </c>
      <c r="F72" s="9">
        <v>33622.3349018912</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40501.408888</v>
      </c>
      <c r="D73" s="9">
        <v>1476.616578</v>
      </c>
      <c r="E73" s="9">
        <v>1416.0346271526</v>
      </c>
      <c r="F73" s="9">
        <v>1491.0474792866</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0</v>
      </c>
      <c r="C95" s="22" t="s">
        <v>76</v>
      </c>
      <c r="L95" s="10"/>
      <c r="M95" s="10"/>
    </row>
    <row r="96" spans="2:20" ht="15.6" customHeight="1" x14ac:dyDescent="0.25">
      <c r="B96" s="23">
        <v>0</v>
      </c>
      <c r="C96" s="22" t="s">
        <v>77</v>
      </c>
    </row>
    <row r="97" spans="2:18" ht="15.6" customHeight="1" x14ac:dyDescent="0.25">
      <c r="B97" s="24">
        <v>69</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42</v>
      </c>
      <c r="C99" s="22" t="s">
        <v>78</v>
      </c>
      <c r="D99" s="10"/>
      <c r="E99" s="10"/>
      <c r="F99" s="10"/>
      <c r="G99" s="10"/>
      <c r="H99" s="10"/>
      <c r="I99" s="2"/>
      <c r="J99" s="10"/>
      <c r="K99" s="10"/>
      <c r="L99" s="10"/>
      <c r="M99" s="10"/>
    </row>
    <row r="100" spans="2:18" ht="15.6" customHeight="1" x14ac:dyDescent="0.25">
      <c r="B100" s="27">
        <v>61</v>
      </c>
      <c r="C100" s="22" t="s">
        <v>92</v>
      </c>
      <c r="D100" s="56"/>
      <c r="E100" s="56"/>
      <c r="F100" s="56"/>
      <c r="G100" s="56"/>
      <c r="H100" s="56"/>
      <c r="I100" s="56"/>
      <c r="J100" s="56"/>
      <c r="K100" s="56"/>
      <c r="L100" s="56"/>
      <c r="M100" s="56"/>
    </row>
    <row r="101" spans="2:18" ht="15.6" customHeight="1" x14ac:dyDescent="0.25">
      <c r="B101" s="17">
        <v>333</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63</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79</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299</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139</v>
      </c>
    </row>
    <row r="136" spans="1:17" x14ac:dyDescent="0.25">
      <c r="B136" s="45">
        <f>Q137+Q139+Q140+Q141</f>
        <v>0</v>
      </c>
      <c r="G136" s="45">
        <f>Q135+Q138+Q139+Q141</f>
        <v>0</v>
      </c>
      <c r="I136" s="70"/>
      <c r="J136" s="70"/>
      <c r="K136" s="70"/>
      <c r="L136" s="70"/>
      <c r="M136" s="85"/>
      <c r="P136" s="1" t="s">
        <v>98</v>
      </c>
      <c r="Q136">
        <v>101</v>
      </c>
    </row>
    <row r="137" spans="1:17" x14ac:dyDescent="0.25">
      <c r="I137" s="28"/>
      <c r="J137" s="28"/>
      <c r="K137" s="28"/>
      <c r="L137" s="28"/>
      <c r="M137" s="28"/>
      <c r="P137" s="1" t="s">
        <v>99</v>
      </c>
      <c r="Q137">
        <v>21</v>
      </c>
    </row>
    <row r="138" spans="1:17" x14ac:dyDescent="0.25">
      <c r="I138" s="70" t="s">
        <v>95</v>
      </c>
      <c r="J138" s="70"/>
      <c r="K138" s="70"/>
      <c r="L138" s="70"/>
      <c r="M138" s="84">
        <f>Q141</f>
        <v>0</v>
      </c>
      <c r="P138" s="1" t="s">
        <v>100</v>
      </c>
      <c r="Q138">
        <v>160</v>
      </c>
    </row>
    <row r="139" spans="1:17" x14ac:dyDescent="0.25">
      <c r="I139" s="70"/>
      <c r="J139" s="70"/>
      <c r="K139" s="70"/>
      <c r="L139" s="70"/>
      <c r="M139" s="85"/>
      <c r="P139" s="1" t="s">
        <v>101</v>
      </c>
      <c r="Q139">
        <v>4</v>
      </c>
    </row>
    <row r="140" spans="1:17" x14ac:dyDescent="0.25">
      <c r="I140" s="28"/>
      <c r="J140" s="28"/>
      <c r="K140" s="28"/>
      <c r="L140" s="28"/>
      <c r="M140" s="28"/>
      <c r="P140" s="1" t="s">
        <v>102</v>
      </c>
      <c r="Q140">
        <v>42</v>
      </c>
    </row>
    <row r="141" spans="1:17" x14ac:dyDescent="0.25">
      <c r="I141" s="70" t="s">
        <v>96</v>
      </c>
      <c r="J141" s="70"/>
      <c r="K141" s="70"/>
      <c r="L141" s="70"/>
      <c r="M141" s="86" t="str">
        <f>IFERROR(M138/M135,"-")</f>
        <v>-</v>
      </c>
      <c r="P141" s="1" t="s">
        <v>103</v>
      </c>
      <c r="Q141">
        <v>75</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150"/>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IP-2, IP-200, IP-202, IP-4</t>
        </is>
      </c>
      <c r="B8" t="inlineStr">
        <is>
          <t>45</t>
        </is>
      </c>
      <c r="C8" t="inlineStr">
        <is>
          <t>Gobierno Territorial</t>
        </is>
      </c>
      <c r="D8" t="inlineStr">
        <is>
          <t>4599</t>
        </is>
      </c>
      <c r="E8" t="inlineStr">
        <is>
          <t>Fortalecimiento a la gestión y dirección de la administración pública territorial</t>
        </is>
      </c>
      <c r="F8" t="inlineStr">
        <is>
          <t>4599002</t>
        </is>
      </c>
      <c r="G8" t="inlineStr">
        <is>
          <t>Servicio de saneamiento fiscal y financiero</t>
        </is>
      </c>
      <c r="H8"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8" t="inlineStr">
        <is>
          <t>2024258990055</t>
        </is>
      </c>
      <c r="J8" s="99">
        <v>7064000000</v>
      </c>
      <c r="K8" s="99">
        <v>520000000</v>
      </c>
      <c r="L8" s="99">
        <v>1100000000</v>
      </c>
      <c r="M8" s="99">
        <v>2722000000</v>
      </c>
      <c r="N8" s="99">
        <v>2722000000</v>
      </c>
      <c r="O8" s="99">
        <v>366166573</v>
      </c>
      <c r="P8" s="99">
        <v>366166573</v>
      </c>
      <c r="Q8" s="99">
        <v>332626665</v>
      </c>
      <c r="R8" s="100">
        <v>0.704166486538462</v>
      </c>
      <c r="S8" t="inlineStr">
        <is>
          <t>Lo obligado está por debajo de lo programado en la vigencia</t>
        </is>
      </c>
      <c r="T8" s="101" t="inlineStr">
        <is>
          <t xml:space="preserve"> </t>
        </is>
      </c>
      <c r="U8" s="101" t="inlineStr">
        <is>
          <t xml:space="preserve"> </t>
        </is>
      </c>
      <c r="V8" s="101" t="inlineStr">
        <is>
          <t xml:space="preserve"> </t>
        </is>
      </c>
      <c r="W8" s="102" t="inlineStr">
        <is>
          <t xml:space="preserve"> </t>
        </is>
      </c>
      <c r="X8" t="inlineStr">
        <is>
          <t>No se encontró ejecución en CUIPO</t>
        </is>
      </c>
    </row>
    <row r="9">
      <c r="A9" t="inlineStr">
        <is>
          <t>IP-10, IP-208</t>
        </is>
      </c>
      <c r="B9" t="inlineStr">
        <is>
          <t>45</t>
        </is>
      </c>
      <c r="C9" t="inlineStr">
        <is>
          <t>Gobierno Territorial</t>
        </is>
      </c>
      <c r="D9" t="inlineStr">
        <is>
          <t>4599</t>
        </is>
      </c>
      <c r="E9" t="inlineStr">
        <is>
          <t>Fortalecimiento a la gestión y dirección de la administración pública territorial</t>
        </is>
      </c>
      <c r="F9" t="inlineStr">
        <is>
          <t>4599019</t>
        </is>
      </c>
      <c r="G9" t="inlineStr">
        <is>
          <t>Documentos de planeación</t>
        </is>
      </c>
      <c r="H9"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9" t="inlineStr">
        <is>
          <t>2024258990005</t>
        </is>
      </c>
      <c r="J9" s="99">
        <v>3791864050</v>
      </c>
      <c r="K9" s="99">
        <v>428000000</v>
      </c>
      <c r="L9" s="99">
        <v>1067950000</v>
      </c>
      <c r="M9" s="99">
        <v>1110747000</v>
      </c>
      <c r="N9" s="99">
        <v>1185167050</v>
      </c>
      <c r="O9" s="99">
        <v>213150149</v>
      </c>
      <c r="P9" s="99">
        <v>213150149</v>
      </c>
      <c r="Q9" s="99">
        <v>195742153</v>
      </c>
      <c r="R9" s="100">
        <v>0.49801436682243</v>
      </c>
      <c r="S9" t="inlineStr">
        <is>
          <t>Lo obligado está por debajo de lo programado en la vigencia</t>
        </is>
      </c>
      <c r="T9" s="101" t="inlineStr">
        <is>
          <t xml:space="preserve"> </t>
        </is>
      </c>
      <c r="U9" s="101" t="inlineStr">
        <is>
          <t xml:space="preserve"> </t>
        </is>
      </c>
      <c r="V9" s="101" t="inlineStr">
        <is>
          <t xml:space="preserve"> </t>
        </is>
      </c>
      <c r="W9" s="102" t="inlineStr">
        <is>
          <t xml:space="preserve"> </t>
        </is>
      </c>
      <c r="X9" t="inlineStr">
        <is>
          <t>No se encontró ejecución en CUIPO</t>
        </is>
      </c>
    </row>
    <row r="10">
      <c r="A10" t="inlineStr">
        <is>
          <t>IP-11, IP-209</t>
        </is>
      </c>
      <c r="B10" t="inlineStr">
        <is>
          <t>45</t>
        </is>
      </c>
      <c r="C10" t="inlineStr">
        <is>
          <t>Gobierno Territorial</t>
        </is>
      </c>
      <c r="D10" t="inlineStr">
        <is>
          <t>4502</t>
        </is>
      </c>
      <c r="E10" t="inlineStr">
        <is>
          <t>Fortalecimiento del buen gobierno para el respeto y garantía de los derechos humanos.</t>
        </is>
      </c>
      <c r="F10" t="inlineStr">
        <is>
          <t>4502022</t>
        </is>
      </c>
      <c r="G10" t="inlineStr">
        <is>
          <t>Servicio de asistencia técnica</t>
        </is>
      </c>
      <c r="H10"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0" t="inlineStr">
        <is>
          <t>2024258990052</t>
        </is>
      </c>
      <c r="J10" s="99">
        <v>4455360000</v>
      </c>
      <c r="K10" s="99">
        <v>405602000</v>
      </c>
      <c r="L10" s="99">
        <v>1287089332</v>
      </c>
      <c r="M10" s="99">
        <v>1348889334</v>
      </c>
      <c r="N10" s="99">
        <v>1413779334</v>
      </c>
      <c r="O10" s="99">
        <v>191609167</v>
      </c>
      <c r="P10" s="99">
        <v>191609167</v>
      </c>
      <c r="Q10" s="99">
        <v>191609167</v>
      </c>
      <c r="R10" s="100">
        <v>0.472406859433632</v>
      </c>
      <c r="S10" t="inlineStr">
        <is>
          <t>Lo obligado está por debajo de lo programado en la vigencia</t>
        </is>
      </c>
      <c r="T10" s="101">
        <v>461738750</v>
      </c>
      <c r="U10" s="101">
        <v>283970000</v>
      </c>
      <c r="V10" s="101">
        <v>283970000</v>
      </c>
      <c r="W10" s="102">
        <v>0.220629596516615</v>
      </c>
      <c r="X10" t="inlineStr">
        <is>
          <t>Lo obligado está por debajo de lo programado en la vigencia</t>
        </is>
      </c>
    </row>
    <row r="11">
      <c r="A11" t="inlineStr">
        <is>
          <t>IP-12, IP-210</t>
        </is>
      </c>
      <c r="B11" t="inlineStr">
        <is>
          <t>45</t>
        </is>
      </c>
      <c r="C11" t="inlineStr">
        <is>
          <t>Gobierno Territorial</t>
        </is>
      </c>
      <c r="D11" t="inlineStr">
        <is>
          <t>4599</t>
        </is>
      </c>
      <c r="E11" t="inlineStr">
        <is>
          <t>Fortalecimiento a la gestión y dirección de la administración pública territorial</t>
        </is>
      </c>
      <c r="F11" t="inlineStr">
        <is>
          <t>4599023</t>
        </is>
      </c>
      <c r="G11" t="inlineStr">
        <is>
          <t>Servicio de Implementación Sistemas de Gestión</t>
        </is>
      </c>
      <c r="H11"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11" t="inlineStr">
        <is>
          <t>2024258990053</t>
        </is>
      </c>
      <c r="J11" s="99">
        <v>4965870000</v>
      </c>
      <c r="K11" s="99">
        <v>301368000</v>
      </c>
      <c r="L11" s="99">
        <v>1482142334</v>
      </c>
      <c r="M11" s="99">
        <v>1553642334</v>
      </c>
      <c r="N11" s="99">
        <v>1628717332</v>
      </c>
      <c r="O11" s="99">
        <v>141399334</v>
      </c>
      <c r="P11" s="99">
        <v>141399334</v>
      </c>
      <c r="Q11" s="99">
        <v>141399334</v>
      </c>
      <c r="R11" s="100">
        <v>0.46919159963898</v>
      </c>
      <c r="S11" t="inlineStr">
        <is>
          <t>Lo obligado está por debajo de lo programado en la vigencia</t>
        </is>
      </c>
      <c r="T11" s="101" t="inlineStr">
        <is>
          <t xml:space="preserve"> </t>
        </is>
      </c>
      <c r="U11" s="101" t="inlineStr">
        <is>
          <t xml:space="preserve"> </t>
        </is>
      </c>
      <c r="V11" s="101" t="inlineStr">
        <is>
          <t xml:space="preserve"> </t>
        </is>
      </c>
      <c r="W11" s="102" t="inlineStr">
        <is>
          <t xml:space="preserve"> </t>
        </is>
      </c>
      <c r="X11" t="inlineStr">
        <is>
          <t>No se encontró ejecución en CUIPO</t>
        </is>
      </c>
    </row>
    <row r="12">
      <c r="A12" t="inlineStr">
        <is>
          <t>IP-13, IP-211</t>
        </is>
      </c>
      <c r="B12" t="inlineStr">
        <is>
          <t>45</t>
        </is>
      </c>
      <c r="C12" t="inlineStr">
        <is>
          <t>Gobierno Territorial</t>
        </is>
      </c>
      <c r="D12" t="inlineStr">
        <is>
          <t>4502</t>
        </is>
      </c>
      <c r="E12" t="inlineStr">
        <is>
          <t>Fortalecimiento del buen gobierno para el respeto y garantía de los derechos humanos.</t>
        </is>
      </c>
      <c r="F12" t="inlineStr">
        <is>
          <t>4502026</t>
        </is>
      </c>
      <c r="G12" t="inlineStr">
        <is>
          <t>Documentos normativos</t>
        </is>
      </c>
      <c r="H12" t="inlineStr">
        <is>
          <t>Incluye la realización de los documentos de contenido normativo para la reglamentación de las diferentes lineas de acción del programa.</t>
        </is>
      </c>
      <c r="I12" t="inlineStr">
        <is>
          <t>2024258990052</t>
        </is>
      </c>
      <c r="J12" s="99">
        <v>60000000</v>
      </c>
      <c r="K12" s="99">
        <v>0</v>
      </c>
      <c r="L12" s="99">
        <v>60000000</v>
      </c>
      <c r="M12" s="99">
        <v>0</v>
      </c>
      <c r="N12" s="99">
        <v>0</v>
      </c>
      <c r="O12" s="99" t="inlineStr">
        <is>
          <t xml:space="preserve"> </t>
        </is>
      </c>
      <c r="P12" s="99" t="inlineStr">
        <is>
          <t xml:space="preserve"> </t>
        </is>
      </c>
      <c r="Q12" s="99" t="inlineStr">
        <is>
          <t xml:space="preserve"> </t>
        </is>
      </c>
      <c r="R12" s="100" t="inlineStr">
        <is>
          <t xml:space="preserve"> </t>
        </is>
      </c>
      <c r="S12" t="inlineStr">
        <is>
          <t>No se encontró ejecución en CUIPO</t>
        </is>
      </c>
      <c r="T12" s="101" t="inlineStr">
        <is>
          <t xml:space="preserve"> </t>
        </is>
      </c>
      <c r="U12" s="101" t="inlineStr">
        <is>
          <t xml:space="preserve"> </t>
        </is>
      </c>
      <c r="V12" s="101" t="inlineStr">
        <is>
          <t xml:space="preserve"> </t>
        </is>
      </c>
      <c r="W12" s="102" t="inlineStr">
        <is>
          <t xml:space="preserve"> </t>
        </is>
      </c>
      <c r="X12" t="inlineStr">
        <is>
          <t>No se encontró ejecución en CUIPO</t>
        </is>
      </c>
    </row>
    <row r="13">
      <c r="A13" t="inlineStr">
        <is>
          <t>IP-14, IP-212</t>
        </is>
      </c>
      <c r="B13" t="inlineStr">
        <is>
          <t>45</t>
        </is>
      </c>
      <c r="C13" t="inlineStr">
        <is>
          <t>Gobierno Territorial</t>
        </is>
      </c>
      <c r="D13" t="inlineStr">
        <is>
          <t>4599</t>
        </is>
      </c>
      <c r="E13" t="inlineStr">
        <is>
          <t>Fortalecimiento a la gestión y dirección de la administración pública territorial</t>
        </is>
      </c>
      <c r="F13" t="inlineStr">
        <is>
          <t>4599025</t>
        </is>
      </c>
      <c r="G13" t="inlineStr">
        <is>
          <t>Servicios de información implementados</t>
        </is>
      </c>
      <c r="H13" t="inlineStr">
        <is>
          <t>Corresponde al proceso que asegura la disposición de la información de manera accesible, confiable y oportuna.</t>
        </is>
      </c>
      <c r="I13" t="inlineStr">
        <is>
          <t>2024258990053</t>
        </is>
      </c>
      <c r="J13" s="99">
        <v>240000000</v>
      </c>
      <c r="K13" s="99">
        <v>0</v>
      </c>
      <c r="L13" s="99">
        <v>80000000</v>
      </c>
      <c r="M13" s="99">
        <v>80000000</v>
      </c>
      <c r="N13" s="99">
        <v>80000000</v>
      </c>
      <c r="O13" s="99" t="inlineStr">
        <is>
          <t xml:space="preserve"> </t>
        </is>
      </c>
      <c r="P13" s="99" t="inlineStr">
        <is>
          <t xml:space="preserve"> </t>
        </is>
      </c>
      <c r="Q13" s="99" t="inlineStr">
        <is>
          <t xml:space="preserve"> </t>
        </is>
      </c>
      <c r="R13" s="100" t="inlineStr">
        <is>
          <t xml:space="preserve"> </t>
        </is>
      </c>
      <c r="S13" t="inlineStr">
        <is>
          <t>No se encontró ejecución en CUIPO</t>
        </is>
      </c>
      <c r="T13" s="101" t="inlineStr">
        <is>
          <t xml:space="preserve"> </t>
        </is>
      </c>
      <c r="U13" s="101" t="inlineStr">
        <is>
          <t xml:space="preserve"> </t>
        </is>
      </c>
      <c r="V13" s="101" t="inlineStr">
        <is>
          <t xml:space="preserve"> </t>
        </is>
      </c>
      <c r="W13" s="102" t="inlineStr">
        <is>
          <t xml:space="preserve"> </t>
        </is>
      </c>
      <c r="X13" t="inlineStr">
        <is>
          <t>No se encontró ejecución en CUIPO</t>
        </is>
      </c>
    </row>
    <row r="14">
      <c r="A14" t="inlineStr">
        <is>
          <t>IP-15, IP-213</t>
        </is>
      </c>
      <c r="B14" t="inlineStr">
        <is>
          <t>45</t>
        </is>
      </c>
      <c r="C14" t="inlineStr">
        <is>
          <t>Gobierno Territorial</t>
        </is>
      </c>
      <c r="D14" t="inlineStr">
        <is>
          <t>4599</t>
        </is>
      </c>
      <c r="E14" t="inlineStr">
        <is>
          <t>Fortalecimiento a la gestión y dirección de la administración pública territorial</t>
        </is>
      </c>
      <c r="F14" t="inlineStr">
        <is>
          <t>4599018</t>
        </is>
      </c>
      <c r="G14" t="inlineStr">
        <is>
          <t>Documentos de lineamientos técnicos</t>
        </is>
      </c>
      <c r="H14" t="inlineStr">
        <is>
          <t>Documentos cuyo objetivo es describir y explicar instrumentos, estándares, requisitos y condiciones necesarias para llevar a cabo un proceso o actividad.</t>
        </is>
      </c>
      <c r="I14" t="inlineStr">
        <is>
          <t>2024258990010</t>
        </is>
      </c>
      <c r="J14" s="99">
        <v>116000000</v>
      </c>
      <c r="K14" s="99">
        <v>0</v>
      </c>
      <c r="L14" s="99">
        <v>116000000</v>
      </c>
      <c r="M14" s="99">
        <v>0</v>
      </c>
      <c r="N14" s="99">
        <v>0</v>
      </c>
      <c r="O14" s="99" t="inlineStr">
        <is>
          <t xml:space="preserve"> </t>
        </is>
      </c>
      <c r="P14" s="99" t="inlineStr">
        <is>
          <t xml:space="preserve"> </t>
        </is>
      </c>
      <c r="Q14" s="99" t="inlineStr">
        <is>
          <t xml:space="preserve"> </t>
        </is>
      </c>
      <c r="R14" s="100" t="inlineStr">
        <is>
          <t xml:space="preserve"> </t>
        </is>
      </c>
      <c r="S14" t="inlineStr">
        <is>
          <t>No se encontró ejecución en CUIPO</t>
        </is>
      </c>
      <c r="T14" s="101" t="inlineStr">
        <is>
          <t xml:space="preserve"> </t>
        </is>
      </c>
      <c r="U14" s="101" t="inlineStr">
        <is>
          <t xml:space="preserve"> </t>
        </is>
      </c>
      <c r="V14" s="101" t="inlineStr">
        <is>
          <t xml:space="preserve"> </t>
        </is>
      </c>
      <c r="W14" s="102" t="inlineStr">
        <is>
          <t xml:space="preserve"> </t>
        </is>
      </c>
      <c r="X14" t="inlineStr">
        <is>
          <t>No se encontró ejecución en CUIPO</t>
        </is>
      </c>
    </row>
    <row r="15">
      <c r="A15" t="inlineStr">
        <is>
          <t>IP-16, IP-214</t>
        </is>
      </c>
      <c r="B15" t="inlineStr">
        <is>
          <t>45</t>
        </is>
      </c>
      <c r="C15" t="inlineStr">
        <is>
          <t>Gobierno Territorial</t>
        </is>
      </c>
      <c r="D15" t="inlineStr">
        <is>
          <t>4599</t>
        </is>
      </c>
      <c r="E15" t="inlineStr">
        <is>
          <t>Fortalecimiento a la gestión y dirección de la administración pública territorial</t>
        </is>
      </c>
      <c r="F15" t="inlineStr">
        <is>
          <t>4599011</t>
        </is>
      </c>
      <c r="G15" t="inlineStr">
        <is>
          <t>Sedes adecuadas</t>
        </is>
      </c>
      <c r="H15"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15" t="inlineStr">
        <is>
          <t>2024258990010</t>
        </is>
      </c>
      <c r="J15" s="99">
        <v>1741555211.2046</v>
      </c>
      <c r="K15" s="99">
        <v>139324416.8964</v>
      </c>
      <c r="L15" s="99">
        <v>539882115.4734</v>
      </c>
      <c r="M15" s="99">
        <v>539882115.4734</v>
      </c>
      <c r="N15" s="99">
        <v>522466563.3614</v>
      </c>
      <c r="O15" s="99" t="inlineStr">
        <is>
          <t xml:space="preserve"> </t>
        </is>
      </c>
      <c r="P15" s="99" t="inlineStr">
        <is>
          <t xml:space="preserve"> </t>
        </is>
      </c>
      <c r="Q15" s="99" t="inlineStr">
        <is>
          <t xml:space="preserve"> </t>
        </is>
      </c>
      <c r="R15" s="100" t="inlineStr">
        <is>
          <t xml:space="preserve"> </t>
        </is>
      </c>
      <c r="S15" t="inlineStr">
        <is>
          <t>No se encontró ejecución en CUIPO</t>
        </is>
      </c>
      <c r="T15" s="101" t="inlineStr">
        <is>
          <t xml:space="preserve"> </t>
        </is>
      </c>
      <c r="U15" s="101" t="inlineStr">
        <is>
          <t xml:space="preserve"> </t>
        </is>
      </c>
      <c r="V15" s="101" t="inlineStr">
        <is>
          <t xml:space="preserve"> </t>
        </is>
      </c>
      <c r="W15" s="102" t="inlineStr">
        <is>
          <t xml:space="preserve"> </t>
        </is>
      </c>
      <c r="X15" t="inlineStr">
        <is>
          <t>No se encontró ejecución en CUIPO</t>
        </is>
      </c>
    </row>
    <row r="16">
      <c r="A16" t="inlineStr">
        <is>
          <t>IP-17, IP-215</t>
        </is>
      </c>
      <c r="B16" t="inlineStr">
        <is>
          <t>45</t>
        </is>
      </c>
      <c r="C16" t="inlineStr">
        <is>
          <t>Gobierno Territorial</t>
        </is>
      </c>
      <c r="D16" t="inlineStr">
        <is>
          <t>4599</t>
        </is>
      </c>
      <c r="E16" t="inlineStr">
        <is>
          <t>Fortalecimiento a la gestión y dirección de la administración pública territorial</t>
        </is>
      </c>
      <c r="F16" t="inlineStr">
        <is>
          <t>4599021</t>
        </is>
      </c>
      <c r="G16" t="inlineStr">
        <is>
          <t>Documentos normativos</t>
        </is>
      </c>
      <c r="H16" t="inlineStr">
        <is>
          <t>Incluye la realización de documentos de contenido normativo para la reglamentación de los proyectos de ley presentados y aprobados.</t>
        </is>
      </c>
      <c r="I16" t="inlineStr">
        <is>
          <t>2024258990010</t>
        </is>
      </c>
      <c r="J16" s="99">
        <v>152992000</v>
      </c>
      <c r="K16" s="99">
        <v>0</v>
      </c>
      <c r="L16" s="99">
        <v>152992000</v>
      </c>
      <c r="M16" s="99">
        <v>0</v>
      </c>
      <c r="N16" s="99">
        <v>0</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t="inlineStr">
        <is>
          <t xml:space="preserve"> </t>
        </is>
      </c>
      <c r="U16" s="101" t="inlineStr">
        <is>
          <t xml:space="preserve"> </t>
        </is>
      </c>
      <c r="V16" s="101" t="inlineStr">
        <is>
          <t xml:space="preserve"> </t>
        </is>
      </c>
      <c r="W16" s="102" t="inlineStr">
        <is>
          <t xml:space="preserve"> </t>
        </is>
      </c>
      <c r="X16" t="inlineStr">
        <is>
          <t>No se encontró ejecución en CUIPO</t>
        </is>
      </c>
    </row>
    <row r="17">
      <c r="A17" t="inlineStr">
        <is>
          <t>IP-18, IP-216</t>
        </is>
      </c>
      <c r="B17" t="inlineStr">
        <is>
          <t>45</t>
        </is>
      </c>
      <c r="C17" t="inlineStr">
        <is>
          <t>Gobierno Territorial</t>
        </is>
      </c>
      <c r="D17" t="inlineStr">
        <is>
          <t>4599</t>
        </is>
      </c>
      <c r="E17" t="inlineStr">
        <is>
          <t>Fortalecimiento a la gestión y dirección de la administración pública territorial</t>
        </is>
      </c>
      <c r="F17" t="inlineStr">
        <is>
          <t>4599036</t>
        </is>
      </c>
      <c r="G17" t="inlineStr">
        <is>
          <t>Servicio de gestión documental actualizado</t>
        </is>
      </c>
      <c r="H17" t="inlineStr">
        <is>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is>
      </c>
      <c r="I17" t="inlineStr">
        <is>
          <t>2024258990010</t>
        </is>
      </c>
      <c r="J17" s="99">
        <v>676568376</v>
      </c>
      <c r="K17" s="99">
        <v>0</v>
      </c>
      <c r="L17" s="99">
        <v>225522792</v>
      </c>
      <c r="M17" s="99">
        <v>225522792</v>
      </c>
      <c r="N17" s="99">
        <v>225522792</v>
      </c>
      <c r="O17" s="99" t="inlineStr">
        <is>
          <t xml:space="preserve"> </t>
        </is>
      </c>
      <c r="P17" s="99" t="inlineStr">
        <is>
          <t xml:space="preserve"> </t>
        </is>
      </c>
      <c r="Q17" s="99" t="inlineStr">
        <is>
          <t xml:space="preserve"> </t>
        </is>
      </c>
      <c r="R17" s="100" t="inlineStr">
        <is>
          <t xml:space="preserve"> </t>
        </is>
      </c>
      <c r="S17" t="inlineStr">
        <is>
          <t>No se encontró ejecución en CUIPO</t>
        </is>
      </c>
      <c r="T17" s="101" t="inlineStr">
        <is>
          <t xml:space="preserve"> </t>
        </is>
      </c>
      <c r="U17" s="101" t="inlineStr">
        <is>
          <t xml:space="preserve"> </t>
        </is>
      </c>
      <c r="V17" s="101" t="inlineStr">
        <is>
          <t xml:space="preserve"> </t>
        </is>
      </c>
      <c r="W17" s="102" t="inlineStr">
        <is>
          <t xml:space="preserve"> </t>
        </is>
      </c>
      <c r="X17" t="inlineStr">
        <is>
          <t>No se encontró ejecución en CUIPO</t>
        </is>
      </c>
    </row>
    <row r="18">
      <c r="A18" t="inlineStr">
        <is>
          <t>IP-19, IP-217</t>
        </is>
      </c>
      <c r="B18" t="inlineStr">
        <is>
          <t>45</t>
        </is>
      </c>
      <c r="C18" t="inlineStr">
        <is>
          <t>Gobierno Territorial</t>
        </is>
      </c>
      <c r="D18" t="inlineStr">
        <is>
          <t>4599</t>
        </is>
      </c>
      <c r="E18" t="inlineStr">
        <is>
          <t>Fortalecimiento a la gestión y dirección de la administración pública territorial</t>
        </is>
      </c>
      <c r="F18" t="inlineStr">
        <is>
          <t>4599029</t>
        </is>
      </c>
      <c r="G18" t="inlineStr">
        <is>
          <t>Servicio de integración de la oferta pública</t>
        </is>
      </c>
      <c r="H18" t="inlineStr">
        <is>
          <t>Corresponde al diseño e implementación de espacios que articulen la oferta institucional para que los ciudadanos conozcan sus derechos y deberes y los mecanismos de acceso a la oferta publica.</t>
        </is>
      </c>
      <c r="I18" t="inlineStr">
        <is>
          <t>2024258990010</t>
        </is>
      </c>
      <c r="J18" s="99">
        <v>80000000.0002</v>
      </c>
      <c r="K18" s="99">
        <v>10000000</v>
      </c>
      <c r="L18" s="99">
        <v>23333333.3334</v>
      </c>
      <c r="M18" s="99">
        <v>23333333.3334</v>
      </c>
      <c r="N18" s="99">
        <v>23333333.3334</v>
      </c>
      <c r="O18" s="99" t="inlineStr">
        <is>
          <t xml:space="preserve"> </t>
        </is>
      </c>
      <c r="P18" s="99" t="inlineStr">
        <is>
          <t xml:space="preserve"> </t>
        </is>
      </c>
      <c r="Q18" s="99" t="inlineStr">
        <is>
          <t xml:space="preserve"> </t>
        </is>
      </c>
      <c r="R18" s="100" t="inlineStr">
        <is>
          <t xml:space="preserve"> </t>
        </is>
      </c>
      <c r="S18" t="inlineStr">
        <is>
          <t>No se encontró ejecución en CUIPO</t>
        </is>
      </c>
      <c r="T18" s="101" t="inlineStr">
        <is>
          <t xml:space="preserve"> </t>
        </is>
      </c>
      <c r="U18" s="101" t="inlineStr">
        <is>
          <t xml:space="preserve"> </t>
        </is>
      </c>
      <c r="V18" s="101" t="inlineStr">
        <is>
          <t xml:space="preserve"> </t>
        </is>
      </c>
      <c r="W18" s="102" t="inlineStr">
        <is>
          <t xml:space="preserve"> </t>
        </is>
      </c>
      <c r="X18" t="inlineStr">
        <is>
          <t>No se encontró ejecución en CUIPO</t>
        </is>
      </c>
    </row>
    <row r="19">
      <c r="A19" t="inlineStr">
        <is>
          <t>IP-20, IP-218</t>
        </is>
      </c>
      <c r="B19" t="inlineStr">
        <is>
          <t>45</t>
        </is>
      </c>
      <c r="C19" t="inlineStr">
        <is>
          <t>Gobierno Territorial</t>
        </is>
      </c>
      <c r="D19" t="inlineStr">
        <is>
          <t>4599</t>
        </is>
      </c>
      <c r="E19" t="inlineStr">
        <is>
          <t>Fortalecimiento a la gestión y dirección de la administración pública territorial</t>
        </is>
      </c>
      <c r="F19" t="inlineStr">
        <is>
          <t>4599030</t>
        </is>
      </c>
      <c r="G19" t="inlineStr">
        <is>
          <t xml:space="preserve">Servicio de educación informal </t>
        </is>
      </c>
      <c r="H19"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9" t="inlineStr">
        <is>
          <t>2024258990010</t>
        </is>
      </c>
      <c r="J19" s="99">
        <v>2460308326.3464</v>
      </c>
      <c r="K19" s="99">
        <v>200439624</v>
      </c>
      <c r="L19" s="99">
        <v>753289567.4488</v>
      </c>
      <c r="M19" s="99">
        <v>753289567.4488</v>
      </c>
      <c r="N19" s="99">
        <v>753289567.4488</v>
      </c>
      <c r="O19" s="99">
        <v>100000000</v>
      </c>
      <c r="P19" s="99">
        <v>100000000</v>
      </c>
      <c r="Q19" s="99">
        <v>100000000</v>
      </c>
      <c r="R19" s="100">
        <v>0.498903350567052</v>
      </c>
      <c r="S19" t="inlineStr">
        <is>
          <t>Lo obligado está por debajo de lo programado en la vigencia</t>
        </is>
      </c>
      <c r="T19" s="101" t="inlineStr">
        <is>
          <t xml:space="preserve"> </t>
        </is>
      </c>
      <c r="U19" s="101" t="inlineStr">
        <is>
          <t xml:space="preserve"> </t>
        </is>
      </c>
      <c r="V19" s="101" t="inlineStr">
        <is>
          <t xml:space="preserve"> </t>
        </is>
      </c>
      <c r="W19" s="102" t="inlineStr">
        <is>
          <t xml:space="preserve"> </t>
        </is>
      </c>
      <c r="X19" t="inlineStr">
        <is>
          <t>No se encontró ejecución en CUIPO</t>
        </is>
      </c>
    </row>
    <row r="20">
      <c r="A20" t="inlineStr">
        <is>
          <t>IP-21, IP-219</t>
        </is>
      </c>
      <c r="B20" t="inlineStr">
        <is>
          <t>45</t>
        </is>
      </c>
      <c r="C20" t="inlineStr">
        <is>
          <t>Gobierno Territorial</t>
        </is>
      </c>
      <c r="D20" t="inlineStr">
        <is>
          <t>4599</t>
        </is>
      </c>
      <c r="E20" t="inlineStr">
        <is>
          <t>Fortalecimiento a la gestión y dirección de la administración pública territorial</t>
        </is>
      </c>
      <c r="F20" t="inlineStr">
        <is>
          <t>4599016</t>
        </is>
      </c>
      <c r="G20" t="inlineStr">
        <is>
          <t>Sedes mantenidas</t>
        </is>
      </c>
      <c r="H20"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20" t="inlineStr">
        <is>
          <t>2024258990010</t>
        </is>
      </c>
      <c r="J20" s="99">
        <v>11033844864</v>
      </c>
      <c r="K20" s="99">
        <v>300000000</v>
      </c>
      <c r="L20" s="99">
        <v>3530830356.48</v>
      </c>
      <c r="M20" s="99">
        <v>3641168805.12</v>
      </c>
      <c r="N20" s="99">
        <v>3561845702.4</v>
      </c>
      <c r="O20" s="99">
        <v>107653963</v>
      </c>
      <c r="P20" s="99">
        <v>81707037</v>
      </c>
      <c r="Q20" s="99">
        <v>23999528</v>
      </c>
      <c r="R20" s="100">
        <v>0.27235679</v>
      </c>
      <c r="S20" t="inlineStr">
        <is>
          <t>Lo obligado está por debajo de lo programado en la vigencia</t>
        </is>
      </c>
      <c r="T20" s="101" t="inlineStr">
        <is>
          <t xml:space="preserve"> </t>
        </is>
      </c>
      <c r="U20" s="101" t="inlineStr">
        <is>
          <t xml:space="preserve"> </t>
        </is>
      </c>
      <c r="V20" s="101" t="inlineStr">
        <is>
          <t xml:space="preserve"> </t>
        </is>
      </c>
      <c r="W20" s="102" t="inlineStr">
        <is>
          <t xml:space="preserve"> </t>
        </is>
      </c>
      <c r="X20" t="inlineStr">
        <is>
          <t>No se encontró ejecución en CUIPO</t>
        </is>
      </c>
    </row>
    <row r="21">
      <c r="A21" t="inlineStr">
        <is>
          <t>IP-22, IP-220</t>
        </is>
      </c>
      <c r="B21" t="inlineStr">
        <is>
          <t>45</t>
        </is>
      </c>
      <c r="C21" t="inlineStr">
        <is>
          <t>Gobierno Territorial</t>
        </is>
      </c>
      <c r="D21" t="inlineStr">
        <is>
          <t>4599</t>
        </is>
      </c>
      <c r="E21" t="inlineStr">
        <is>
          <t>Fortalecimiento a la gestión y dirección de la administración pública territorial</t>
        </is>
      </c>
      <c r="F21" t="inlineStr">
        <is>
          <t>4599023</t>
        </is>
      </c>
      <c r="G21" t="inlineStr">
        <is>
          <t>Servicio de Implementación Sistemas de Gestión</t>
        </is>
      </c>
      <c r="H21"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21" t="inlineStr">
        <is>
          <t>2024258990010</t>
        </is>
      </c>
      <c r="J21" s="99">
        <v>215745952.645</v>
      </c>
      <c r="K21" s="99">
        <v>40000000</v>
      </c>
      <c r="L21" s="99">
        <v>58581984.215</v>
      </c>
      <c r="M21" s="99">
        <v>58581984.215</v>
      </c>
      <c r="N21" s="99">
        <v>58581984.215</v>
      </c>
      <c r="O21" s="99">
        <v>16532670</v>
      </c>
      <c r="P21" s="99">
        <v>16532670</v>
      </c>
      <c r="Q21" s="99">
        <v>16532670</v>
      </c>
      <c r="R21" s="100">
        <v>0.41331675</v>
      </c>
      <c r="S21" t="inlineStr">
        <is>
          <t>Lo obligado está por debajo de lo programado en la vigencia</t>
        </is>
      </c>
      <c r="T21" s="101" t="inlineStr">
        <is>
          <t xml:space="preserve"> </t>
        </is>
      </c>
      <c r="U21" s="101" t="inlineStr">
        <is>
          <t xml:space="preserve"> </t>
        </is>
      </c>
      <c r="V21" s="101" t="inlineStr">
        <is>
          <t xml:space="preserve"> </t>
        </is>
      </c>
      <c r="W21" s="102" t="inlineStr">
        <is>
          <t xml:space="preserve"> </t>
        </is>
      </c>
      <c r="X21" t="inlineStr">
        <is>
          <t>No se encontró ejecución en CUIPO</t>
        </is>
      </c>
    </row>
    <row r="22">
      <c r="A22" t="inlineStr">
        <is>
          <t>IP-100, IP-102, IP-299, IP-301</t>
        </is>
      </c>
      <c r="B22" t="inlineStr">
        <is>
          <t>19</t>
        </is>
      </c>
      <c r="C22" t="inlineStr">
        <is>
          <t>Salud y protección social</t>
        </is>
      </c>
      <c r="D22" t="inlineStr">
        <is>
          <t>1905</t>
        </is>
      </c>
      <c r="E22" t="inlineStr">
        <is>
          <t>Salud pública</t>
        </is>
      </c>
      <c r="F22" t="inlineStr">
        <is>
          <t>1905049</t>
        </is>
      </c>
      <c r="G22" t="inlineStr">
        <is>
          <t>Servicio de promoción de la participación social en salud</t>
        </is>
      </c>
      <c r="H22" t="inlineStr">
        <is>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is>
      </c>
      <c r="I22" t="inlineStr">
        <is>
          <t>2024258990025</t>
        </is>
      </c>
      <c r="J22" s="99">
        <v>3251740637.44</v>
      </c>
      <c r="K22" s="99">
        <v>115438952</v>
      </c>
      <c r="L22" s="99">
        <v>276886000</v>
      </c>
      <c r="M22" s="99">
        <v>714853921.36</v>
      </c>
      <c r="N22" s="99">
        <v>2144561764.08</v>
      </c>
      <c r="O22" s="99">
        <v>362669643</v>
      </c>
      <c r="P22" s="99">
        <v>362669643</v>
      </c>
      <c r="Q22" s="99">
        <v>361502977</v>
      </c>
      <c r="R22" s="100">
        <v>3.14165744505373</v>
      </c>
      <c r="S22" t="inlineStr">
        <is>
          <t>Hubo ejecución por encima de lo programado en SisPT</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IP-101, IP-300</t>
        </is>
      </c>
      <c r="B23" t="inlineStr">
        <is>
          <t>19</t>
        </is>
      </c>
      <c r="C23" t="inlineStr">
        <is>
          <t>Salud y protección social</t>
        </is>
      </c>
      <c r="D23" t="inlineStr">
        <is>
          <t>1905</t>
        </is>
      </c>
      <c r="E23" t="inlineStr">
        <is>
          <t>Salud pública</t>
        </is>
      </c>
      <c r="F23" t="inlineStr">
        <is>
          <t>1905037</t>
        </is>
      </c>
      <c r="G23" t="inlineStr">
        <is>
          <t>Documentos de investigación</t>
        </is>
      </c>
      <c r="H23" t="inlineStr">
        <is>
          <t>Acciones orientadas a la recolección, análisis y procesamiento de la información.</t>
        </is>
      </c>
      <c r="I23" t="inlineStr">
        <is>
          <t>2024258990025</t>
        </is>
      </c>
      <c r="J23" s="99">
        <v>8888954277.2</v>
      </c>
      <c r="K23" s="99">
        <v>377000000</v>
      </c>
      <c r="L23" s="99">
        <v>1205421000</v>
      </c>
      <c r="M23" s="99">
        <v>1826633319.3</v>
      </c>
      <c r="N23" s="99">
        <v>5479899957.9</v>
      </c>
      <c r="O23" s="99">
        <v>184630000</v>
      </c>
      <c r="P23" s="99">
        <v>184630000</v>
      </c>
      <c r="Q23" s="99">
        <v>184630000</v>
      </c>
      <c r="R23" s="100">
        <v>0.48973474801061</v>
      </c>
      <c r="S23" t="inlineStr">
        <is>
          <t>Lo obligado está por debajo de lo programado en la vigencia</t>
        </is>
      </c>
      <c r="T23" s="101" t="inlineStr">
        <is>
          <t xml:space="preserve"> </t>
        </is>
      </c>
      <c r="U23" s="101" t="inlineStr">
        <is>
          <t xml:space="preserve"> </t>
        </is>
      </c>
      <c r="V23" s="101" t="inlineStr">
        <is>
          <t xml:space="preserve"> </t>
        </is>
      </c>
      <c r="W23" s="102" t="inlineStr">
        <is>
          <t xml:space="preserve"> </t>
        </is>
      </c>
      <c r="X23" t="inlineStr">
        <is>
          <t>No se encontró ejecución en CUIPO</t>
        </is>
      </c>
    </row>
    <row r="24">
      <c r="A24" t="inlineStr">
        <is>
          <t>IP-103, IP-302</t>
        </is>
      </c>
      <c r="B24" t="inlineStr">
        <is>
          <t>12</t>
        </is>
      </c>
      <c r="C24" t="inlineStr">
        <is>
          <t>Justicia y del derecho</t>
        </is>
      </c>
      <c r="D24" t="inlineStr">
        <is>
          <t>1203</t>
        </is>
      </c>
      <c r="E24" t="inlineStr">
        <is>
          <t>Promoción de los métodos de resolución de conflictos</t>
        </is>
      </c>
      <c r="F24" t="inlineStr">
        <is>
          <t>1203011</t>
        </is>
      </c>
      <c r="G24" t="inlineStr">
        <is>
          <t>Servicio de asistencia técnica para la implementación de los métodos de solución de conflictos</t>
        </is>
      </c>
      <c r="H24" t="inlineStr">
        <is>
          <t>Corresponde al acompañamiento técnico y  profesional que se brinda para atender la operación de los procesos de implementación y fortalecimiento de la conciliación en equidad, el apoyo en la creación de los centros gratuitos de conciliación, arbitraje y amigable composición, incluyendo el procedimiento de insolvencia de persona natural no comerciante y los procesos de inspección control y vigilancia de los centros de conciliación, arbitraje y amigable composición.</t>
        </is>
      </c>
      <c r="I24" t="inlineStr">
        <is>
          <t>2024258990021</t>
        </is>
      </c>
      <c r="J24" s="99">
        <v>2950000000</v>
      </c>
      <c r="K24" s="99">
        <v>195323116</v>
      </c>
      <c r="L24" s="99">
        <v>1562338442</v>
      </c>
      <c r="M24" s="99">
        <v>642338442</v>
      </c>
      <c r="N24" s="99">
        <v>550000000</v>
      </c>
      <c r="O24" s="99">
        <v>149344610</v>
      </c>
      <c r="P24" s="99">
        <v>149344610</v>
      </c>
      <c r="Q24" s="99">
        <v>149344610</v>
      </c>
      <c r="R24" s="100">
        <v>0.764602844038183</v>
      </c>
      <c r="S24" t="inlineStr">
        <is>
          <t>Lo obligado está por debajo de lo programado en la vigencia</t>
        </is>
      </c>
      <c r="T24" s="101" t="inlineStr">
        <is>
          <t xml:space="preserve"> </t>
        </is>
      </c>
      <c r="U24" s="101" t="inlineStr">
        <is>
          <t xml:space="preserve"> </t>
        </is>
      </c>
      <c r="V24" s="101" t="inlineStr">
        <is>
          <t xml:space="preserve"> </t>
        </is>
      </c>
      <c r="W24" s="102" t="inlineStr">
        <is>
          <t xml:space="preserve"> </t>
        </is>
      </c>
      <c r="X24" t="inlineStr">
        <is>
          <t>No se encontró ejecución en CUIPO</t>
        </is>
      </c>
    </row>
    <row r="25">
      <c r="A25" t="inlineStr">
        <is>
          <t>IP-104, IP-303</t>
        </is>
      </c>
      <c r="B25" t="inlineStr">
        <is>
          <t>12</t>
        </is>
      </c>
      <c r="C25" t="inlineStr">
        <is>
          <t>Justicia y del derecho</t>
        </is>
      </c>
      <c r="D25" t="inlineStr">
        <is>
          <t>1203</t>
        </is>
      </c>
      <c r="E25" t="inlineStr">
        <is>
          <t>Promoción de los métodos de resolución de conflictos</t>
        </is>
      </c>
      <c r="F25" t="inlineStr">
        <is>
          <t>1203004</t>
        </is>
      </c>
      <c r="G25" t="inlineStr">
        <is>
          <t>Documentos de planeación</t>
        </is>
      </c>
      <c r="H25" t="inlineStr">
        <is>
          <t>Documentos cuyo objetivo es plasmar una visión de futuro a nivel país, entidad territorial, comunidad, sector, región, entidad o cualquier nivel de desagregación que se requiera. Incluye objetivos, estrategias, metas e indicadores</t>
        </is>
      </c>
      <c r="I25" t="inlineStr">
        <is>
          <t>2024258990021</t>
        </is>
      </c>
      <c r="J25" s="99">
        <v>199999998</v>
      </c>
      <c r="K25" s="99">
        <v>0</v>
      </c>
      <c r="L25" s="99">
        <v>66666666</v>
      </c>
      <c r="M25" s="99">
        <v>66666666</v>
      </c>
      <c r="N25" s="99">
        <v>66666666</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v>3364807004</v>
      </c>
      <c r="U25" s="101">
        <v>1571287928</v>
      </c>
      <c r="V25" s="101">
        <v>1539287928</v>
      </c>
      <c r="W25" s="102">
        <v>23.5693191556932</v>
      </c>
      <c r="X25" t="inlineStr">
        <is>
          <t>Hubo ejecución por encima de lo programado en SisPT</t>
        </is>
      </c>
    </row>
    <row r="26">
      <c r="A26" t="inlineStr">
        <is>
          <t>IP-105, IP-304</t>
        </is>
      </c>
      <c r="B26" t="inlineStr">
        <is>
          <t>12</t>
        </is>
      </c>
      <c r="C26" t="inlineStr">
        <is>
          <t>Justicia y del derecho</t>
        </is>
      </c>
      <c r="D26" t="inlineStr">
        <is>
          <t>1203</t>
        </is>
      </c>
      <c r="E26" t="inlineStr">
        <is>
          <t>Promoción de los métodos de resolución de conflictos</t>
        </is>
      </c>
      <c r="F26" t="inlineStr">
        <is>
          <t>1203005</t>
        </is>
      </c>
      <c r="G26" t="inlineStr">
        <is>
          <t>Documentos de investigación</t>
        </is>
      </c>
      <c r="H26" t="inlineStr">
        <is>
          <t>Consiste en la formulación de documentos generados a partir de la recolección, análisis y procesamiento de la información</t>
        </is>
      </c>
      <c r="I26" t="inlineStr">
        <is>
          <t>2024258990021</t>
        </is>
      </c>
      <c r="J26" s="99">
        <v>1705103398</v>
      </c>
      <c r="K26" s="99">
        <v>63964958</v>
      </c>
      <c r="L26" s="99">
        <v>315220000</v>
      </c>
      <c r="M26" s="99">
        <v>662959220</v>
      </c>
      <c r="N26" s="99">
        <v>662959220</v>
      </c>
      <c r="O26" s="99">
        <v>31982476</v>
      </c>
      <c r="P26" s="99">
        <v>31982476</v>
      </c>
      <c r="Q26" s="99">
        <v>31982476</v>
      </c>
      <c r="R26" s="100">
        <v>0.49999995309932</v>
      </c>
      <c r="S26" t="inlineStr">
        <is>
          <t>Lo obligado está por debajo de lo programado en la vigencia</t>
        </is>
      </c>
      <c r="T26" s="101" t="inlineStr">
        <is>
          <t xml:space="preserve"> </t>
        </is>
      </c>
      <c r="U26" s="101" t="inlineStr">
        <is>
          <t xml:space="preserve"> </t>
        </is>
      </c>
      <c r="V26" s="101" t="inlineStr">
        <is>
          <t xml:space="preserve"> </t>
        </is>
      </c>
      <c r="W26" s="102" t="inlineStr">
        <is>
          <t xml:space="preserve"> </t>
        </is>
      </c>
      <c r="X26" t="inlineStr">
        <is>
          <t>No se encontró ejecución en CUIPO</t>
        </is>
      </c>
    </row>
    <row r="27">
      <c r="A27" t="inlineStr">
        <is>
          <t>IP-106, IP-305</t>
        </is>
      </c>
      <c r="B27" t="inlineStr">
        <is>
          <t>12</t>
        </is>
      </c>
      <c r="C27" t="inlineStr">
        <is>
          <t>Justicia y del derecho</t>
        </is>
      </c>
      <c r="D27" t="inlineStr">
        <is>
          <t>1202</t>
        </is>
      </c>
      <c r="E27" t="inlineStr">
        <is>
          <t>Promoción al acceso a la justicia</t>
        </is>
      </c>
      <c r="F27" t="inlineStr">
        <is>
          <t>1202019</t>
        </is>
      </c>
      <c r="G27" t="inlineStr">
        <is>
          <t>Servicio de promoción del acceso a la justicia</t>
        </is>
      </c>
      <c r="H27" t="inlineStr">
        <is>
          <t>Comprende el desarrollo de estrategias para la promoción del acceso a la justicia </t>
        </is>
      </c>
      <c r="I27" t="inlineStr">
        <is>
          <t>2024258990020</t>
        </is>
      </c>
      <c r="J27" s="99">
        <v>381000000</v>
      </c>
      <c r="K27" s="99">
        <v>20000000</v>
      </c>
      <c r="L27" s="99">
        <v>176000000</v>
      </c>
      <c r="M27" s="99">
        <v>75000000</v>
      </c>
      <c r="N27" s="99">
        <v>110000000</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t="inlineStr">
        <is>
          <t xml:space="preserve"> </t>
        </is>
      </c>
      <c r="U27" s="101" t="inlineStr">
        <is>
          <t xml:space="preserve"> </t>
        </is>
      </c>
      <c r="V27" s="101" t="inlineStr">
        <is>
          <t xml:space="preserve"> </t>
        </is>
      </c>
      <c r="W27" s="102" t="inlineStr">
        <is>
          <t xml:space="preserve"> </t>
        </is>
      </c>
      <c r="X27" t="inlineStr">
        <is>
          <t>No se encontró ejecución en CUIPO</t>
        </is>
      </c>
    </row>
    <row r="28">
      <c r="A28" t="inlineStr">
        <is>
          <t>IP-107, IP-108, IP-306, IP-307</t>
        </is>
      </c>
      <c r="B28" t="inlineStr">
        <is>
          <t>12</t>
        </is>
      </c>
      <c r="C28" t="inlineStr">
        <is>
          <t>Justicia y del derecho</t>
        </is>
      </c>
      <c r="D28" t="inlineStr">
        <is>
          <t>1202</t>
        </is>
      </c>
      <c r="E28" t="inlineStr">
        <is>
          <t>Promoción al acceso a la justicia</t>
        </is>
      </c>
      <c r="F28" t="inlineStr">
        <is>
          <t>1202032</t>
        </is>
      </c>
      <c r="G28" t="inlineStr">
        <is>
          <t>Servicio de articulación entre la Rama Ejecutiva y la Rama Judicial</t>
        </is>
      </c>
      <c r="H28" t="inlineStr">
        <is>
          <t>Comprende la gestión, participación y seguimiento a los diferentes espacios e instrumentos para establecer y desarrollar acuerdos, estrategias y planes conjuntos que contribuyan a la solución de necesidades del sistema de administración de justicia. Este producto esta destinado a crear capacidades a nivel interinstitucional (instancias de articulación que pueden ser mesas permanentes, consejos, comisiones, etc) o para el establecimiento y formalización de canales y herramientas marco permanentes a través de los cuales se materialice la colaboración armónica entre ambas ramas del poder público para optimizar la capacidad de gestión del sistema judicial.</t>
        </is>
      </c>
      <c r="I28" t="inlineStr">
        <is>
          <t>2024258990020</t>
        </is>
      </c>
      <c r="J28" s="99">
        <v>608000000</v>
      </c>
      <c r="K28" s="99">
        <v>0</v>
      </c>
      <c r="L28" s="99">
        <v>204000000</v>
      </c>
      <c r="M28" s="99">
        <v>202000000</v>
      </c>
      <c r="N28" s="99">
        <v>202000000</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IP-109, IP-308</t>
        </is>
      </c>
      <c r="B29" t="inlineStr">
        <is>
          <t>12</t>
        </is>
      </c>
      <c r="C29" t="inlineStr">
        <is>
          <t>Justicia y del derecho</t>
        </is>
      </c>
      <c r="D29" t="inlineStr">
        <is>
          <t>1203</t>
        </is>
      </c>
      <c r="E29" t="inlineStr">
        <is>
          <t>Promoción de los métodos de resolución de conflictos</t>
        </is>
      </c>
      <c r="F29" t="inlineStr">
        <is>
          <t>1203013</t>
        </is>
      </c>
      <c r="G29" t="inlineStr">
        <is>
          <t>Servicio de información actualizado</t>
        </is>
      </c>
      <c r="H29" t="inlineStr">
        <is>
          <t>Corresponde al proceso que mejora en la disposición de la información para asegurar que sea accesible, confiable y oportuna.</t>
        </is>
      </c>
      <c r="I29" t="inlineStr">
        <is>
          <t>2024258990021</t>
        </is>
      </c>
      <c r="J29" s="99">
        <v>19563773656</v>
      </c>
      <c r="K29" s="99">
        <v>0</v>
      </c>
      <c r="L29" s="99">
        <v>6482948768</v>
      </c>
      <c r="M29" s="99">
        <v>9020247914</v>
      </c>
      <c r="N29" s="99">
        <v>4060576974</v>
      </c>
      <c r="O29" s="99">
        <v>409750077</v>
      </c>
      <c r="P29" s="99">
        <v>236631735</v>
      </c>
      <c r="Q29" s="99">
        <v>236631735</v>
      </c>
      <c r="R29" s="100" t="inlineStr">
        <is>
          <t xml:space="preserve"> </t>
        </is>
      </c>
      <c r="S29" t="inlineStr">
        <is>
          <t>Se ejecutó un producto no programado en la vigencia</t>
        </is>
      </c>
      <c r="T29" s="101" t="inlineStr">
        <is>
          <t xml:space="preserve"> </t>
        </is>
      </c>
      <c r="U29" s="101" t="inlineStr">
        <is>
          <t xml:space="preserve"> </t>
        </is>
      </c>
      <c r="V29" s="101" t="inlineStr">
        <is>
          <t xml:space="preserve"> </t>
        </is>
      </c>
      <c r="W29" s="102" t="inlineStr">
        <is>
          <t xml:space="preserve"> </t>
        </is>
      </c>
      <c r="X29" t="inlineStr">
        <is>
          <t>No se encontró ejecución en CUIPO</t>
        </is>
      </c>
    </row>
    <row r="30">
      <c r="A30" t="inlineStr">
        <is>
          <t>IP-110, IP-309</t>
        </is>
      </c>
      <c r="B30" t="inlineStr">
        <is>
          <t>45</t>
        </is>
      </c>
      <c r="C30" t="inlineStr">
        <is>
          <t>Gobierno Territorial</t>
        </is>
      </c>
      <c r="D30" t="inlineStr">
        <is>
          <t>4501</t>
        </is>
      </c>
      <c r="E30" t="inlineStr">
        <is>
          <t>Fortalecimiento de la convivencia y la seguridad ciudadana</t>
        </is>
      </c>
      <c r="F30" t="inlineStr">
        <is>
          <t>4501056</t>
        </is>
      </c>
      <c r="G30" t="inlineStr">
        <is>
          <t>Servicio de apoyo financiero para la justicia y seguridad</t>
        </is>
      </c>
      <c r="H30" t="inlineStr">
        <is>
          <t>Corresponde a los recursos destinados a compensar a personas que colaboren con la justicia y a contribuir a la seguridad de las mismas.</t>
        </is>
      </c>
      <c r="I30" t="inlineStr">
        <is>
          <t>2024258990022</t>
        </is>
      </c>
      <c r="J30" s="99">
        <v>199999998</v>
      </c>
      <c r="K30" s="99">
        <v>0</v>
      </c>
      <c r="L30" s="99">
        <v>66666666</v>
      </c>
      <c r="M30" s="99">
        <v>66666666</v>
      </c>
      <c r="N30" s="99">
        <v>66666666</v>
      </c>
      <c r="O30" s="99" t="inlineStr">
        <is>
          <t xml:space="preserve"> </t>
        </is>
      </c>
      <c r="P30" s="99" t="inlineStr">
        <is>
          <t xml:space="preserve"> </t>
        </is>
      </c>
      <c r="Q30" s="99" t="inlineStr">
        <is>
          <t xml:space="preserve"> </t>
        </is>
      </c>
      <c r="R30" s="100" t="inlineStr">
        <is>
          <t xml:space="preserve"> </t>
        </is>
      </c>
      <c r="S30" t="inlineStr">
        <is>
          <t>No se encontró ejecución en CUIPO</t>
        </is>
      </c>
      <c r="T30" s="101" t="inlineStr">
        <is>
          <t xml:space="preserve"> </t>
        </is>
      </c>
      <c r="U30" s="101" t="inlineStr">
        <is>
          <t xml:space="preserve"> </t>
        </is>
      </c>
      <c r="V30" s="101" t="inlineStr">
        <is>
          <t xml:space="preserve"> </t>
        </is>
      </c>
      <c r="W30" s="102" t="inlineStr">
        <is>
          <t xml:space="preserve"> </t>
        </is>
      </c>
      <c r="X30" t="inlineStr">
        <is>
          <t>No se encontró ejecución en CUIPO</t>
        </is>
      </c>
    </row>
    <row r="31">
      <c r="A31" t="inlineStr">
        <is>
          <t>IP-111, IP-310</t>
        </is>
      </c>
      <c r="B31" t="inlineStr">
        <is>
          <t>45</t>
        </is>
      </c>
      <c r="C31" t="inlineStr">
        <is>
          <t>Gobierno Territorial</t>
        </is>
      </c>
      <c r="D31" t="inlineStr">
        <is>
          <t>4501</t>
        </is>
      </c>
      <c r="E31" t="inlineStr">
        <is>
          <t>Fortalecimiento de la convivencia y la seguridad ciudadana</t>
        </is>
      </c>
      <c r="F31" t="inlineStr">
        <is>
          <t>4501057</t>
        </is>
      </c>
      <c r="G31" t="inlineStr">
        <is>
          <t>Servicio de apoyo financiero para dotar a miembros de la fuerza publica</t>
        </is>
      </c>
      <c r="H31" t="inlineStr">
        <is>
          <t xml:space="preserve">Corresponde a los recursos del Fondos de Seguridad de las Entidades Territoriales (FONSET) destinados a la adquisición de dotación para nuevos policias, soldados y auxiliares en tanto se inicia la nueva vigencia.
</t>
        </is>
      </c>
      <c r="I31" t="inlineStr">
        <is>
          <t>2024258990022</t>
        </is>
      </c>
      <c r="J31" s="99">
        <v>13198600000</v>
      </c>
      <c r="K31" s="99">
        <v>1320000000</v>
      </c>
      <c r="L31" s="99">
        <v>3900000000</v>
      </c>
      <c r="M31" s="99">
        <v>5450000000</v>
      </c>
      <c r="N31" s="99">
        <v>2528600000</v>
      </c>
      <c r="O31" s="99">
        <v>15000000</v>
      </c>
      <c r="P31" s="99">
        <v>15000000</v>
      </c>
      <c r="Q31" s="99">
        <v>0</v>
      </c>
      <c r="R31" s="100">
        <v>0.0113636363636364</v>
      </c>
      <c r="S31" t="inlineStr">
        <is>
          <t>Lo obligado está por debajo de lo programado en la vigencia</t>
        </is>
      </c>
      <c r="T31" s="101">
        <v>776943834</v>
      </c>
      <c r="U31" s="101">
        <v>194524302</v>
      </c>
      <c r="V31" s="101">
        <v>194524302</v>
      </c>
      <c r="W31" s="102">
        <v>0.0498780261538462</v>
      </c>
      <c r="X31" t="inlineStr">
        <is>
          <t>Lo obligado está por debajo de lo programado en la vigencia</t>
        </is>
      </c>
    </row>
    <row r="32">
      <c r="A32" t="inlineStr">
        <is>
          <t>IP-112, IP-113, IP-311, IP-312</t>
        </is>
      </c>
      <c r="B32" t="inlineStr">
        <is>
          <t>12</t>
        </is>
      </c>
      <c r="C32" t="inlineStr">
        <is>
          <t>Justicia y del derecho</t>
        </is>
      </c>
      <c r="D32" t="inlineStr">
        <is>
          <t>1202</t>
        </is>
      </c>
      <c r="E32" t="inlineStr">
        <is>
          <t>Promoción al acceso a la justicia</t>
        </is>
      </c>
      <c r="F32" t="inlineStr">
        <is>
          <t>1202003</t>
        </is>
      </c>
      <c r="G32" t="inlineStr">
        <is>
          <t>Centros de Convivencia Ciudadana en operación</t>
        </is>
      </c>
      <c r="H32" t="inlineStr">
        <is>
          <t xml:space="preserve">Corresponde a la cofinanciación o puesta en operación de los centros de convivencia Ciudadana </t>
        </is>
      </c>
      <c r="I32" t="inlineStr">
        <is>
          <t>2024258990020</t>
        </is>
      </c>
      <c r="J32" s="99">
        <v>6779530198</v>
      </c>
      <c r="K32" s="99">
        <v>1337800000</v>
      </c>
      <c r="L32" s="99">
        <v>1114666666</v>
      </c>
      <c r="M32" s="99">
        <v>2163531766</v>
      </c>
      <c r="N32" s="99">
        <v>2163531766</v>
      </c>
      <c r="O32" s="99">
        <v>134781596</v>
      </c>
      <c r="P32" s="99">
        <v>132583594</v>
      </c>
      <c r="Q32" s="99">
        <v>106682382</v>
      </c>
      <c r="R32" s="100">
        <v>0.0991056914336971</v>
      </c>
      <c r="S32" t="inlineStr">
        <is>
          <t>Lo obligado está por debajo de lo programado en la vigencia</t>
        </is>
      </c>
      <c r="T32" s="101">
        <v>932236202</v>
      </c>
      <c r="U32" s="101">
        <v>525096811</v>
      </c>
      <c r="V32" s="101">
        <v>516494184</v>
      </c>
      <c r="W32" s="102">
        <v>0.471079675221938</v>
      </c>
      <c r="X32" t="inlineStr">
        <is>
          <t>Lo obligado está por debajo de lo programado en la vigencia</t>
        </is>
      </c>
    </row>
    <row r="33">
      <c r="A33" t="inlineStr">
        <is>
          <t>IP-114, IP-313</t>
        </is>
      </c>
      <c r="B33" t="inlineStr">
        <is>
          <t>45</t>
        </is>
      </c>
      <c r="C33" t="inlineStr">
        <is>
          <t>Gobierno Territorial</t>
        </is>
      </c>
      <c r="D33" t="inlineStr">
        <is>
          <t>4503</t>
        </is>
      </c>
      <c r="E33" t="inlineStr">
        <is>
          <t>Gestión del riesgo de desastres y emergencias</t>
        </is>
      </c>
      <c r="F33" t="inlineStr">
        <is>
          <t>4503017</t>
        </is>
      </c>
      <c r="G33" t="inlineStr">
        <is>
          <t>Estudios de riesgo de desastres</t>
        </is>
      </c>
      <c r="H33" t="inlineStr">
        <is>
          <t xml:space="preserve">Estudios cuyo propósito es conocer las condiciones de riesgo de un territorio, analizar (valorar) la amenaza y la vulnerabilidad de los elementos expuestos, realizar análisis de riesgo a diferentes escalas con el propósito de definir tipos de intervención y alcance de la reducción del riesgo y el manejo post desastre. </t>
        </is>
      </c>
      <c r="I33" t="inlineStr">
        <is>
          <t>2024258990023</t>
        </is>
      </c>
      <c r="J33" s="99">
        <v>1000000000</v>
      </c>
      <c r="K33" s="99">
        <v>0</v>
      </c>
      <c r="L33" s="99">
        <v>500000000</v>
      </c>
      <c r="M33" s="99">
        <v>500000000</v>
      </c>
      <c r="N33" s="99">
        <v>0</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t="inlineStr">
        <is>
          <t xml:space="preserve"> </t>
        </is>
      </c>
      <c r="U33" s="101" t="inlineStr">
        <is>
          <t xml:space="preserve"> </t>
        </is>
      </c>
      <c r="V33" s="101" t="inlineStr">
        <is>
          <t xml:space="preserve"> </t>
        </is>
      </c>
      <c r="W33" s="102" t="inlineStr">
        <is>
          <t xml:space="preserve"> </t>
        </is>
      </c>
      <c r="X33" t="inlineStr">
        <is>
          <t>No se encontró ejecución en CUIPO</t>
        </is>
      </c>
    </row>
    <row r="34">
      <c r="A34" t="inlineStr">
        <is>
          <t>IP-115, IP-314</t>
        </is>
      </c>
      <c r="B34" t="inlineStr">
        <is>
          <t>45</t>
        </is>
      </c>
      <c r="C34" t="inlineStr">
        <is>
          <t>Gobierno Territorial</t>
        </is>
      </c>
      <c r="D34" t="inlineStr">
        <is>
          <t>4503</t>
        </is>
      </c>
      <c r="E34" t="inlineStr">
        <is>
          <t>Gestión del riesgo de desastres y emergencias</t>
        </is>
      </c>
      <c r="F34" t="inlineStr">
        <is>
          <t>4503022</t>
        </is>
      </c>
      <c r="G34" t="inlineStr">
        <is>
          <t>Obras de infraestructura para la reducción del riesgo de desastres</t>
        </is>
      </c>
      <c r="H34" t="inlineStr">
        <is>
          <t>Intervenciones que buscan reducir el nivel de riesgo existente en un determinado sitio, mediante acciones de carácter estructural – físicas que conlleven a corregir o reducir las condiciones de amenaza, cuando esto sea posible, y/o la vulnerabilidad de los elementos expuestos.</t>
        </is>
      </c>
      <c r="I34" t="inlineStr">
        <is>
          <t>2024258990023</t>
        </is>
      </c>
      <c r="J34" s="99">
        <v>6000000000</v>
      </c>
      <c r="K34" s="99">
        <v>0</v>
      </c>
      <c r="L34" s="99">
        <v>1600000000</v>
      </c>
      <c r="M34" s="99">
        <v>3600000000</v>
      </c>
      <c r="N34" s="99">
        <v>800000000</v>
      </c>
      <c r="O34" s="99">
        <v>90000000</v>
      </c>
      <c r="P34" s="99">
        <v>90000000</v>
      </c>
      <c r="Q34" s="99">
        <v>90000000</v>
      </c>
      <c r="R34" s="100" t="inlineStr">
        <is>
          <t xml:space="preserve"> </t>
        </is>
      </c>
      <c r="S34" t="inlineStr">
        <is>
          <t>Se ejecutó un producto no programado en la vigencia</t>
        </is>
      </c>
      <c r="T34" s="101" t="inlineStr">
        <is>
          <t xml:space="preserve"> </t>
        </is>
      </c>
      <c r="U34" s="101" t="inlineStr">
        <is>
          <t xml:space="preserve"> </t>
        </is>
      </c>
      <c r="V34" s="101" t="inlineStr">
        <is>
          <t xml:space="preserve"> </t>
        </is>
      </c>
      <c r="W34" s="102" t="inlineStr">
        <is>
          <t xml:space="preserve"> </t>
        </is>
      </c>
      <c r="X34" t="inlineStr">
        <is>
          <t>No se encontró ejecución en CUIPO</t>
        </is>
      </c>
    </row>
    <row r="35">
      <c r="A35" t="inlineStr">
        <is>
          <t>IP-116, IP-315</t>
        </is>
      </c>
      <c r="B35" t="inlineStr">
        <is>
          <t>45</t>
        </is>
      </c>
      <c r="C35" t="inlineStr">
        <is>
          <t>Gobierno Territorial</t>
        </is>
      </c>
      <c r="D35" t="inlineStr">
        <is>
          <t>4503</t>
        </is>
      </c>
      <c r="E35" t="inlineStr">
        <is>
          <t>Gestión del riesgo de desastres y emergencias</t>
        </is>
      </c>
      <c r="F35" t="inlineStr">
        <is>
          <t>4503016</t>
        </is>
      </c>
      <c r="G35" t="inlineStr">
        <is>
          <t>Servicio de fortalecimiento a las salas de crisis territorial</t>
        </is>
      </c>
      <c r="H35" t="inlineStr">
        <is>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is>
      </c>
      <c r="I35" t="inlineStr">
        <is>
          <t>2024258990023</t>
        </is>
      </c>
      <c r="J35" s="99">
        <v>23406000000</v>
      </c>
      <c r="K35" s="99">
        <v>2400000000</v>
      </c>
      <c r="L35" s="99">
        <v>5400000000</v>
      </c>
      <c r="M35" s="99">
        <v>7803000000</v>
      </c>
      <c r="N35" s="99">
        <v>7803000000</v>
      </c>
      <c r="O35" s="99">
        <v>112500000</v>
      </c>
      <c r="P35" s="99">
        <v>112500000</v>
      </c>
      <c r="Q35" s="99">
        <v>112500000</v>
      </c>
      <c r="R35" s="100">
        <v>0.046875</v>
      </c>
      <c r="S35" t="inlineStr">
        <is>
          <t>Lo obligado está por debajo de lo programado en la vigencia</t>
        </is>
      </c>
      <c r="T35" s="101">
        <v>1726961369</v>
      </c>
      <c r="U35" s="101">
        <v>1285674310</v>
      </c>
      <c r="V35" s="101">
        <v>1285674310</v>
      </c>
      <c r="W35" s="102">
        <v>0.238087835185185</v>
      </c>
      <c r="X35" t="inlineStr">
        <is>
          <t>Lo obligado está por debajo de lo programado en la vigencia</t>
        </is>
      </c>
    </row>
    <row r="36">
      <c r="A36" t="inlineStr">
        <is>
          <t>IP-117, IP-118, IP-316, IP-317</t>
        </is>
      </c>
      <c r="B36" t="inlineStr">
        <is>
          <t>45</t>
        </is>
      </c>
      <c r="C36" t="inlineStr">
        <is>
          <t>Gobierno Territorial</t>
        </is>
      </c>
      <c r="D36" t="inlineStr">
        <is>
          <t>4503</t>
        </is>
      </c>
      <c r="E36" t="inlineStr">
        <is>
          <t>Gestión del riesgo de desastres y emergencias</t>
        </is>
      </c>
      <c r="F36" t="inlineStr">
        <is>
          <t>4503023</t>
        </is>
      </c>
      <c r="G36" t="inlineStr">
        <is>
          <t>Documentos de planeación</t>
        </is>
      </c>
      <c r="H36" t="inlineStr">
        <is>
          <t>Documentos cuyo objetivo es plasmar una visión de futuro a nivel país, entidad territorial, comunidad, sector, región, entidad o cualquier nivel de desagregación que se requiera. Incluye objetivos, estrategias, metas e indicadores</t>
        </is>
      </c>
      <c r="I36" t="inlineStr">
        <is>
          <t>2024258990023</t>
        </is>
      </c>
      <c r="J36" s="99">
        <v>1100000000</v>
      </c>
      <c r="K36" s="99">
        <v>7000000</v>
      </c>
      <c r="L36" s="99">
        <v>583860000</v>
      </c>
      <c r="M36" s="99">
        <v>404570000</v>
      </c>
      <c r="N36" s="99">
        <v>104570000</v>
      </c>
      <c r="O36" s="99">
        <v>3500000</v>
      </c>
      <c r="P36" s="99">
        <v>3500000</v>
      </c>
      <c r="Q36" s="99">
        <v>3500000</v>
      </c>
      <c r="R36" s="100">
        <v>0.5</v>
      </c>
      <c r="S36" t="inlineStr">
        <is>
          <t>Lo obligado está por debajo de lo programado en la vigencia</t>
        </is>
      </c>
      <c r="T36" s="101">
        <v>73540000</v>
      </c>
      <c r="U36" s="101">
        <v>44100000</v>
      </c>
      <c r="V36" s="101">
        <v>44100000</v>
      </c>
      <c r="W36" s="102">
        <v>0.0755318055698284</v>
      </c>
      <c r="X36" t="inlineStr">
        <is>
          <t>Lo obligado está por debajo de lo programado en la vigencia</t>
        </is>
      </c>
    </row>
    <row r="37">
      <c r="A37" t="inlineStr">
        <is>
          <t>IP-119, IP-120, IP-121, IP-318, IP-319, IP-320</t>
        </is>
      </c>
      <c r="B37" t="inlineStr">
        <is>
          <t>32</t>
        </is>
      </c>
      <c r="C37" t="inlineStr">
        <is>
          <t>Ambiente y desarrollo sostenible</t>
        </is>
      </c>
      <c r="D37" t="inlineStr">
        <is>
          <t>3202</t>
        </is>
      </c>
      <c r="E37" t="inlineStr">
        <is>
          <t>Conservación de la biodiversidad y sus servicios ecosistémicos</t>
        </is>
      </c>
      <c r="F37" t="inlineStr">
        <is>
          <t>3202002</t>
        </is>
      </c>
      <c r="G37" t="inlineStr">
        <is>
          <t>Documentos de planeación para la conservación de la biodiversidad y sus servicios eco sistémicos</t>
        </is>
      </c>
      <c r="H37" t="inlineStr">
        <is>
          <t>Documentos cuyo objetivo es plasmar una visión de futuro a nivel país, entidad territorial, comunidad, sector, región, entidad o cualquier nivel de desagregación que se requiera. Incluye objetivos, estrategias, metas e indicadores</t>
        </is>
      </c>
      <c r="I37" t="inlineStr">
        <is>
          <t>2024258990035</t>
        </is>
      </c>
      <c r="J37" s="99">
        <v>1300000000</v>
      </c>
      <c r="K37" s="99">
        <v>135200000</v>
      </c>
      <c r="L37" s="99">
        <v>620000000</v>
      </c>
      <c r="M37" s="99">
        <v>384800000</v>
      </c>
      <c r="N37" s="99">
        <v>160000000</v>
      </c>
      <c r="O37" s="99">
        <v>63862843</v>
      </c>
      <c r="P37" s="99">
        <v>63862843</v>
      </c>
      <c r="Q37" s="99">
        <v>7600000</v>
      </c>
      <c r="R37" s="100">
        <v>0.472358306213018</v>
      </c>
      <c r="S37" t="inlineStr">
        <is>
          <t>Lo obligado está por debajo de lo programado en la vigencia</t>
        </is>
      </c>
      <c r="T37" s="101" t="inlineStr">
        <is>
          <t xml:space="preserve"> </t>
        </is>
      </c>
      <c r="U37" s="101" t="inlineStr">
        <is>
          <t xml:space="preserve"> </t>
        </is>
      </c>
      <c r="V37" s="101" t="inlineStr">
        <is>
          <t xml:space="preserve"> </t>
        </is>
      </c>
      <c r="W37" s="102" t="inlineStr">
        <is>
          <t xml:space="preserve"> </t>
        </is>
      </c>
      <c r="X37" t="inlineStr">
        <is>
          <t>No se encontró ejecución en CUIPO</t>
        </is>
      </c>
    </row>
    <row r="38">
      <c r="A38" t="inlineStr">
        <is>
          <t>IP-122, IP-321</t>
        </is>
      </c>
      <c r="B38" t="inlineStr">
        <is>
          <t>32</t>
        </is>
      </c>
      <c r="C38" t="inlineStr">
        <is>
          <t>Ambiente y desarrollo sostenible</t>
        </is>
      </c>
      <c r="D38" t="inlineStr">
        <is>
          <t>3202</t>
        </is>
      </c>
      <c r="E38" t="inlineStr">
        <is>
          <t>Conservación de la biodiversidad y sus servicios ecosistémicos</t>
        </is>
      </c>
      <c r="F38" t="inlineStr">
        <is>
          <t>3202026</t>
        </is>
      </c>
      <c r="G38" t="inlineStr">
        <is>
          <t>Centro de Atención y Valoración de flora silvestre construido y dotado</t>
        </is>
      </c>
      <c r="H38" t="inlineStr">
        <is>
          <t>Incluye la construcción de obras de edificación en terrenos no construidos con el fin de facilitar los procedimientos de valoración y recuperación de la flora Silvestre.  A su vez, contiene la dotación a la infraestructura construida. </t>
        </is>
      </c>
      <c r="I38" t="inlineStr">
        <is>
          <t>2024258990035</t>
        </is>
      </c>
      <c r="J38" s="99">
        <v>300000000</v>
      </c>
      <c r="K38" s="99">
        <v>0</v>
      </c>
      <c r="L38" s="99">
        <v>140000000</v>
      </c>
      <c r="M38" s="99">
        <v>160000000</v>
      </c>
      <c r="N38" s="99">
        <v>0</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t="inlineStr">
        <is>
          <t xml:space="preserve"> </t>
        </is>
      </c>
      <c r="U38" s="101" t="inlineStr">
        <is>
          <t xml:space="preserve"> </t>
        </is>
      </c>
      <c r="V38" s="101" t="inlineStr">
        <is>
          <t xml:space="preserve"> </t>
        </is>
      </c>
      <c r="W38" s="102" t="inlineStr">
        <is>
          <t xml:space="preserve"> </t>
        </is>
      </c>
      <c r="X38" t="inlineStr">
        <is>
          <t>No se encontró ejecución en CUIPO</t>
        </is>
      </c>
    </row>
    <row r="39">
      <c r="A39" t="inlineStr">
        <is>
          <t>IP-123, IP-322</t>
        </is>
      </c>
      <c r="B39" t="inlineStr">
        <is>
          <t>32</t>
        </is>
      </c>
      <c r="C39" t="inlineStr">
        <is>
          <t>Ambiente y desarrollo sostenible</t>
        </is>
      </c>
      <c r="D39" t="inlineStr">
        <is>
          <t>3202</t>
        </is>
      </c>
      <c r="E39" t="inlineStr">
        <is>
          <t>Conservación de la biodiversidad y sus servicios ecosistémicos</t>
        </is>
      </c>
      <c r="F39" t="inlineStr">
        <is>
          <t>3202033</t>
        </is>
      </c>
      <c r="G39" t="inlineStr">
        <is>
          <t>Infraestructura ecoturística construida</t>
        </is>
      </c>
      <c r="H39" t="inlineStr">
        <is>
          <t>Incluye el diseño y construcción de la infraestructura para el ecoturismo</t>
        </is>
      </c>
      <c r="I39" t="inlineStr">
        <is>
          <t>2024258990035</t>
        </is>
      </c>
      <c r="J39" s="99">
        <v>1600000000</v>
      </c>
      <c r="K39" s="99">
        <v>0</v>
      </c>
      <c r="L39" s="99">
        <v>640000000</v>
      </c>
      <c r="M39" s="99">
        <v>640000000</v>
      </c>
      <c r="N39" s="99">
        <v>320000000</v>
      </c>
      <c r="O39" s="99" t="inlineStr">
        <is>
          <t xml:space="preserve"> </t>
        </is>
      </c>
      <c r="P39" s="99" t="inlineStr">
        <is>
          <t xml:space="preserve"> </t>
        </is>
      </c>
      <c r="Q39" s="99" t="inlineStr">
        <is>
          <t xml:space="preserve"> </t>
        </is>
      </c>
      <c r="R39" s="100" t="inlineStr">
        <is>
          <t xml:space="preserve"> </t>
        </is>
      </c>
      <c r="S39" t="inlineStr">
        <is>
          <t>No se encontró ejecución en CUIPO</t>
        </is>
      </c>
      <c r="T39" s="101">
        <v>128936500</v>
      </c>
      <c r="U39" s="101">
        <v>0</v>
      </c>
      <c r="V39" s="101">
        <v>0</v>
      </c>
      <c r="W39" s="102">
        <v>0</v>
      </c>
      <c r="X39" t="inlineStr">
        <is>
          <t>No se ejecutó en la vigencia</t>
        </is>
      </c>
    </row>
    <row r="40">
      <c r="A40" t="inlineStr">
        <is>
          <t>IP-124, IP-323</t>
        </is>
      </c>
      <c r="B40" t="inlineStr">
        <is>
          <t>32</t>
        </is>
      </c>
      <c r="C40" t="inlineStr">
        <is>
          <t>Ambiente y desarrollo sostenible</t>
        </is>
      </c>
      <c r="D40" t="inlineStr">
        <is>
          <t>3202</t>
        </is>
      </c>
      <c r="E40" t="inlineStr">
        <is>
          <t>Conservación de la biodiversidad y sus servicios ecosistémicos</t>
        </is>
      </c>
      <c r="F40" t="inlineStr">
        <is>
          <t>3202043</t>
        </is>
      </c>
      <c r="G40" t="inlineStr">
        <is>
          <t>Servicio apoyo financiero para la implementación de esquemas de pago por Servicio ambientales</t>
        </is>
      </c>
      <c r="H40" t="inlineStr">
        <is>
          <t>Incluye el diseño y entrega de instrumentos económicos para dar incentivos a los usuarios del suelo, de manera que continúen ofreciendo un servicio ambiental (ecológico) que beneficia a la sociedad como un todo.</t>
        </is>
      </c>
      <c r="I40" t="inlineStr">
        <is>
          <t>2024258990035</t>
        </is>
      </c>
      <c r="J40" s="99">
        <v>1600000002</v>
      </c>
      <c r="K40" s="99">
        <v>115200000</v>
      </c>
      <c r="L40" s="99">
        <v>494933334</v>
      </c>
      <c r="M40" s="99">
        <v>494933334</v>
      </c>
      <c r="N40" s="99">
        <v>494933334</v>
      </c>
      <c r="O40" s="99">
        <v>56523094</v>
      </c>
      <c r="P40" s="99">
        <v>56523094</v>
      </c>
      <c r="Q40" s="99">
        <v>56523094</v>
      </c>
      <c r="R40" s="100">
        <v>0.490651857638889</v>
      </c>
      <c r="S40" t="inlineStr">
        <is>
          <t>Lo obligado está por debajo de lo programado en la vigencia</t>
        </is>
      </c>
      <c r="T40" s="101">
        <v>18604848</v>
      </c>
      <c r="U40" s="101">
        <v>9887624</v>
      </c>
      <c r="V40" s="101">
        <v>9887624</v>
      </c>
      <c r="W40" s="102">
        <v>0.0199776885506766</v>
      </c>
      <c r="X40" t="inlineStr">
        <is>
          <t>Lo obligado está por debajo de lo programado en la vigencia</t>
        </is>
      </c>
    </row>
    <row r="41">
      <c r="A41" t="inlineStr">
        <is>
          <t>IP-125, IP-324</t>
        </is>
      </c>
      <c r="B41" t="inlineStr">
        <is>
          <t>32</t>
        </is>
      </c>
      <c r="C41" t="inlineStr">
        <is>
          <t>Ambiente y desarrollo sostenible</t>
        </is>
      </c>
      <c r="D41" t="inlineStr">
        <is>
          <t>3202</t>
        </is>
      </c>
      <c r="E41" t="inlineStr">
        <is>
          <t>Conservación de la biodiversidad y sus servicios ecosistémicos</t>
        </is>
      </c>
      <c r="F41" t="inlineStr">
        <is>
          <t>3202005</t>
        </is>
      </c>
      <c r="G41" t="inlineStr">
        <is>
          <t>Servicio de restauración de ecosistemas</t>
        </is>
      </c>
      <c r="H41" t="inlineStr">
        <is>
          <t>Incluye el restablecimiento del ecosistema degradado a una condición similar al ecosistema pre disturbio respecto a su composición, estructura, y funcionamiento. </t>
        </is>
      </c>
      <c r="I41" t="inlineStr">
        <is>
          <t>2024258990035</t>
        </is>
      </c>
      <c r="J41" s="99">
        <v>3368000000</v>
      </c>
      <c r="K41" s="99">
        <v>690440000</v>
      </c>
      <c r="L41" s="99">
        <v>993560000</v>
      </c>
      <c r="M41" s="99">
        <v>1010400000</v>
      </c>
      <c r="N41" s="99">
        <v>673600000</v>
      </c>
      <c r="O41" s="99">
        <v>304955856</v>
      </c>
      <c r="P41" s="99">
        <v>304955856</v>
      </c>
      <c r="Q41" s="99">
        <v>4955856</v>
      </c>
      <c r="R41" s="100">
        <v>0.441683355541394</v>
      </c>
      <c r="S41" t="inlineStr">
        <is>
          <t>Lo obligado está por debajo de lo programado en la vigencia</t>
        </is>
      </c>
      <c r="T41" s="101">
        <v>44831435</v>
      </c>
      <c r="U41" s="101">
        <v>33623576</v>
      </c>
      <c r="V41" s="101">
        <v>33623576</v>
      </c>
      <c r="W41" s="102">
        <v>0.0338415153589114</v>
      </c>
      <c r="X41" t="inlineStr">
        <is>
          <t>Lo obligado está por debajo de lo programado en la vigencia</t>
        </is>
      </c>
    </row>
    <row r="42">
      <c r="A42" t="inlineStr">
        <is>
          <t>IP-126, IP-325</t>
        </is>
      </c>
      <c r="B42" t="inlineStr">
        <is>
          <t>32</t>
        </is>
      </c>
      <c r="C42" t="inlineStr">
        <is>
          <t>Ambiente y desarrollo sostenible</t>
        </is>
      </c>
      <c r="D42" t="inlineStr">
        <is>
          <t>3203</t>
        </is>
      </c>
      <c r="E42" t="inlineStr">
        <is>
          <t>Gestión integral del recurso hídrico</t>
        </is>
      </c>
      <c r="F42" t="inlineStr">
        <is>
          <t>3203050</t>
        </is>
      </c>
      <c r="G42" t="inlineStr">
        <is>
          <t>Servicio de protección del recurso hídrico</t>
        </is>
      </c>
      <c r="H42" t="inlineStr">
        <is>
          <t>Incluye acciones orientadas a la administración y manejo de áreas de reserva hídrica o zonas de reserva natural para la protección de las fuentes hídricas.</t>
        </is>
      </c>
      <c r="I42" t="inlineStr">
        <is>
          <t>2024258990036</t>
        </is>
      </c>
      <c r="J42" s="99">
        <v>4937296884.2166</v>
      </c>
      <c r="K42" s="99">
        <v>140000000</v>
      </c>
      <c r="L42" s="99">
        <v>2911561035.16</v>
      </c>
      <c r="M42" s="99">
        <v>1232981132.0754</v>
      </c>
      <c r="N42" s="99">
        <v>652754716.9812</v>
      </c>
      <c r="O42" s="99">
        <v>45000000</v>
      </c>
      <c r="P42" s="99">
        <v>45000000</v>
      </c>
      <c r="Q42" s="99">
        <v>0</v>
      </c>
      <c r="R42" s="100">
        <v>0.321428571428571</v>
      </c>
      <c r="S42" t="inlineStr">
        <is>
          <t>Lo obligado está por debajo de lo programado en la vigencia</t>
        </is>
      </c>
      <c r="T42" s="101" t="inlineStr">
        <is>
          <t xml:space="preserve"> </t>
        </is>
      </c>
      <c r="U42" s="101" t="inlineStr">
        <is>
          <t xml:space="preserve"> </t>
        </is>
      </c>
      <c r="V42" s="101" t="inlineStr">
        <is>
          <t xml:space="preserve"> </t>
        </is>
      </c>
      <c r="W42" s="102" t="inlineStr">
        <is>
          <t xml:space="preserve"> </t>
        </is>
      </c>
      <c r="X42" t="inlineStr">
        <is>
          <t>No se encontró ejecución en CUIPO</t>
        </is>
      </c>
    </row>
    <row r="43">
      <c r="A43" t="inlineStr">
        <is>
          <t>IP-127, IP-136, IP-326, IP-335</t>
        </is>
      </c>
      <c r="B43" t="inlineStr">
        <is>
          <t>32</t>
        </is>
      </c>
      <c r="C43" t="inlineStr">
        <is>
          <t>Ambiente y desarrollo sostenible</t>
        </is>
      </c>
      <c r="D43" t="inlineStr">
        <is>
          <t>3203</t>
        </is>
      </c>
      <c r="E43" t="inlineStr">
        <is>
          <t>Gestión integral del recurso hídrico</t>
        </is>
      </c>
      <c r="F43" t="inlineStr">
        <is>
          <t>3203033</t>
        </is>
      </c>
      <c r="G43" t="inlineStr">
        <is>
          <t>Servicio de asistencia técnica para la promoción del uso eficiente y ahorro del agua</t>
        </is>
      </c>
      <c r="H43" t="inlineStr">
        <is>
          <t> Acciones enfocadas a definir y promover la implementación de programas y mecanismos a los diferentes usuarios del agua que permita crear un habito sostenible en el uso del agua</t>
        </is>
      </c>
      <c r="I43" t="inlineStr">
        <is>
          <t>2024258990036</t>
        </is>
      </c>
      <c r="J43" s="99">
        <v>2640000000</v>
      </c>
      <c r="K43" s="99">
        <v>65685038</v>
      </c>
      <c r="L43" s="99">
        <v>876438322</v>
      </c>
      <c r="M43" s="99">
        <v>864438320</v>
      </c>
      <c r="N43" s="99">
        <v>833438320</v>
      </c>
      <c r="O43" s="99">
        <v>19470229</v>
      </c>
      <c r="P43" s="99">
        <v>19470229</v>
      </c>
      <c r="Q43" s="99">
        <v>17052206</v>
      </c>
      <c r="R43" s="100">
        <v>0.296418021406945</v>
      </c>
      <c r="S43" t="inlineStr">
        <is>
          <t>Lo obligado está por debajo de lo programado en la vigencia</t>
        </is>
      </c>
      <c r="T43" s="101">
        <v>123873763</v>
      </c>
      <c r="U43" s="101">
        <v>85563954</v>
      </c>
      <c r="V43" s="101">
        <v>85563954</v>
      </c>
      <c r="W43" s="102">
        <v>0.097626897241036</v>
      </c>
      <c r="X43" t="inlineStr">
        <is>
          <t>Lo obligado está por debajo de lo programado en la vigencia</t>
        </is>
      </c>
    </row>
    <row r="44">
      <c r="A44" t="inlineStr">
        <is>
          <t>IP-128, IP-129, IP-327, IP-328</t>
        </is>
      </c>
      <c r="B44" t="inlineStr">
        <is>
          <t>32</t>
        </is>
      </c>
      <c r="C44" t="inlineStr">
        <is>
          <t>Ambiente y desarrollo sostenible</t>
        </is>
      </c>
      <c r="D44" t="inlineStr">
        <is>
          <t>3208</t>
        </is>
      </c>
      <c r="E44" t="inlineStr">
        <is>
          <t xml:space="preserve">Educación Ambiental </t>
        </is>
      </c>
      <c r="F44" t="inlineStr">
        <is>
          <t>3208010</t>
        </is>
      </c>
      <c r="G44" t="inlineStr">
        <is>
          <t>Servicio de educación informal ambiental</t>
        </is>
      </c>
      <c r="H44" t="inlineStr">
        <is>
          <t>Acciones orientadas hacia el conocimiento de la biodiversidad y los ecosistemas para sensibilizar a la población despertar la conciencia ambiental.</t>
        </is>
      </c>
      <c r="I44" t="inlineStr">
        <is>
          <t>2024258990038</t>
        </is>
      </c>
      <c r="J44" s="99">
        <v>726000000</v>
      </c>
      <c r="K44" s="99">
        <v>32400000</v>
      </c>
      <c r="L44" s="99">
        <v>231200000</v>
      </c>
      <c r="M44" s="99">
        <v>231200000</v>
      </c>
      <c r="N44" s="99">
        <v>231200000</v>
      </c>
      <c r="O44" s="99">
        <v>10674153</v>
      </c>
      <c r="P44" s="99">
        <v>10674153</v>
      </c>
      <c r="Q44" s="99">
        <v>10674153</v>
      </c>
      <c r="R44" s="100">
        <v>0.329449166666667</v>
      </c>
      <c r="S44" t="inlineStr">
        <is>
          <t>Lo obligado está por debajo de lo programado en la vigencia</t>
        </is>
      </c>
      <c r="T44" s="101">
        <v>84649624</v>
      </c>
      <c r="U44" s="101">
        <v>53983765</v>
      </c>
      <c r="V44" s="101">
        <v>53983765</v>
      </c>
      <c r="W44" s="102">
        <v>0.233493793252595</v>
      </c>
      <c r="X44" t="inlineStr">
        <is>
          <t>Lo obligado está por debajo de lo programado en la vigencia</t>
        </is>
      </c>
    </row>
    <row r="45">
      <c r="A45" t="inlineStr">
        <is>
          <t>IP-130, IP-144, IP-329, IP-343</t>
        </is>
      </c>
      <c r="B45" t="inlineStr">
        <is>
          <t>32</t>
        </is>
      </c>
      <c r="C45" t="inlineStr">
        <is>
          <t>Ambiente y desarrollo sostenible</t>
        </is>
      </c>
      <c r="D45" t="inlineStr">
        <is>
          <t>3208</t>
        </is>
      </c>
      <c r="E45" t="inlineStr">
        <is>
          <t xml:space="preserve">Educación Ambiental </t>
        </is>
      </c>
      <c r="F45" t="inlineStr">
        <is>
          <t>3208006</t>
        </is>
      </c>
      <c r="G45" t="inlineStr">
        <is>
          <t>Servicio de asistencia técnica para la implementación de lasestrategias educativo ambientales y de participación</t>
        </is>
      </c>
      <c r="H45" t="inlineStr">
        <is>
          <t>Acciones encaminadas a implementar estrategias educativo ambientales y de participación en las entidades territoriales, por medio de los proyectos ambientales implementados </t>
        </is>
      </c>
      <c r="I45" t="inlineStr">
        <is>
          <t>2024258990038</t>
        </is>
      </c>
      <c r="J45" s="99">
        <v>680000000</v>
      </c>
      <c r="K45" s="99">
        <v>86000000</v>
      </c>
      <c r="L45" s="99">
        <v>222600000</v>
      </c>
      <c r="M45" s="99">
        <v>224000000</v>
      </c>
      <c r="N45" s="99">
        <v>147400000</v>
      </c>
      <c r="O45" s="99">
        <v>12443341</v>
      </c>
      <c r="P45" s="99">
        <v>12443341</v>
      </c>
      <c r="Q45" s="99">
        <v>12443341</v>
      </c>
      <c r="R45" s="100">
        <v>0.144690011627907</v>
      </c>
      <c r="S45" t="inlineStr">
        <is>
          <t>Lo obligado está por debajo de lo programado en la vigencia</t>
        </is>
      </c>
      <c r="T45" s="101">
        <v>75800000</v>
      </c>
      <c r="U45" s="101">
        <v>22064047</v>
      </c>
      <c r="V45" s="101">
        <v>22064047</v>
      </c>
      <c r="W45" s="102">
        <v>0.0991197079964061</v>
      </c>
      <c r="X45" t="inlineStr">
        <is>
          <t>Lo obligado está por debajo de lo programado en la vigencia</t>
        </is>
      </c>
    </row>
    <row r="46">
      <c r="A46" t="inlineStr">
        <is>
          <t>IP-131, IP-330</t>
        </is>
      </c>
      <c r="B46" t="inlineStr">
        <is>
          <t>32</t>
        </is>
      </c>
      <c r="C46" t="inlineStr">
        <is>
          <t>Ambiente y desarrollo sostenible</t>
        </is>
      </c>
      <c r="D46" t="inlineStr">
        <is>
          <t>3208</t>
        </is>
      </c>
      <c r="E46" t="inlineStr">
        <is>
          <t xml:space="preserve">Educación Ambiental </t>
        </is>
      </c>
      <c r="F46" t="inlineStr">
        <is>
          <t>3208008</t>
        </is>
      </c>
      <c r="G46" t="inlineStr">
        <is>
          <t>Servicio de divulgación de la información de la política nacional de educación ambiental y participación</t>
        </is>
      </c>
      <c r="H46" t="inlineStr">
        <is>
          <t xml:space="preserve">Acciones orientadas a difundir la información ambiental en el marco de la educación ambiental </t>
        </is>
      </c>
      <c r="I46" t="inlineStr">
        <is>
          <t>2024258990038</t>
        </is>
      </c>
      <c r="J46" s="99">
        <v>240000000</v>
      </c>
      <c r="K46" s="99">
        <v>0</v>
      </c>
      <c r="L46" s="99">
        <v>80000000</v>
      </c>
      <c r="M46" s="99">
        <v>80000000</v>
      </c>
      <c r="N46" s="99">
        <v>80000000</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v>14887624</v>
      </c>
      <c r="U46" s="101">
        <v>14887624</v>
      </c>
      <c r="V46" s="101">
        <v>14887624</v>
      </c>
      <c r="W46" s="102">
        <v>0.1860953</v>
      </c>
      <c r="X46" t="inlineStr">
        <is>
          <t>Lo obligado está por debajo de lo programado en la vigencia</t>
        </is>
      </c>
    </row>
    <row r="47">
      <c r="A47" t="inlineStr">
        <is>
          <t>IP-132, IP-137, IP-138, IP-331, IP-336, IP-337</t>
        </is>
      </c>
      <c r="B47" t="inlineStr">
        <is>
          <t>32</t>
        </is>
      </c>
      <c r="C47" t="inlineStr">
        <is>
          <t>Ambiente y desarrollo sostenible</t>
        </is>
      </c>
      <c r="D47" t="inlineStr">
        <is>
          <t>3203</t>
        </is>
      </c>
      <c r="E47" t="inlineStr">
        <is>
          <t>Gestión integral del recurso hídrico</t>
        </is>
      </c>
      <c r="F47" t="inlineStr">
        <is>
          <t>3203002</t>
        </is>
      </c>
      <c r="G47" t="inlineStr">
        <is>
          <t>Documentos de planeación para la gestión integral del recurso hídrico</t>
        </is>
      </c>
      <c r="H47" t="inlineStr">
        <is>
          <t>Documentos cuyo objetivo es plasmar una visión de futuro a nivel país, entidad territorial, comunidad, sector, región, entidad o cualquier nivel de desagregación que se requiera. Incluye objetivos, estrategias, metas e indicadores</t>
        </is>
      </c>
      <c r="I47" t="inlineStr">
        <is>
          <t>2024258990036</t>
        </is>
      </c>
      <c r="J47" s="99">
        <v>3380000000</v>
      </c>
      <c r="K47" s="99">
        <v>0</v>
      </c>
      <c r="L47" s="99">
        <v>1350000000</v>
      </c>
      <c r="M47" s="99">
        <v>1135000000</v>
      </c>
      <c r="N47" s="99">
        <v>895000000</v>
      </c>
      <c r="O47" s="99">
        <v>0</v>
      </c>
      <c r="P47" s="99">
        <v>0</v>
      </c>
      <c r="Q47" s="99">
        <v>0</v>
      </c>
      <c r="R47" s="100" t="inlineStr">
        <is>
          <t xml:space="preserve"> </t>
        </is>
      </c>
      <c r="S47" t="inlineStr">
        <is>
          <t>No se programó ni ejecutó en la vigencia</t>
        </is>
      </c>
      <c r="T47" s="101">
        <v>259744094</v>
      </c>
      <c r="U47" s="101">
        <v>0</v>
      </c>
      <c r="V47" s="101">
        <v>0</v>
      </c>
      <c r="W47" s="102">
        <v>0</v>
      </c>
      <c r="X47" t="inlineStr">
        <is>
          <t>No se ejecutó en la vigencia</t>
        </is>
      </c>
    </row>
    <row r="48">
      <c r="A48" t="inlineStr">
        <is>
          <t>IP-133, IP-332</t>
        </is>
      </c>
      <c r="B48" t="inlineStr">
        <is>
          <t>40</t>
        </is>
      </c>
      <c r="C48" t="inlineStr">
        <is>
          <t>Vivienda, ciudad y territorio</t>
        </is>
      </c>
      <c r="D48" t="inlineStr">
        <is>
          <t>4003</t>
        </is>
      </c>
      <c r="E48" t="inlineStr">
        <is>
          <t>Acceso de la población a los servicios de agua potable y saneamiento básico</t>
        </is>
      </c>
      <c r="F48" t="inlineStr">
        <is>
          <t>4003023</t>
        </is>
      </c>
      <c r="G48" t="inlineStr">
        <is>
          <t>Servicios de seguimiento al Plan de Gestión Integral de Residuos Solidos PGIRS</t>
        </is>
      </c>
      <c r="H48" t="inlineStr">
        <is>
          <t/>
        </is>
      </c>
      <c r="I48" t="inlineStr">
        <is>
          <t>2024258990039</t>
        </is>
      </c>
      <c r="J48" s="99">
        <v>4000000000</v>
      </c>
      <c r="K48" s="99">
        <v>337491778</v>
      </c>
      <c r="L48" s="99">
        <v>1220836074</v>
      </c>
      <c r="M48" s="99">
        <v>1220836074</v>
      </c>
      <c r="N48" s="99">
        <v>1220836074</v>
      </c>
      <c r="O48" s="99">
        <v>120057487</v>
      </c>
      <c r="P48" s="99">
        <v>120057487</v>
      </c>
      <c r="Q48" s="99">
        <v>15444846</v>
      </c>
      <c r="R48" s="100">
        <v>0.355734553628148</v>
      </c>
      <c r="S48" t="inlineStr">
        <is>
          <t>Lo obligado está por debajo de lo programado en la vigencia</t>
        </is>
      </c>
      <c r="T48" s="101">
        <v>283743602</v>
      </c>
      <c r="U48" s="101">
        <v>101720349</v>
      </c>
      <c r="V48" s="101">
        <v>101720349</v>
      </c>
      <c r="W48" s="102">
        <v>0.0833202353422594</v>
      </c>
      <c r="X48" t="inlineStr">
        <is>
          <t>Lo obligado está por debajo de lo programado en la vigencia</t>
        </is>
      </c>
    </row>
    <row r="49">
      <c r="A49" t="inlineStr">
        <is>
          <t>IP-134, IP-333</t>
        </is>
      </c>
      <c r="B49" t="inlineStr">
        <is>
          <t>32</t>
        </is>
      </c>
      <c r="C49" t="inlineStr">
        <is>
          <t>Ambiente y desarrollo sostenible</t>
        </is>
      </c>
      <c r="D49" t="inlineStr">
        <is>
          <t>3206</t>
        </is>
      </c>
      <c r="E49" t="inlineStr">
        <is>
          <t>Gestión del cambio climático para un desarrollo bajo en carbono y resiliente al clima</t>
        </is>
      </c>
      <c r="F49" t="inlineStr">
        <is>
          <t>3206003</t>
        </is>
      </c>
      <c r="G49" t="inlineStr">
        <is>
          <t>Servicio de apoyo técnico para la implementación de acciones de mitigación y adaptación al cambio climático</t>
        </is>
      </c>
      <c r="H49"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49" t="inlineStr">
        <is>
          <t>2024258990037</t>
        </is>
      </c>
      <c r="J49" s="99">
        <v>1580200000</v>
      </c>
      <c r="K49" s="99">
        <v>136000000</v>
      </c>
      <c r="L49" s="99">
        <v>676000000</v>
      </c>
      <c r="M49" s="99">
        <v>518200000</v>
      </c>
      <c r="N49" s="99">
        <v>250000000</v>
      </c>
      <c r="O49" s="99">
        <v>156604244</v>
      </c>
      <c r="P49" s="99">
        <v>156604244</v>
      </c>
      <c r="Q49" s="99">
        <v>6629653</v>
      </c>
      <c r="R49" s="100">
        <v>1.15150179411765</v>
      </c>
      <c r="S49" t="inlineStr">
        <is>
          <t>Hubo ejecución por encima de lo programado en SisPT</t>
        </is>
      </c>
      <c r="T49" s="101">
        <v>129887624</v>
      </c>
      <c r="U49" s="101">
        <v>26151671</v>
      </c>
      <c r="V49" s="101">
        <v>26151671</v>
      </c>
      <c r="W49" s="102">
        <v>0.0386859038461538</v>
      </c>
      <c r="X49" t="inlineStr">
        <is>
          <t>Lo obligado está por debajo de lo programado en la vigencia</t>
        </is>
      </c>
    </row>
    <row r="50">
      <c r="A50" t="inlineStr">
        <is>
          <t>IP-135, IP-334</t>
        </is>
      </c>
      <c r="B50" t="inlineStr">
        <is>
          <t>21</t>
        </is>
      </c>
      <c r="C50" t="inlineStr">
        <is>
          <t>Minas y Energía</t>
        </is>
      </c>
      <c r="D50" t="inlineStr">
        <is>
          <t>2104</t>
        </is>
      </c>
      <c r="E50" t="inlineStr">
        <is>
          <t>Consolidación productiva del sector minero</t>
        </is>
      </c>
      <c r="F50" t="inlineStr">
        <is>
          <t>2104012</t>
        </is>
      </c>
      <c r="G50" t="inlineStr">
        <is>
          <t>Servicio de inspección y control de la actividad minera</t>
        </is>
      </c>
      <c r="H50" t="inlineStr">
        <is>
          <t xml:space="preserve">Se realiza mediante visitas a las unidades de producción minera en las cuales se verifican las condiciones técnicas mínimas establecidas por Ley, en términos de operación, manejo ambiental, seguridad e higiene minera. </t>
        </is>
      </c>
      <c r="I50" t="inlineStr">
        <is>
          <t>2024258990033</t>
        </is>
      </c>
      <c r="J50" s="99">
        <v>320000000</v>
      </c>
      <c r="K50" s="99">
        <v>62000000</v>
      </c>
      <c r="L50" s="99">
        <v>86000000</v>
      </c>
      <c r="M50" s="99">
        <v>86000000</v>
      </c>
      <c r="N50" s="99">
        <v>86000000</v>
      </c>
      <c r="O50" s="99" t="inlineStr">
        <is>
          <t xml:space="preserve"> </t>
        </is>
      </c>
      <c r="P50" s="99" t="inlineStr">
        <is>
          <t xml:space="preserve"> </t>
        </is>
      </c>
      <c r="Q50" s="99" t="inlineStr">
        <is>
          <t xml:space="preserve"> </t>
        </is>
      </c>
      <c r="R50" s="100" t="inlineStr">
        <is>
          <t xml:space="preserve"> </t>
        </is>
      </c>
      <c r="S50" t="inlineStr">
        <is>
          <t>No se encontró ejecución en CUIPO</t>
        </is>
      </c>
      <c r="T50" s="101">
        <v>29887624</v>
      </c>
      <c r="U50" s="101">
        <v>11207859</v>
      </c>
      <c r="V50" s="101">
        <v>11207859</v>
      </c>
      <c r="W50" s="102">
        <v>0.130323941860465</v>
      </c>
      <c r="X50" t="inlineStr">
        <is>
          <t>Lo obligado está por debajo de lo programado en la vigencia</t>
        </is>
      </c>
    </row>
    <row r="51">
      <c r="A51" t="inlineStr">
        <is>
          <t>IP-139, IP-338</t>
        </is>
      </c>
      <c r="B51" t="inlineStr">
        <is>
          <t>32</t>
        </is>
      </c>
      <c r="C51" t="inlineStr">
        <is>
          <t>Ambiente y desarrollo sostenible</t>
        </is>
      </c>
      <c r="D51" t="inlineStr">
        <is>
          <t>3202</t>
        </is>
      </c>
      <c r="E51" t="inlineStr">
        <is>
          <t>Conservación de la biodiversidad y sus servicios ecosistémicos</t>
        </is>
      </c>
      <c r="F51" t="inlineStr">
        <is>
          <t>3202037</t>
        </is>
      </c>
      <c r="G51" t="inlineStr">
        <is>
          <t>Servicio de recuperación de cuerpos de agua lénticos y lóticos</t>
        </is>
      </c>
      <c r="H51" t="inlineStr">
        <is>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is>
      </c>
      <c r="I51" t="inlineStr">
        <is>
          <t>2024258990035</t>
        </is>
      </c>
      <c r="J51" s="99">
        <v>1400000000</v>
      </c>
      <c r="K51" s="99">
        <v>18685036</v>
      </c>
      <c r="L51" s="99">
        <v>460438322</v>
      </c>
      <c r="M51" s="99">
        <v>460438320</v>
      </c>
      <c r="N51" s="99">
        <v>460438322</v>
      </c>
      <c r="O51" s="99" t="inlineStr">
        <is>
          <t xml:space="preserve"> </t>
        </is>
      </c>
      <c r="P51" s="99" t="inlineStr">
        <is>
          <t xml:space="preserve"> </t>
        </is>
      </c>
      <c r="Q51" s="99" t="inlineStr">
        <is>
          <t xml:space="preserve"> </t>
        </is>
      </c>
      <c r="R51" s="100" t="inlineStr">
        <is>
          <t xml:space="preserve"> </t>
        </is>
      </c>
      <c r="S51" t="inlineStr">
        <is>
          <t>No se encontró ejecución en CUIPO</t>
        </is>
      </c>
      <c r="T51" s="101">
        <v>25702656</v>
      </c>
      <c r="U51" s="101">
        <v>16064160</v>
      </c>
      <c r="V51" s="101">
        <v>16064160</v>
      </c>
      <c r="W51" s="102">
        <v>0.0348888422888484</v>
      </c>
      <c r="X51" t="inlineStr">
        <is>
          <t>Lo obligado está por debajo de lo programado en la vigencia</t>
        </is>
      </c>
    </row>
    <row r="52">
      <c r="A52" t="inlineStr">
        <is>
          <t>IP-140, IP-339</t>
        </is>
      </c>
      <c r="B52" t="inlineStr">
        <is>
          <t>17</t>
        </is>
      </c>
      <c r="C52" t="inlineStr">
        <is>
          <t xml:space="preserve">Agricultura y desarrollo rural
</t>
        </is>
      </c>
      <c r="D52" t="inlineStr">
        <is>
          <t>1702</t>
        </is>
      </c>
      <c r="E52" t="inlineStr">
        <is>
          <t>Inclusión productiva de pequeños productores rurales</t>
        </is>
      </c>
      <c r="F52" t="inlineStr">
        <is>
          <t>1702012</t>
        </is>
      </c>
      <c r="G52" t="inlineStr">
        <is>
          <t>Servicio de educación informal en temas administrativos y de gestión financiera a pequeños productores</t>
        </is>
      </c>
      <c r="H52" t="inlineStr">
        <is>
          <t>Contempla acciones que se realizan para contribuir al  conocimiento y apropiación de los pequeños productores sobre temas administrativos y de gestión financiera.</t>
        </is>
      </c>
      <c r="I52" t="inlineStr">
        <is>
          <t>2024258990029</t>
        </is>
      </c>
      <c r="J52" s="99">
        <v>240000000</v>
      </c>
      <c r="K52" s="99">
        <v>14618702</v>
      </c>
      <c r="L52" s="99">
        <v>75127100</v>
      </c>
      <c r="M52" s="99">
        <v>75127098</v>
      </c>
      <c r="N52" s="99">
        <v>75127100</v>
      </c>
      <c r="O52" s="99">
        <v>21264539</v>
      </c>
      <c r="P52" s="99">
        <v>21264539</v>
      </c>
      <c r="Q52" s="99">
        <v>21264539</v>
      </c>
      <c r="R52" s="100">
        <v>1.45461197581016</v>
      </c>
      <c r="S52" t="inlineStr">
        <is>
          <t>Hubo ejecución por encima de lo programado en SisPT</t>
        </is>
      </c>
      <c r="T52" s="101">
        <v>8000000</v>
      </c>
      <c r="U52" s="101">
        <v>8000000</v>
      </c>
      <c r="V52" s="101">
        <v>8000000</v>
      </c>
      <c r="W52" s="102">
        <v>0.106486208039442</v>
      </c>
      <c r="X52" t="inlineStr">
        <is>
          <t>Lo obligado está por debajo de lo programado en la vigencia</t>
        </is>
      </c>
    </row>
    <row r="53">
      <c r="A53" t="inlineStr">
        <is>
          <t>IP-141, IP-340</t>
        </is>
      </c>
      <c r="B53" t="inlineStr">
        <is>
          <t>17</t>
        </is>
      </c>
      <c r="C53" t="inlineStr">
        <is>
          <t xml:space="preserve">Agricultura y desarrollo rural
</t>
        </is>
      </c>
      <c r="D53" t="inlineStr">
        <is>
          <t>1702</t>
        </is>
      </c>
      <c r="E53" t="inlineStr">
        <is>
          <t>Inclusión productiva de pequeños productores rurales</t>
        </is>
      </c>
      <c r="F53" t="inlineStr">
        <is>
          <t>1702007</t>
        </is>
      </c>
      <c r="G53" t="inlineStr">
        <is>
          <t>Servicio de apoyo financiero para proyectos productivos</t>
        </is>
      </c>
      <c r="H53" t="inlineStr">
        <is>
          <t>Subsidio o cofinanciación para el establecimiento o fortalecimiento de proyectos productivos agropecuarios.</t>
        </is>
      </c>
      <c r="I53" t="inlineStr">
        <is>
          <t>2024258990029</t>
        </is>
      </c>
      <c r="J53" s="99">
        <v>3800000000</v>
      </c>
      <c r="K53" s="99">
        <v>508000</v>
      </c>
      <c r="L53" s="99">
        <v>1467830668</v>
      </c>
      <c r="M53" s="99">
        <v>1465830666</v>
      </c>
      <c r="N53" s="99">
        <v>865830666</v>
      </c>
      <c r="O53" s="99">
        <v>9488136</v>
      </c>
      <c r="P53" s="99">
        <v>9488136</v>
      </c>
      <c r="Q53" s="99">
        <v>9488136</v>
      </c>
      <c r="R53" s="100">
        <v>18.6774330708661</v>
      </c>
      <c r="S53" t="inlineStr">
        <is>
          <t>Hubo ejecución por encima de lo programado en SisPT</t>
        </is>
      </c>
      <c r="T53" s="101">
        <v>55905870</v>
      </c>
      <c r="U53" s="101">
        <v>39227508</v>
      </c>
      <c r="V53" s="101">
        <v>39227508</v>
      </c>
      <c r="W53" s="102">
        <v>0.026724818369853</v>
      </c>
      <c r="X53" t="inlineStr">
        <is>
          <t>Lo obligado está por debajo de lo programado en la vigencia</t>
        </is>
      </c>
    </row>
    <row r="54">
      <c r="A54" t="inlineStr">
        <is>
          <t>IP-142, IP-341</t>
        </is>
      </c>
      <c r="B54" t="inlineStr">
        <is>
          <t>17</t>
        </is>
      </c>
      <c r="C54" t="inlineStr">
        <is>
          <t xml:space="preserve">Agricultura y desarrollo rural
</t>
        </is>
      </c>
      <c r="D54" t="inlineStr">
        <is>
          <t>1702</t>
        </is>
      </c>
      <c r="E54" t="inlineStr">
        <is>
          <t>Inclusión productiva de pequeños productores rurales</t>
        </is>
      </c>
      <c r="F54" t="inlineStr">
        <is>
          <t>1702035</t>
        </is>
      </c>
      <c r="G54" t="inlineStr">
        <is>
          <t>Servicio de educación informal en Buenas Prácticas Agrícolas y producción sostenible</t>
        </is>
      </c>
      <c r="H54" t="inlineStr">
        <is>
          <t>Realizar capacitación a productores sobre implementación de Buenas Prácticas Agrícolas.</t>
        </is>
      </c>
      <c r="I54" t="inlineStr">
        <is>
          <t>2024258990029</t>
        </is>
      </c>
      <c r="J54" s="99">
        <v>240000000</v>
      </c>
      <c r="K54" s="99">
        <v>1316674</v>
      </c>
      <c r="L54" s="99">
        <v>90926982</v>
      </c>
      <c r="M54" s="99">
        <v>90926982</v>
      </c>
      <c r="N54" s="99">
        <v>56829362</v>
      </c>
      <c r="O54" s="99">
        <v>0</v>
      </c>
      <c r="P54" s="99">
        <v>0</v>
      </c>
      <c r="Q54" s="99">
        <v>0</v>
      </c>
      <c r="R54" s="100">
        <v>0</v>
      </c>
      <c r="S54" t="inlineStr">
        <is>
          <t>No se ejecutó en la vigencia</t>
        </is>
      </c>
      <c r="T54" s="101" t="inlineStr">
        <is>
          <t xml:space="preserve"> </t>
        </is>
      </c>
      <c r="U54" s="101" t="inlineStr">
        <is>
          <t xml:space="preserve"> </t>
        </is>
      </c>
      <c r="V54" s="101" t="inlineStr">
        <is>
          <t xml:space="preserve"> </t>
        </is>
      </c>
      <c r="W54" s="102" t="inlineStr">
        <is>
          <t xml:space="preserve"> </t>
        </is>
      </c>
      <c r="X54" t="inlineStr">
        <is>
          <t>No se encontró ejecución en CUIPO</t>
        </is>
      </c>
    </row>
    <row r="55">
      <c r="A55" t="inlineStr">
        <is>
          <t>IP-143, IP-342</t>
        </is>
      </c>
      <c r="B55" t="inlineStr">
        <is>
          <t>17</t>
        </is>
      </c>
      <c r="C55" t="inlineStr">
        <is>
          <t xml:space="preserve">Agricultura y desarrollo rural
</t>
        </is>
      </c>
      <c r="D55" t="inlineStr">
        <is>
          <t>1707</t>
        </is>
      </c>
      <c r="E55" t="inlineStr">
        <is>
          <t>Sanidad agropecuaria e inocuidad agroalimentaria</t>
        </is>
      </c>
      <c r="F55" t="inlineStr">
        <is>
          <t>1707079</t>
        </is>
      </c>
      <c r="G55" t="inlineStr">
        <is>
          <t>Centros para la atención de animales de producción agropecuaria construidos y dotados</t>
        </is>
      </c>
      <c r="H55" t="inlineStr">
        <is>
          <t xml:space="preserve">Incluye la construcción de obras de edificación con el fin de recibir, tratar médicamente y atender temporalmente animales de producción agropecuaria. A su vez, contiene la dotación a la infraestructura construida.Incluye la construcción y dotación de obras de edificación con el fin de recibir, tratar médicamente y atender temporalmente animales de producción agropecuaria. </t>
        </is>
      </c>
      <c r="I55" t="inlineStr">
        <is>
          <t>2024258990031</t>
        </is>
      </c>
      <c r="J55" s="99">
        <v>2800000000</v>
      </c>
      <c r="K55" s="99">
        <v>46397232</v>
      </c>
      <c r="L55" s="99">
        <v>1032601038</v>
      </c>
      <c r="M55" s="99">
        <v>1032601038</v>
      </c>
      <c r="N55" s="99">
        <v>688400692</v>
      </c>
      <c r="O55" s="99">
        <v>22819565</v>
      </c>
      <c r="P55" s="99">
        <v>22819565</v>
      </c>
      <c r="Q55" s="99">
        <v>22819565</v>
      </c>
      <c r="R55" s="100">
        <v>0.491830310049531</v>
      </c>
      <c r="S55" t="inlineStr">
        <is>
          <t>Lo obligado está por debajo de lo programado en la vigencia</t>
        </is>
      </c>
      <c r="T55" s="101" t="inlineStr">
        <is>
          <t xml:space="preserve"> </t>
        </is>
      </c>
      <c r="U55" s="101" t="inlineStr">
        <is>
          <t xml:space="preserve"> </t>
        </is>
      </c>
      <c r="V55" s="101" t="inlineStr">
        <is>
          <t xml:space="preserve"> </t>
        </is>
      </c>
      <c r="W55" s="102" t="inlineStr">
        <is>
          <t xml:space="preserve"> </t>
        </is>
      </c>
      <c r="X55" t="inlineStr">
        <is>
          <t>No se encontró ejecución en CUIPO</t>
        </is>
      </c>
    </row>
    <row r="56">
      <c r="A56" t="inlineStr">
        <is>
          <t>IP-145, IP-146, IP-344, IP-345</t>
        </is>
      </c>
      <c r="B56" t="inlineStr">
        <is>
          <t>17</t>
        </is>
      </c>
      <c r="C56" t="inlineStr">
        <is>
          <t xml:space="preserve">Agricultura y desarrollo rural
</t>
        </is>
      </c>
      <c r="D56" t="inlineStr">
        <is>
          <t>1707</t>
        </is>
      </c>
      <c r="E56" t="inlineStr">
        <is>
          <t>Sanidad agropecuaria e inocuidad agroalimentaria</t>
        </is>
      </c>
      <c r="F56" t="inlineStr">
        <is>
          <t>1707043</t>
        </is>
      </c>
      <c r="G56" t="inlineStr">
        <is>
          <t>Servicios de control de parásitos para especies de interés agropecuario</t>
        </is>
      </c>
      <c r="H56" t="inlineStr">
        <is>
          <t>Consiste en el desarrollo de prácticas enfocadas a promover y proteger la salud de las especies animales por medio del control de parásitos internos y/o extermos . Incluye aplicación de vermífugos, baños, entre otros</t>
        </is>
      </c>
      <c r="I56" t="inlineStr">
        <is>
          <t>2024258990031</t>
        </is>
      </c>
      <c r="J56" s="99">
        <v>2180000002</v>
      </c>
      <c r="K56" s="99">
        <v>220116406</v>
      </c>
      <c r="L56" s="99">
        <v>687974604</v>
      </c>
      <c r="M56" s="99">
        <v>685974602</v>
      </c>
      <c r="N56" s="99">
        <v>585934390</v>
      </c>
      <c r="O56" s="99">
        <v>120973224</v>
      </c>
      <c r="P56" s="99">
        <v>120973224</v>
      </c>
      <c r="Q56" s="99">
        <v>100493999</v>
      </c>
      <c r="R56" s="100">
        <v>0.549587494173424</v>
      </c>
      <c r="S56" t="inlineStr">
        <is>
          <t>Lo obligado está por debajo de lo programado en la vigencia</t>
        </is>
      </c>
      <c r="T56" s="101" t="inlineStr">
        <is>
          <t xml:space="preserve"> </t>
        </is>
      </c>
      <c r="U56" s="101" t="inlineStr">
        <is>
          <t xml:space="preserve"> </t>
        </is>
      </c>
      <c r="V56" s="101" t="inlineStr">
        <is>
          <t xml:space="preserve"> </t>
        </is>
      </c>
      <c r="W56" s="102" t="inlineStr">
        <is>
          <t xml:space="preserve"> </t>
        </is>
      </c>
      <c r="X56" t="inlineStr">
        <is>
          <t>No se encontró ejecución en CUIPO</t>
        </is>
      </c>
    </row>
    <row r="57">
      <c r="A57" t="inlineStr">
        <is>
          <t>IP-147, IP-346</t>
        </is>
      </c>
      <c r="B57" t="inlineStr">
        <is>
          <t>17</t>
        </is>
      </c>
      <c r="C57" t="inlineStr">
        <is>
          <t xml:space="preserve">Agricultura y desarrollo rural
</t>
        </is>
      </c>
      <c r="D57" t="inlineStr">
        <is>
          <t>1707</t>
        </is>
      </c>
      <c r="E57" t="inlineStr">
        <is>
          <t>Sanidad agropecuaria e inocuidad agroalimentaria</t>
        </is>
      </c>
      <c r="F57" t="inlineStr">
        <is>
          <t>1707070</t>
        </is>
      </c>
      <c r="G57" t="inlineStr">
        <is>
          <t>Documentos de política</t>
        </is>
      </c>
      <c r="H57" t="inlineStr">
        <is>
          <t>Documentos cuyo objetivo es emitir los lineamientos de política para el Ministerio de Agricultura y Desarrollo Rural, las entidades adscritas y vinculadas, gremios, asociaciones o comités de productores y secretarías de agricultura, entidades del orden departamental, municipal y distrital.</t>
        </is>
      </c>
      <c r="I57" t="inlineStr">
        <is>
          <t>2024258990031</t>
        </is>
      </c>
      <c r="J57" s="99">
        <v>240000000</v>
      </c>
      <c r="K57" s="99">
        <v>0</v>
      </c>
      <c r="L57" s="99">
        <v>80000000</v>
      </c>
      <c r="M57" s="99">
        <v>80000000</v>
      </c>
      <c r="N57" s="99">
        <v>80000000</v>
      </c>
      <c r="O57" s="99" t="inlineStr">
        <is>
          <t xml:space="preserve"> </t>
        </is>
      </c>
      <c r="P57" s="99" t="inlineStr">
        <is>
          <t xml:space="preserve"> </t>
        </is>
      </c>
      <c r="Q57" s="99" t="inlineStr">
        <is>
          <t xml:space="preserve"> </t>
        </is>
      </c>
      <c r="R57" s="100" t="inlineStr">
        <is>
          <t xml:space="preserve"> </t>
        </is>
      </c>
      <c r="S57" t="inlineStr">
        <is>
          <t>No se encontró ejecución en CUIPO</t>
        </is>
      </c>
      <c r="T57" s="101" t="inlineStr">
        <is>
          <t xml:space="preserve"> </t>
        </is>
      </c>
      <c r="U57" s="101" t="inlineStr">
        <is>
          <t xml:space="preserve"> </t>
        </is>
      </c>
      <c r="V57" s="101" t="inlineStr">
        <is>
          <t xml:space="preserve"> </t>
        </is>
      </c>
      <c r="W57" s="102" t="inlineStr">
        <is>
          <t xml:space="preserve"> </t>
        </is>
      </c>
      <c r="X57" t="inlineStr">
        <is>
          <t>No se encontró ejecución en CUIPO</t>
        </is>
      </c>
    </row>
    <row r="58">
      <c r="A58" t="inlineStr">
        <is>
          <t>IP-148, IP-347</t>
        </is>
      </c>
      <c r="B58" t="inlineStr">
        <is>
          <t>04</t>
        </is>
      </c>
      <c r="C58" t="inlineStr">
        <is>
          <t>Información Estadística</t>
        </is>
      </c>
      <c r="D58" t="inlineStr">
        <is>
          <t>0406</t>
        </is>
      </c>
      <c r="E58" t="inlineStr">
        <is>
          <t>Generación de la información geográfica del territorio nacional</t>
        </is>
      </c>
      <c r="F58" t="inlineStr">
        <is>
          <t>0406005</t>
        </is>
      </c>
      <c r="G58" t="inlineStr">
        <is>
          <t>Servicios de asistencia técnica</t>
        </is>
      </c>
      <c r="H58" t="inlineStr">
        <is>
          <t xml:space="preserve">Corresponde a las acciones por medio de las cuales se brinda asistencia técnica (asesoría, consultorías, cooperación técnica nacional e internacional) a las entidades territoriales, nacionales e internacionales de los diferentes sectores para una mejor gestión de los recursos geográficos conforme al marco de referencia geoespacial internacional. </t>
        </is>
      </c>
      <c r="I58" t="inlineStr">
        <is>
          <t>2024258990064</t>
        </is>
      </c>
      <c r="J58" s="99">
        <v>10850000000</v>
      </c>
      <c r="K58" s="99">
        <v>3500000000</v>
      </c>
      <c r="L58" s="99">
        <v>3500000000</v>
      </c>
      <c r="M58" s="99">
        <v>3500000000</v>
      </c>
      <c r="N58" s="99">
        <v>350000000</v>
      </c>
      <c r="O58" s="99" t="inlineStr">
        <is>
          <t xml:space="preserve"> </t>
        </is>
      </c>
      <c r="P58" s="99" t="inlineStr">
        <is>
          <t xml:space="preserve"> </t>
        </is>
      </c>
      <c r="Q58" s="99" t="inlineStr">
        <is>
          <t xml:space="preserve"> </t>
        </is>
      </c>
      <c r="R58" s="100" t="inlineStr">
        <is>
          <t xml:space="preserve"> </t>
        </is>
      </c>
      <c r="S58" t="inlineStr">
        <is>
          <t>No se encontró ejecución en CUIPO</t>
        </is>
      </c>
      <c r="T58" s="101" t="inlineStr">
        <is>
          <t xml:space="preserve"> </t>
        </is>
      </c>
      <c r="U58" s="101" t="inlineStr">
        <is>
          <t xml:space="preserve"> </t>
        </is>
      </c>
      <c r="V58" s="101" t="inlineStr">
        <is>
          <t xml:space="preserve"> </t>
        </is>
      </c>
      <c r="W58" s="102" t="inlineStr">
        <is>
          <t xml:space="preserve"> </t>
        </is>
      </c>
      <c r="X58" t="inlineStr">
        <is>
          <t>No se encontró ejecución en CUIPO</t>
        </is>
      </c>
    </row>
    <row r="59">
      <c r="A59" t="inlineStr">
        <is>
          <t>IP-149, IP-348</t>
        </is>
      </c>
      <c r="B59" t="inlineStr">
        <is>
          <t>04</t>
        </is>
      </c>
      <c r="C59" t="inlineStr">
        <is>
          <t>Información Estadística</t>
        </is>
      </c>
      <c r="D59" t="inlineStr">
        <is>
          <t>0406</t>
        </is>
      </c>
      <c r="E59" t="inlineStr">
        <is>
          <t>Generación de la información geográfica del territorio nacional</t>
        </is>
      </c>
      <c r="F59" t="inlineStr">
        <is>
          <t>0406003</t>
        </is>
      </c>
      <c r="G59" t="inlineStr">
        <is>
          <t>Servicio de conservación catastral</t>
        </is>
      </c>
      <c r="H59" t="inlineStr">
        <is>
          <t>Acciones orientadas a mantener actualizada, en los documentos catastrales, la información relacionada con los bienes inmuebles que hayan sufrido cambios en sus aspectos físico, jurídico y económico.</t>
        </is>
      </c>
      <c r="I59" t="inlineStr">
        <is>
          <t>2024258990064</t>
        </is>
      </c>
      <c r="J59" s="99">
        <v>600000000</v>
      </c>
      <c r="K59" s="99">
        <v>0</v>
      </c>
      <c r="L59" s="99">
        <v>200000000</v>
      </c>
      <c r="M59" s="99">
        <v>200000000</v>
      </c>
      <c r="N59" s="99">
        <v>200000000</v>
      </c>
      <c r="O59" s="99" t="inlineStr">
        <is>
          <t xml:space="preserve"> </t>
        </is>
      </c>
      <c r="P59" s="99" t="inlineStr">
        <is>
          <t xml:space="preserve"> </t>
        </is>
      </c>
      <c r="Q59" s="99" t="inlineStr">
        <is>
          <t xml:space="preserve"> </t>
        </is>
      </c>
      <c r="R59" s="100" t="inlineStr">
        <is>
          <t xml:space="preserve"> </t>
        </is>
      </c>
      <c r="S59" t="inlineStr">
        <is>
          <t>No se encontró ejecución en CUIPO</t>
        </is>
      </c>
      <c r="T59" s="101" t="inlineStr">
        <is>
          <t xml:space="preserve"> </t>
        </is>
      </c>
      <c r="U59" s="101" t="inlineStr">
        <is>
          <t xml:space="preserve"> </t>
        </is>
      </c>
      <c r="V59" s="101" t="inlineStr">
        <is>
          <t xml:space="preserve"> </t>
        </is>
      </c>
      <c r="W59" s="102" t="inlineStr">
        <is>
          <t xml:space="preserve"> </t>
        </is>
      </c>
      <c r="X59" t="inlineStr">
        <is>
          <t>No se encontró ejecución en CUIPO</t>
        </is>
      </c>
    </row>
    <row r="60">
      <c r="A60" t="inlineStr">
        <is>
          <t>IP-150, IP-349</t>
        </is>
      </c>
      <c r="B60" t="inlineStr">
        <is>
          <t>36</t>
        </is>
      </c>
      <c r="C60" t="inlineStr">
        <is>
          <t>Trabajo</t>
        </is>
      </c>
      <c r="D60" t="inlineStr">
        <is>
          <t>3605</t>
        </is>
      </c>
      <c r="E60" t="inlineStr">
        <is>
          <t>Fomento de la investigación, desarrollo tecnológico e innovación del sector trabajo</t>
        </is>
      </c>
      <c r="F60" t="inlineStr">
        <is>
          <t>3605008</t>
        </is>
      </c>
      <c r="G60" t="inlineStr">
        <is>
          <t>Servicio de educación informal para el talento humano</t>
        </is>
      </c>
      <c r="H60" t="inlineStr">
        <is>
          <t>Acciones para promover el desarrollo integral del talento humano para fortalecer las competencias y habilidades de los servidores públicos con el fin de desarrollar capacidades destrezas y habilidades en el puesto de trabajo, a través de plataformas virtuales</t>
        </is>
      </c>
      <c r="I60" t="inlineStr">
        <is>
          <t>2024258990064</t>
        </is>
      </c>
      <c r="J60" s="99">
        <v>800000000</v>
      </c>
      <c r="K60" s="99">
        <v>0</v>
      </c>
      <c r="L60" s="99">
        <v>800000000</v>
      </c>
      <c r="M60" s="99">
        <v>0</v>
      </c>
      <c r="N60" s="99">
        <v>0</v>
      </c>
      <c r="O60" s="99" t="inlineStr">
        <is>
          <t xml:space="preserve"> </t>
        </is>
      </c>
      <c r="P60" s="99" t="inlineStr">
        <is>
          <t xml:space="preserve"> </t>
        </is>
      </c>
      <c r="Q60" s="99" t="inlineStr">
        <is>
          <t xml:space="preserve"> </t>
        </is>
      </c>
      <c r="R60" s="100" t="inlineStr">
        <is>
          <t xml:space="preserve"> </t>
        </is>
      </c>
      <c r="S60" t="inlineStr">
        <is>
          <t>No se encontró ejecución en CUIPO</t>
        </is>
      </c>
      <c r="T60" s="101" t="inlineStr">
        <is>
          <t xml:space="preserve"> </t>
        </is>
      </c>
      <c r="U60" s="101" t="inlineStr">
        <is>
          <t xml:space="preserve"> </t>
        </is>
      </c>
      <c r="V60" s="101" t="inlineStr">
        <is>
          <t xml:space="preserve"> </t>
        </is>
      </c>
      <c r="W60" s="102" t="inlineStr">
        <is>
          <t xml:space="preserve"> </t>
        </is>
      </c>
      <c r="X60" t="inlineStr">
        <is>
          <t>No se encontró ejecución en CUIPO</t>
        </is>
      </c>
    </row>
    <row r="61">
      <c r="A61" t="inlineStr">
        <is>
          <t>IP-151, IP-350</t>
        </is>
      </c>
      <c r="B61" t="inlineStr">
        <is>
          <t>04</t>
        </is>
      </c>
      <c r="C61" t="inlineStr">
        <is>
          <t>Información Estadística</t>
        </is>
      </c>
      <c r="D61" t="inlineStr">
        <is>
          <t>0406</t>
        </is>
      </c>
      <c r="E61" t="inlineStr">
        <is>
          <t>Generación de la información geográfica del territorio nacional</t>
        </is>
      </c>
      <c r="F61" t="inlineStr">
        <is>
          <t>0406004</t>
        </is>
      </c>
      <c r="G61" t="inlineStr">
        <is>
          <t>Servicio de información catastral actualizado</t>
        </is>
      </c>
      <c r="H61" t="inlineStr">
        <is>
          <t>Corresponde al proceso que mejora la disposición de la información catastral para garantizar el uso y acceso de los datos.</t>
        </is>
      </c>
      <c r="I61" t="inlineStr">
        <is>
          <t>2024258990064</t>
        </is>
      </c>
      <c r="J61" s="99">
        <v>1480000000</v>
      </c>
      <c r="K61" s="99">
        <v>296000000</v>
      </c>
      <c r="L61" s="99">
        <v>1184000000</v>
      </c>
      <c r="M61" s="99">
        <v>0</v>
      </c>
      <c r="N61" s="99">
        <v>0</v>
      </c>
      <c r="O61" s="99" t="inlineStr">
        <is>
          <t xml:space="preserve"> </t>
        </is>
      </c>
      <c r="P61" s="99" t="inlineStr">
        <is>
          <t xml:space="preserve"> </t>
        </is>
      </c>
      <c r="Q61" s="99" t="inlineStr">
        <is>
          <t xml:space="preserve"> </t>
        </is>
      </c>
      <c r="R61" s="100" t="inlineStr">
        <is>
          <t xml:space="preserve"> </t>
        </is>
      </c>
      <c r="S61" t="inlineStr">
        <is>
          <t>No se encontró ejecución en CUIPO</t>
        </is>
      </c>
      <c r="T61" s="101" t="inlineStr">
        <is>
          <t xml:space="preserve"> </t>
        </is>
      </c>
      <c r="U61" s="101" t="inlineStr">
        <is>
          <t xml:space="preserve"> </t>
        </is>
      </c>
      <c r="V61" s="101" t="inlineStr">
        <is>
          <t xml:space="preserve"> </t>
        </is>
      </c>
      <c r="W61" s="102" t="inlineStr">
        <is>
          <t xml:space="preserve"> </t>
        </is>
      </c>
      <c r="X61" t="inlineStr">
        <is>
          <t>No se encontró ejecución en CUIPO</t>
        </is>
      </c>
    </row>
    <row r="62">
      <c r="A62" t="inlineStr">
        <is>
          <t>IP-152, IP-351</t>
        </is>
      </c>
      <c r="B62" t="inlineStr">
        <is>
          <t>04</t>
        </is>
      </c>
      <c r="C62" t="inlineStr">
        <is>
          <t>Información Estadística</t>
        </is>
      </c>
      <c r="D62" t="inlineStr">
        <is>
          <t>0406</t>
        </is>
      </c>
      <c r="E62" t="inlineStr">
        <is>
          <t>Generación de la información geográfica del territorio nacional</t>
        </is>
      </c>
      <c r="F62" t="inlineStr">
        <is>
          <t>0406001</t>
        </is>
      </c>
      <c r="G62" t="inlineStr">
        <is>
          <t>Servicio de información geográfica, geodésica y cartográfica actualizado</t>
        </is>
      </c>
      <c r="H62" t="inlineStr">
        <is>
          <t>Corresponde al proceso que mejora la disposición de los servicios web de mapas de información Geográfica, cartográfica y geodésica para garantizar el uso y acceso de los datos.</t>
        </is>
      </c>
      <c r="I62" t="inlineStr">
        <is>
          <t>2024258990064</t>
        </is>
      </c>
      <c r="J62" s="99">
        <v>3999999998</v>
      </c>
      <c r="K62" s="99">
        <v>666666666</v>
      </c>
      <c r="L62" s="99">
        <v>2666666666</v>
      </c>
      <c r="M62" s="99">
        <v>666666666</v>
      </c>
      <c r="N62" s="99">
        <v>0</v>
      </c>
      <c r="O62" s="99" t="inlineStr">
        <is>
          <t xml:space="preserve"> </t>
        </is>
      </c>
      <c r="P62" s="99" t="inlineStr">
        <is>
          <t xml:space="preserve"> </t>
        </is>
      </c>
      <c r="Q62" s="99" t="inlineStr">
        <is>
          <t xml:space="preserve"> </t>
        </is>
      </c>
      <c r="R62" s="100" t="inlineStr">
        <is>
          <t xml:space="preserve"> </t>
        </is>
      </c>
      <c r="S62" t="inlineStr">
        <is>
          <t>No se encontró ejecución en CUIPO</t>
        </is>
      </c>
      <c r="T62" s="101" t="inlineStr">
        <is>
          <t xml:space="preserve"> </t>
        </is>
      </c>
      <c r="U62" s="101" t="inlineStr">
        <is>
          <t xml:space="preserve"> </t>
        </is>
      </c>
      <c r="V62" s="101" t="inlineStr">
        <is>
          <t xml:space="preserve"> </t>
        </is>
      </c>
      <c r="W62" s="102" t="inlineStr">
        <is>
          <t xml:space="preserve"> </t>
        </is>
      </c>
      <c r="X62" t="inlineStr">
        <is>
          <t>No se encontró ejecución en CUIPO</t>
        </is>
      </c>
    </row>
    <row r="63">
      <c r="A63" t="inlineStr">
        <is>
          <t>IP-153, IP-352</t>
        </is>
      </c>
      <c r="B63" t="inlineStr">
        <is>
          <t>23</t>
        </is>
      </c>
      <c r="C63" t="inlineStr">
        <is>
          <t>Tecnologías de la información y las comunicaciones</t>
        </is>
      </c>
      <c r="D63" t="inlineStr">
        <is>
          <t>2301</t>
        </is>
      </c>
      <c r="E63" t="inlineStr">
        <is>
          <t>Facilitar el acceso y uso de las Tecnologías de la Información y las Comunicaciones (TIC) en todo el territorio nacional</t>
        </is>
      </c>
      <c r="F63" t="inlineStr">
        <is>
          <t>2301027</t>
        </is>
      </c>
      <c r="G63" t="inlineStr">
        <is>
          <t>Servicio de conexiones a redes de acceso</t>
        </is>
      </c>
      <c r="H63" t="inlineStr">
        <is>
          <t>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t>
        </is>
      </c>
      <c r="I63" t="inlineStr">
        <is>
          <t>2024258990063</t>
        </is>
      </c>
      <c r="J63" s="99">
        <v>400000000</v>
      </c>
      <c r="K63" s="99">
        <v>0</v>
      </c>
      <c r="L63" s="99">
        <v>200000000</v>
      </c>
      <c r="M63" s="99">
        <v>200000000</v>
      </c>
      <c r="N63" s="99">
        <v>0</v>
      </c>
      <c r="O63" s="99" t="inlineStr">
        <is>
          <t xml:space="preserve"> </t>
        </is>
      </c>
      <c r="P63" s="99" t="inlineStr">
        <is>
          <t xml:space="preserve"> </t>
        </is>
      </c>
      <c r="Q63" s="99" t="inlineStr">
        <is>
          <t xml:space="preserve"> </t>
        </is>
      </c>
      <c r="R63" s="100" t="inlineStr">
        <is>
          <t xml:space="preserve"> </t>
        </is>
      </c>
      <c r="S63" t="inlineStr">
        <is>
          <t>No se encontró ejecución en CUIPO</t>
        </is>
      </c>
      <c r="T63" s="101" t="inlineStr">
        <is>
          <t xml:space="preserve"> </t>
        </is>
      </c>
      <c r="U63" s="101" t="inlineStr">
        <is>
          <t xml:space="preserve"> </t>
        </is>
      </c>
      <c r="V63" s="101" t="inlineStr">
        <is>
          <t xml:space="preserve"> </t>
        </is>
      </c>
      <c r="W63" s="102" t="inlineStr">
        <is>
          <t xml:space="preserve"> </t>
        </is>
      </c>
      <c r="X63" t="inlineStr">
        <is>
          <t>No se encontró ejecución en CUIPO</t>
        </is>
      </c>
    </row>
    <row r="64">
      <c r="A64" t="inlineStr">
        <is>
          <t>IP-154, IP-155, IP-156, IP-157, IP-353, IP-354, IP-355, IP-356</t>
        </is>
      </c>
      <c r="B64" t="inlineStr">
        <is>
          <t>21</t>
        </is>
      </c>
      <c r="C64" t="inlineStr">
        <is>
          <t>Minas y Energía</t>
        </is>
      </c>
      <c r="D64" t="inlineStr">
        <is>
          <t>2102</t>
        </is>
      </c>
      <c r="E64" t="inlineStr">
        <is>
          <t>Consolidación productiva del sector de energía eléctrica</t>
        </is>
      </c>
      <c r="F64" t="inlineStr">
        <is>
          <t>2102069</t>
        </is>
      </c>
      <c r="G64" t="inlineStr">
        <is>
          <t>Servicio de alumbrado público</t>
        </is>
      </c>
      <c r="H64" t="inlineStr">
        <is>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is>
      </c>
      <c r="I64" t="inlineStr">
        <is>
          <t>2024258990063</t>
        </is>
      </c>
      <c r="J64" s="99">
        <v>3272400000</v>
      </c>
      <c r="K64" s="99">
        <v>39000000</v>
      </c>
      <c r="L64" s="99">
        <v>696000000</v>
      </c>
      <c r="M64" s="99">
        <v>1288200000</v>
      </c>
      <c r="N64" s="99">
        <v>1249200000</v>
      </c>
      <c r="O64" s="99">
        <v>2168259784</v>
      </c>
      <c r="P64" s="99">
        <v>2168259784</v>
      </c>
      <c r="Q64" s="99">
        <v>2168259784</v>
      </c>
      <c r="R64" s="100">
        <v>55.5964047179487</v>
      </c>
      <c r="S64" t="inlineStr">
        <is>
          <t>Hubo ejecución por encima de lo programado en SisPT</t>
        </is>
      </c>
      <c r="T64" s="101" t="inlineStr">
        <is>
          <t xml:space="preserve"> </t>
        </is>
      </c>
      <c r="U64" s="101" t="inlineStr">
        <is>
          <t xml:space="preserve"> </t>
        </is>
      </c>
      <c r="V64" s="101" t="inlineStr">
        <is>
          <t xml:space="preserve"> </t>
        </is>
      </c>
      <c r="W64" s="102" t="inlineStr">
        <is>
          <t xml:space="preserve"> </t>
        </is>
      </c>
      <c r="X64" t="inlineStr">
        <is>
          <t>No se encontró ejecución en CUIPO</t>
        </is>
      </c>
    </row>
    <row r="65">
      <c r="A65" t="inlineStr">
        <is>
          <t>IP-158, IP-357</t>
        </is>
      </c>
      <c r="B65" t="inlineStr">
        <is>
          <t>21</t>
        </is>
      </c>
      <c r="C65" t="inlineStr">
        <is>
          <t>Minas y Energía</t>
        </is>
      </c>
      <c r="D65" t="inlineStr">
        <is>
          <t>2102</t>
        </is>
      </c>
      <c r="E65" t="inlineStr">
        <is>
          <t>Consolidación productiva del sector de energía eléctrica</t>
        </is>
      </c>
      <c r="F65" t="inlineStr">
        <is>
          <t>2102011</t>
        </is>
      </c>
      <c r="G65" t="inlineStr">
        <is>
          <t>Redes de alumbrado público con mantenimiento</t>
        </is>
      </c>
      <c r="H65" t="inlineStr">
        <is>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65" t="inlineStr">
        <is>
          <t>2024258990063</t>
        </is>
      </c>
      <c r="J65" s="99">
        <v>37729600000</v>
      </c>
      <c r="K65" s="99">
        <v>640000000</v>
      </c>
      <c r="L65" s="99">
        <v>12363200000</v>
      </c>
      <c r="M65" s="99">
        <v>12363200000</v>
      </c>
      <c r="N65" s="99">
        <v>12363200000</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v>1698347759</v>
      </c>
      <c r="U65" s="101">
        <v>1698347759</v>
      </c>
      <c r="V65" s="101">
        <v>1698347759</v>
      </c>
      <c r="W65" s="102">
        <v>0.137371211255986</v>
      </c>
      <c r="X65" t="inlineStr">
        <is>
          <t>Lo obligado está por debajo de lo programado en la vigencia</t>
        </is>
      </c>
    </row>
    <row r="66">
      <c r="A66" t="inlineStr">
        <is>
          <t>IP-159, IP-358</t>
        </is>
      </c>
      <c r="B66" t="inlineStr">
        <is>
          <t>21</t>
        </is>
      </c>
      <c r="C66" t="inlineStr">
        <is>
          <t>Minas y Energía</t>
        </is>
      </c>
      <c r="D66" t="inlineStr">
        <is>
          <t>2102</t>
        </is>
      </c>
      <c r="E66" t="inlineStr">
        <is>
          <t>Consolidación productiva del sector de energía eléctrica</t>
        </is>
      </c>
      <c r="F66" t="inlineStr">
        <is>
          <t>2102058</t>
        </is>
      </c>
      <c r="G66" t="inlineStr">
        <is>
          <t>Unidades de generación fotovoltaica de energía eléctrica instaladas</t>
        </is>
      </c>
      <c r="H66" t="inlineStr">
        <is>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is>
      </c>
      <c r="I66" t="inlineStr">
        <is>
          <t>2024258990063</t>
        </is>
      </c>
      <c r="J66" s="99">
        <v>2000000000</v>
      </c>
      <c r="K66" s="99">
        <v>0</v>
      </c>
      <c r="L66" s="99">
        <v>1000000000</v>
      </c>
      <c r="M66" s="99">
        <v>1000000000</v>
      </c>
      <c r="N66" s="99">
        <v>0</v>
      </c>
      <c r="O66" s="99" t="inlineStr">
        <is>
          <t xml:space="preserve"> </t>
        </is>
      </c>
      <c r="P66" s="99" t="inlineStr">
        <is>
          <t xml:space="preserve"> </t>
        </is>
      </c>
      <c r="Q66" s="99" t="inlineStr">
        <is>
          <t xml:space="preserve"> </t>
        </is>
      </c>
      <c r="R66" s="100" t="inlineStr">
        <is>
          <t xml:space="preserve"> </t>
        </is>
      </c>
      <c r="S66" t="inlineStr">
        <is>
          <t>No se encontró ejecución en CUIPO</t>
        </is>
      </c>
      <c r="T66" s="101" t="inlineStr">
        <is>
          <t xml:space="preserve"> </t>
        </is>
      </c>
      <c r="U66" s="101" t="inlineStr">
        <is>
          <t xml:space="preserve"> </t>
        </is>
      </c>
      <c r="V66" s="101" t="inlineStr">
        <is>
          <t xml:space="preserve"> </t>
        </is>
      </c>
      <c r="W66" s="102" t="inlineStr">
        <is>
          <t xml:space="preserve"> </t>
        </is>
      </c>
      <c r="X66" t="inlineStr">
        <is>
          <t>No se encontró ejecución en CUIPO</t>
        </is>
      </c>
    </row>
    <row r="67">
      <c r="A67" t="inlineStr">
        <is>
          <t>IP-160, IP-161, IP-171, IP-359, IP-360, IP-370</t>
        </is>
      </c>
      <c r="B67" t="inlineStr">
        <is>
          <t>40</t>
        </is>
      </c>
      <c r="C67" t="inlineStr">
        <is>
          <t>Vivienda, ciudad y territorio</t>
        </is>
      </c>
      <c r="D67" t="inlineStr">
        <is>
          <t>4003</t>
        </is>
      </c>
      <c r="E67" t="inlineStr">
        <is>
          <t>Acceso de la población a los servicios de agua potable y saneamiento básico</t>
        </is>
      </c>
      <c r="F67" t="inlineStr">
        <is>
          <t>4003016</t>
        </is>
      </c>
      <c r="G67" t="inlineStr">
        <is>
          <t>Acueductos ampliados</t>
        </is>
      </c>
      <c r="H67" t="inlineStr">
        <is>
          <t>Conjunto de acciones y obras requeridas para aumentar la capacidad del acueducto en una misma área de cobertura.</t>
        </is>
      </c>
      <c r="I67" t="inlineStr">
        <is>
          <t>2024258990065</t>
        </is>
      </c>
      <c r="J67" s="99">
        <v>86632000000</v>
      </c>
      <c r="K67" s="99">
        <v>606000000</v>
      </c>
      <c r="L67" s="99">
        <v>5626400000</v>
      </c>
      <c r="M67" s="99">
        <v>70146800000</v>
      </c>
      <c r="N67" s="99">
        <v>10252800000</v>
      </c>
      <c r="O67" s="99" t="inlineStr">
        <is>
          <t xml:space="preserve"> </t>
        </is>
      </c>
      <c r="P67" s="99" t="inlineStr">
        <is>
          <t xml:space="preserve"> </t>
        </is>
      </c>
      <c r="Q67" s="99" t="inlineStr">
        <is>
          <t xml:space="preserve"> </t>
        </is>
      </c>
      <c r="R67" s="100" t="inlineStr">
        <is>
          <t xml:space="preserve"> </t>
        </is>
      </c>
      <c r="S67" t="inlineStr">
        <is>
          <t>No se encontró ejecución en CUIPO</t>
        </is>
      </c>
      <c r="T67" s="101" t="inlineStr">
        <is>
          <t xml:space="preserve"> </t>
        </is>
      </c>
      <c r="U67" s="101" t="inlineStr">
        <is>
          <t xml:space="preserve"> </t>
        </is>
      </c>
      <c r="V67" s="101" t="inlineStr">
        <is>
          <t xml:space="preserve"> </t>
        </is>
      </c>
      <c r="W67" s="102" t="inlineStr">
        <is>
          <t xml:space="preserve"> </t>
        </is>
      </c>
      <c r="X67" t="inlineStr">
        <is>
          <t>No se encontró ejecución en CUIPO</t>
        </is>
      </c>
    </row>
    <row r="68">
      <c r="A68" t="inlineStr">
        <is>
          <t>IP-162, IP-361</t>
        </is>
      </c>
      <c r="B68" t="inlineStr">
        <is>
          <t>40</t>
        </is>
      </c>
      <c r="C68" t="inlineStr">
        <is>
          <t>Vivienda, ciudad y territorio</t>
        </is>
      </c>
      <c r="D68" t="inlineStr">
        <is>
          <t>4003</t>
        </is>
      </c>
      <c r="E68" t="inlineStr">
        <is>
          <t>Acceso de la población a los servicios de agua potable y saneamiento básico</t>
        </is>
      </c>
      <c r="F68" t="inlineStr">
        <is>
          <t>4003006</t>
        </is>
      </c>
      <c r="G68" t="inlineStr">
        <is>
          <t>Documentos de planeación</t>
        </is>
      </c>
      <c r="H68" t="inlineStr">
        <is>
          <t>Documentos cuyo objetivo es plasmar una visión de futuro a nivel país, entidad territorial, comunidad, sector, región, entidad o cualquier nivel de desagregación que se requiera. Incluye objetivos, estrategias, metas e indicadores</t>
        </is>
      </c>
      <c r="I68" t="inlineStr">
        <is>
          <t>2024258990065</t>
        </is>
      </c>
      <c r="J68" s="99">
        <v>200000000</v>
      </c>
      <c r="K68" s="99">
        <v>0</v>
      </c>
      <c r="L68" s="99">
        <v>120000000</v>
      </c>
      <c r="M68" s="99">
        <v>40000000</v>
      </c>
      <c r="N68" s="99">
        <v>40000000</v>
      </c>
      <c r="O68" s="99" t="inlineStr">
        <is>
          <t xml:space="preserve"> </t>
        </is>
      </c>
      <c r="P68" s="99" t="inlineStr">
        <is>
          <t xml:space="preserve"> </t>
        </is>
      </c>
      <c r="Q68" s="99" t="inlineStr">
        <is>
          <t xml:space="preserve"> </t>
        </is>
      </c>
      <c r="R68" s="100" t="inlineStr">
        <is>
          <t xml:space="preserve"> </t>
        </is>
      </c>
      <c r="S68" t="inlineStr">
        <is>
          <t>No se encontró ejecución en CUIPO</t>
        </is>
      </c>
      <c r="T68" s="101" t="inlineStr">
        <is>
          <t xml:space="preserve"> </t>
        </is>
      </c>
      <c r="U68" s="101" t="inlineStr">
        <is>
          <t xml:space="preserve"> </t>
        </is>
      </c>
      <c r="V68" s="101" t="inlineStr">
        <is>
          <t xml:space="preserve"> </t>
        </is>
      </c>
      <c r="W68" s="102" t="inlineStr">
        <is>
          <t xml:space="preserve"> </t>
        </is>
      </c>
      <c r="X68" t="inlineStr">
        <is>
          <t>No se encontró ejecución en CUIPO</t>
        </is>
      </c>
    </row>
    <row r="69">
      <c r="A69" t="inlineStr">
        <is>
          <t>IP-163, IP-362</t>
        </is>
      </c>
      <c r="B69" t="inlineStr">
        <is>
          <t>32</t>
        </is>
      </c>
      <c r="C69" t="inlineStr">
        <is>
          <t>Ambiente y desarrollo sostenible</t>
        </is>
      </c>
      <c r="D69" t="inlineStr">
        <is>
          <t>3203</t>
        </is>
      </c>
      <c r="E69" t="inlineStr">
        <is>
          <t>Gestión integral del recurso hídrico</t>
        </is>
      </c>
      <c r="F69" t="inlineStr">
        <is>
          <t>3203010</t>
        </is>
      </c>
      <c r="G69" t="inlineStr">
        <is>
          <t>Servicio de modelación hidráulica</t>
        </is>
      </c>
      <c r="H69" t="inlineStr">
        <is>
          <t xml:space="preserve">Acciones orientadas al diseño e implementación de modelos hidráulicos que contengan la caracterización de la variación espacial y temporal de la velocidad y profundidad del agua </t>
        </is>
      </c>
      <c r="I69" t="inlineStr">
        <is>
          <t>2024258990065</t>
        </is>
      </c>
      <c r="J69" s="99">
        <v>259999998</v>
      </c>
      <c r="K69" s="99">
        <v>28888888</v>
      </c>
      <c r="L69" s="99">
        <v>57777778</v>
      </c>
      <c r="M69" s="99">
        <v>86666666</v>
      </c>
      <c r="N69" s="99">
        <v>86666666</v>
      </c>
      <c r="O69" s="99" t="inlineStr">
        <is>
          <t xml:space="preserve"> </t>
        </is>
      </c>
      <c r="P69" s="99" t="inlineStr">
        <is>
          <t xml:space="preserve"> </t>
        </is>
      </c>
      <c r="Q69" s="99" t="inlineStr">
        <is>
          <t xml:space="preserve"> </t>
        </is>
      </c>
      <c r="R69" s="100" t="inlineStr">
        <is>
          <t xml:space="preserve"> </t>
        </is>
      </c>
      <c r="S69" t="inlineStr">
        <is>
          <t>No se encontró ejecución en CUIPO</t>
        </is>
      </c>
      <c r="T69" s="101" t="inlineStr">
        <is>
          <t xml:space="preserve"> </t>
        </is>
      </c>
      <c r="U69" s="101" t="inlineStr">
        <is>
          <t xml:space="preserve"> </t>
        </is>
      </c>
      <c r="V69" s="101" t="inlineStr">
        <is>
          <t xml:space="preserve"> </t>
        </is>
      </c>
      <c r="W69" s="102" t="inlineStr">
        <is>
          <t xml:space="preserve"> </t>
        </is>
      </c>
      <c r="X69" t="inlineStr">
        <is>
          <t>No se encontró ejecución en CUIPO</t>
        </is>
      </c>
    </row>
    <row r="70">
      <c r="A70" t="inlineStr">
        <is>
          <t>IP-164, IP-166, IP-179, IP-180, IP-363, IP-365, IP-378, IP-379</t>
        </is>
      </c>
      <c r="B70" t="inlineStr">
        <is>
          <t>40</t>
        </is>
      </c>
      <c r="C70" t="inlineStr">
        <is>
          <t>Vivienda, ciudad y territorio</t>
        </is>
      </c>
      <c r="D70" t="inlineStr">
        <is>
          <t>4003</t>
        </is>
      </c>
      <c r="E70" t="inlineStr">
        <is>
          <t>Acceso de la población a los servicios de agua potable y saneamiento básico</t>
        </is>
      </c>
      <c r="F70" t="inlineStr">
        <is>
          <t>4003042</t>
        </is>
      </c>
      <c r="G70" t="inlineStr">
        <is>
          <t>Estudios de pre inversión e inversión</t>
        </is>
      </c>
      <c r="H70" t="inlineStr">
        <is>
          <t>Incluye la realización de estudios de pre factibilidad, factibilidad o definitivos para la ejecución de proyectos</t>
        </is>
      </c>
      <c r="I70" t="inlineStr">
        <is>
          <t>2024258990065</t>
        </is>
      </c>
      <c r="J70" s="99">
        <v>11146939332</v>
      </c>
      <c r="K70" s="99">
        <v>239646444</v>
      </c>
      <c r="L70" s="99">
        <v>2657292888</v>
      </c>
      <c r="M70" s="99">
        <v>4950000000</v>
      </c>
      <c r="N70" s="99">
        <v>3300000000</v>
      </c>
      <c r="O70" s="99" t="inlineStr">
        <is>
          <t xml:space="preserve"> </t>
        </is>
      </c>
      <c r="P70" s="99" t="inlineStr">
        <is>
          <t xml:space="preserve"> </t>
        </is>
      </c>
      <c r="Q70" s="99" t="inlineStr">
        <is>
          <t xml:space="preserve"> </t>
        </is>
      </c>
      <c r="R70" s="100" t="inlineStr">
        <is>
          <t xml:space="preserve"> </t>
        </is>
      </c>
      <c r="S70" t="inlineStr">
        <is>
          <t>No se encontró ejecución en CUIPO</t>
        </is>
      </c>
      <c r="T70" s="101" t="inlineStr">
        <is>
          <t xml:space="preserve"> </t>
        </is>
      </c>
      <c r="U70" s="101" t="inlineStr">
        <is>
          <t xml:space="preserve"> </t>
        </is>
      </c>
      <c r="V70" s="101" t="inlineStr">
        <is>
          <t xml:space="preserve"> </t>
        </is>
      </c>
      <c r="W70" s="102" t="inlineStr">
        <is>
          <t xml:space="preserve"> </t>
        </is>
      </c>
      <c r="X70" t="inlineStr">
        <is>
          <t>No se encontró ejecución en CUIPO</t>
        </is>
      </c>
    </row>
    <row r="71">
      <c r="A71" t="inlineStr">
        <is>
          <t>IP-165, IP-167, IP-168, IP-169, IP-170, IP-172, IP-173, IP-177, IP-364, IP-366, IP-367, IP-368, IP-369, IP-371, IP-372, IP-376</t>
        </is>
      </c>
      <c r="B71" t="inlineStr">
        <is>
          <t>40</t>
        </is>
      </c>
      <c r="C71" t="inlineStr">
        <is>
          <t>Vivienda, ciudad y territorio</t>
        </is>
      </c>
      <c r="D71" t="inlineStr">
        <is>
          <t>4003</t>
        </is>
      </c>
      <c r="E71" t="inlineStr">
        <is>
          <t>Acceso de la población a los servicios de agua potable y saneamiento básico</t>
        </is>
      </c>
      <c r="F71" t="inlineStr">
        <is>
          <t>4003017</t>
        </is>
      </c>
      <c r="G71" t="inlineStr">
        <is>
          <t>Acueductos optimizados</t>
        </is>
      </c>
      <c r="H71" t="inlineStr">
        <is>
          <t>Conjunto de acciones encaminadas a mejorar la capacidad, eficiencia y eficacia de la infraestructura componente del sistema de acueducto mediante su intervención parcial o total.</t>
        </is>
      </c>
      <c r="I71" t="inlineStr">
        <is>
          <t>2024258990065</t>
        </is>
      </c>
      <c r="J71" s="99">
        <v>47405999999.98</v>
      </c>
      <c r="K71" s="99">
        <v>2642200000</v>
      </c>
      <c r="L71" s="99">
        <v>13101366666.66</v>
      </c>
      <c r="M71" s="99">
        <v>16194966666.66</v>
      </c>
      <c r="N71" s="99">
        <v>15467466666.66</v>
      </c>
      <c r="O71" s="99" t="inlineStr">
        <is>
          <t xml:space="preserve"> </t>
        </is>
      </c>
      <c r="P71" s="99" t="inlineStr">
        <is>
          <t xml:space="preserve"> </t>
        </is>
      </c>
      <c r="Q71" s="99" t="inlineStr">
        <is>
          <t xml:space="preserve"> </t>
        </is>
      </c>
      <c r="R71" s="100" t="inlineStr">
        <is>
          <t xml:space="preserve"> </t>
        </is>
      </c>
      <c r="S71" t="inlineStr">
        <is>
          <t>No se encontró ejecución en CUIPO</t>
        </is>
      </c>
      <c r="T71" s="101">
        <v>3497547414</v>
      </c>
      <c r="U71" s="101">
        <v>1703422454</v>
      </c>
      <c r="V71" s="101">
        <v>1703422454</v>
      </c>
      <c r="W71" s="102">
        <v>0.130018684106813</v>
      </c>
      <c r="X71" t="inlineStr">
        <is>
          <t>Lo obligado está por debajo de lo programado en la vigencia</t>
        </is>
      </c>
    </row>
    <row r="72">
      <c r="A72" t="inlineStr">
        <is>
          <t>IP-174, IP-373</t>
        </is>
      </c>
      <c r="B72" t="inlineStr">
        <is>
          <t>40</t>
        </is>
      </c>
      <c r="C72" t="inlineStr">
        <is>
          <t>Vivienda, ciudad y territorio</t>
        </is>
      </c>
      <c r="D72" t="inlineStr">
        <is>
          <t>4003</t>
        </is>
      </c>
      <c r="E72" t="inlineStr">
        <is>
          <t>Acceso de la población a los servicios de agua potable y saneamiento básico</t>
        </is>
      </c>
      <c r="F72" t="inlineStr">
        <is>
          <t>4003015</t>
        </is>
      </c>
      <c r="G72" t="inlineStr">
        <is>
          <t>Acueductos construidos</t>
        </is>
      </c>
      <c r="H72" t="inlineStr">
        <is>
          <t>Conjunto de acciones y obras para la implementación de sistemas de acueducto nuevos.</t>
        </is>
      </c>
      <c r="I72" t="inlineStr">
        <is>
          <t>2024258990065</t>
        </is>
      </c>
      <c r="J72" s="99">
        <v>21659800000</v>
      </c>
      <c r="K72" s="99">
        <v>5414950000</v>
      </c>
      <c r="L72" s="99">
        <v>5414950000</v>
      </c>
      <c r="M72" s="99">
        <v>5414950000</v>
      </c>
      <c r="N72" s="99">
        <v>5414950000</v>
      </c>
      <c r="O72" s="99" t="inlineStr">
        <is>
          <t xml:space="preserve"> </t>
        </is>
      </c>
      <c r="P72" s="99" t="inlineStr">
        <is>
          <t xml:space="preserve"> </t>
        </is>
      </c>
      <c r="Q72" s="99" t="inlineStr">
        <is>
          <t xml:space="preserve"> </t>
        </is>
      </c>
      <c r="R72" s="100" t="inlineStr">
        <is>
          <t xml:space="preserve"> </t>
        </is>
      </c>
      <c r="S72" t="inlineStr">
        <is>
          <t>No se encontró ejecución en CUIPO</t>
        </is>
      </c>
      <c r="T72" s="101">
        <v>931996891</v>
      </c>
      <c r="U72" s="101">
        <v>931996891</v>
      </c>
      <c r="V72" s="101">
        <v>931996891</v>
      </c>
      <c r="W72" s="102">
        <v>0.172115511869916</v>
      </c>
      <c r="X72" t="inlineStr">
        <is>
          <t>Lo obligado está por debajo de lo programado en la vigencia</t>
        </is>
      </c>
    </row>
    <row r="73">
      <c r="A73" t="inlineStr">
        <is>
          <t>IP-175, IP-181, IP-182, IP-374, IP-380, IP-381</t>
        </is>
      </c>
      <c r="B73" t="inlineStr">
        <is>
          <t>40</t>
        </is>
      </c>
      <c r="C73" t="inlineStr">
        <is>
          <t>Vivienda, ciudad y territorio</t>
        </is>
      </c>
      <c r="D73" t="inlineStr">
        <is>
          <t>4003</t>
        </is>
      </c>
      <c r="E73" t="inlineStr">
        <is>
          <t>Acceso de la población a los servicios de agua potable y saneamiento básico</t>
        </is>
      </c>
      <c r="F73" t="inlineStr">
        <is>
          <t>4003018</t>
        </is>
      </c>
      <c r="G73" t="inlineStr">
        <is>
          <t>Alcantarillados construidos</t>
        </is>
      </c>
      <c r="H73" t="inlineStr">
        <is>
          <t>Conjunto de acciones y obras para la implementación de sistemas de alcantarillado nuevos.</t>
        </is>
      </c>
      <c r="I73" t="inlineStr">
        <is>
          <t>2024258990065</t>
        </is>
      </c>
      <c r="J73" s="99">
        <v>76473370956</v>
      </c>
      <c r="K73" s="99">
        <v>16083222837.8</v>
      </c>
      <c r="L73" s="99">
        <v>41100500703.2</v>
      </c>
      <c r="M73" s="99">
        <v>14574647415</v>
      </c>
      <c r="N73" s="99">
        <v>4715000000</v>
      </c>
      <c r="O73" s="99" t="inlineStr">
        <is>
          <t xml:space="preserve"> </t>
        </is>
      </c>
      <c r="P73" s="99" t="inlineStr">
        <is>
          <t xml:space="preserve"> </t>
        </is>
      </c>
      <c r="Q73" s="99" t="inlineStr">
        <is>
          <t xml:space="preserve"> </t>
        </is>
      </c>
      <c r="R73" s="100" t="inlineStr">
        <is>
          <t xml:space="preserve"> </t>
        </is>
      </c>
      <c r="S73" t="inlineStr">
        <is>
          <t>No se encontró ejecución en CUIPO</t>
        </is>
      </c>
      <c r="T73" s="101" t="inlineStr">
        <is>
          <t xml:space="preserve"> </t>
        </is>
      </c>
      <c r="U73" s="101" t="inlineStr">
        <is>
          <t xml:space="preserve"> </t>
        </is>
      </c>
      <c r="V73" s="101" t="inlineStr">
        <is>
          <t xml:space="preserve"> </t>
        </is>
      </c>
      <c r="W73" s="102" t="inlineStr">
        <is>
          <t xml:space="preserve"> </t>
        </is>
      </c>
      <c r="X73" t="inlineStr">
        <is>
          <t>No se encontró ejecución en CUIPO</t>
        </is>
      </c>
    </row>
    <row r="74">
      <c r="A74" t="inlineStr">
        <is>
          <t>IP-176, IP-186, IP-375, IP-385</t>
        </is>
      </c>
      <c r="B74" t="inlineStr">
        <is>
          <t>40</t>
        </is>
      </c>
      <c r="C74" t="inlineStr">
        <is>
          <t>Vivienda, ciudad y territorio</t>
        </is>
      </c>
      <c r="D74" t="inlineStr">
        <is>
          <t>4003</t>
        </is>
      </c>
      <c r="E74" t="inlineStr">
        <is>
          <t>Acceso de la población a los servicios de agua potable y saneamiento básico</t>
        </is>
      </c>
      <c r="F74" t="inlineStr">
        <is>
          <t>4003010</t>
        </is>
      </c>
      <c r="G74" t="inlineStr">
        <is>
          <t>Servicio de Aseo</t>
        </is>
      </c>
      <c r="H74" t="inlineStr">
        <is>
          <t>Es el servicio de recolección municipal de residuos, principalmente sólidos. También se aplicará este servicio a las actividades complementarias de transporte, tratamiento, aprovechamiento y disposición final de tales residuos.</t>
        </is>
      </c>
      <c r="I74" t="inlineStr">
        <is>
          <t>2024258990065</t>
        </is>
      </c>
      <c r="J74" s="99">
        <v>16604360000</v>
      </c>
      <c r="K74" s="99">
        <v>3251090000</v>
      </c>
      <c r="L74" s="99">
        <v>3251090000</v>
      </c>
      <c r="M74" s="99">
        <v>5051090000</v>
      </c>
      <c r="N74" s="99">
        <v>5051090000</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v>1705500494</v>
      </c>
      <c r="U74" s="101">
        <v>1705500494</v>
      </c>
      <c r="V74" s="101">
        <v>1705500494</v>
      </c>
      <c r="W74" s="102">
        <v>0.524593442199385</v>
      </c>
      <c r="X74" t="inlineStr">
        <is>
          <t>Lo obligado está por debajo de lo programado en la vigencia</t>
        </is>
      </c>
    </row>
    <row r="75">
      <c r="A75" t="inlineStr">
        <is>
          <t>IP-178, IP-183, IP-184, IP-377, IP-382, IP-383</t>
        </is>
      </c>
      <c r="B75" t="inlineStr">
        <is>
          <t>40</t>
        </is>
      </c>
      <c r="C75" t="inlineStr">
        <is>
          <t>Vivienda, ciudad y territorio</t>
        </is>
      </c>
      <c r="D75" t="inlineStr">
        <is>
          <t>4003</t>
        </is>
      </c>
      <c r="E75" t="inlineStr">
        <is>
          <t>Acceso de la población a los servicios de agua potable y saneamiento básico</t>
        </is>
      </c>
      <c r="F75" t="inlineStr">
        <is>
          <t>4003020</t>
        </is>
      </c>
      <c r="G75" t="inlineStr">
        <is>
          <t>Alcantarillados optimizados</t>
        </is>
      </c>
      <c r="H75" t="inlineStr">
        <is>
          <t>Conjunto de acciones encaminadas a mejorar la capacidad, eficiencia y eficacia de la infraestructura componente del sistema de alcantarillado mediante su intervención parcial o total.</t>
        </is>
      </c>
      <c r="I75" t="inlineStr">
        <is>
          <t>2024258990065</t>
        </is>
      </c>
      <c r="J75" s="99">
        <v>41356000000</v>
      </c>
      <c r="K75" s="99">
        <v>7034150000</v>
      </c>
      <c r="L75" s="99">
        <v>14413504000</v>
      </c>
      <c r="M75" s="99">
        <v>19093504000</v>
      </c>
      <c r="N75" s="99">
        <v>814842000</v>
      </c>
      <c r="O75" s="99" t="inlineStr">
        <is>
          <t xml:space="preserve"> </t>
        </is>
      </c>
      <c r="P75" s="99" t="inlineStr">
        <is>
          <t xml:space="preserve"> </t>
        </is>
      </c>
      <c r="Q75" s="99" t="inlineStr">
        <is>
          <t xml:space="preserve"> </t>
        </is>
      </c>
      <c r="R75" s="100" t="inlineStr">
        <is>
          <t xml:space="preserve"> </t>
        </is>
      </c>
      <c r="S75" t="inlineStr">
        <is>
          <t>No se encontró ejecución en CUIPO</t>
        </is>
      </c>
      <c r="T75" s="101" t="inlineStr">
        <is>
          <t xml:space="preserve"> </t>
        </is>
      </c>
      <c r="U75" s="101" t="inlineStr">
        <is>
          <t xml:space="preserve"> </t>
        </is>
      </c>
      <c r="V75" s="101" t="inlineStr">
        <is>
          <t xml:space="preserve"> </t>
        </is>
      </c>
      <c r="W75" s="102" t="inlineStr">
        <is>
          <t xml:space="preserve"> </t>
        </is>
      </c>
      <c r="X75" t="inlineStr">
        <is>
          <t>No se encontró ejecución en CUIPO</t>
        </is>
      </c>
    </row>
    <row r="76">
      <c r="A76" t="inlineStr">
        <is>
          <t>IP-185, IP-189, IP-384, IP-388</t>
        </is>
      </c>
      <c r="B76" t="inlineStr">
        <is>
          <t>40</t>
        </is>
      </c>
      <c r="C76" t="inlineStr">
        <is>
          <t>Vivienda, ciudad y territorio</t>
        </is>
      </c>
      <c r="D76" t="inlineStr">
        <is>
          <t>4003</t>
        </is>
      </c>
      <c r="E76" t="inlineStr">
        <is>
          <t>Acceso de la población a los servicios de agua potable y saneamiento básico</t>
        </is>
      </c>
      <c r="F76" t="inlineStr">
        <is>
          <t>4003012</t>
        </is>
      </c>
      <c r="G76" t="inlineStr">
        <is>
          <t>Soluciones de disposición final de residuos solidos construidas</t>
        </is>
      </c>
      <c r="H76" t="inlineStr">
        <is>
          <t>Sitios dispuestos para disponer los residuos solidos recolectados en una zona</t>
        </is>
      </c>
      <c r="I76" t="inlineStr">
        <is>
          <t>2024258990065</t>
        </is>
      </c>
      <c r="J76" s="99">
        <v>740000000</v>
      </c>
      <c r="K76" s="99">
        <v>0</v>
      </c>
      <c r="L76" s="99">
        <v>650000000</v>
      </c>
      <c r="M76" s="99">
        <v>90000000</v>
      </c>
      <c r="N76" s="99">
        <v>0</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t="inlineStr">
        <is>
          <t xml:space="preserve"> </t>
        </is>
      </c>
      <c r="U76" s="101" t="inlineStr">
        <is>
          <t xml:space="preserve"> </t>
        </is>
      </c>
      <c r="V76" s="101" t="inlineStr">
        <is>
          <t xml:space="preserve"> </t>
        </is>
      </c>
      <c r="W76" s="102" t="inlineStr">
        <is>
          <t xml:space="preserve"> </t>
        </is>
      </c>
      <c r="X76" t="inlineStr">
        <is>
          <t>No se encontró ejecución en CUIPO</t>
        </is>
      </c>
    </row>
    <row r="77">
      <c r="A77" t="inlineStr">
        <is>
          <t>IP-187, IP-386</t>
        </is>
      </c>
      <c r="B77" t="inlineStr">
        <is>
          <t>40</t>
        </is>
      </c>
      <c r="C77" t="inlineStr">
        <is>
          <t>Vivienda, ciudad y territorio</t>
        </is>
      </c>
      <c r="D77" t="inlineStr">
        <is>
          <t>4003</t>
        </is>
      </c>
      <c r="E77" t="inlineStr">
        <is>
          <t>Acceso de la población a los servicios de agua potable y saneamiento básico</t>
        </is>
      </c>
      <c r="F77" t="inlineStr">
        <is>
          <t>4003031</t>
        </is>
      </c>
      <c r="G77" t="inlineStr">
        <is>
          <t>Estación de clasificación y aprovechamiento de residuos sólidos construida</t>
        </is>
      </c>
      <c r="H77" t="inlineStr">
        <is>
          <t>Corresponde a la infraestructura diseñada para el pesaje, clasificación, recuperación y tratamiento de los residuos sólidos  aprovechables, mediante procesos manuales, mecánicos o mixtos y que cuenten con las autorizaciones ambientales a que haya lugar.</t>
        </is>
      </c>
      <c r="I77" t="inlineStr">
        <is>
          <t>2024258990065</t>
        </is>
      </c>
      <c r="J77" s="99">
        <v>2640000000</v>
      </c>
      <c r="K77" s="99">
        <v>0</v>
      </c>
      <c r="L77" s="99">
        <v>1885714286</v>
      </c>
      <c r="M77" s="99">
        <v>754285714</v>
      </c>
      <c r="N77" s="99">
        <v>0</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IP-188, IP-387</t>
        </is>
      </c>
      <c r="B78" t="inlineStr">
        <is>
          <t>32</t>
        </is>
      </c>
      <c r="C78" t="inlineStr">
        <is>
          <t>Ambiente y desarrollo sostenible</t>
        </is>
      </c>
      <c r="D78" t="inlineStr">
        <is>
          <t>3202</t>
        </is>
      </c>
      <c r="E78" t="inlineStr">
        <is>
          <t>Conservación de la biodiversidad y sus servicios ecosistémicos</t>
        </is>
      </c>
      <c r="F78" t="inlineStr">
        <is>
          <t>3202025</t>
        </is>
      </c>
      <c r="G78" t="inlineStr">
        <is>
          <t>Centro de Atención y Valoración de flora silvestre construido</t>
        </is>
      </c>
      <c r="H78" t="inlineStr">
        <is>
          <t>Incluye la construcción de obras de edificación en terrenos no construidos con el fin de facilitar los procedimientos de valoración y recuperación de la flora Silvestre. </t>
        </is>
      </c>
      <c r="I78" t="inlineStr">
        <is>
          <t>2024258990065</t>
        </is>
      </c>
      <c r="J78" s="99">
        <v>100000000</v>
      </c>
      <c r="K78" s="99">
        <v>0</v>
      </c>
      <c r="L78" s="99">
        <v>80000000</v>
      </c>
      <c r="M78" s="99">
        <v>10000000</v>
      </c>
      <c r="N78" s="99">
        <v>10000000</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IP-190, IP-389</t>
        </is>
      </c>
      <c r="B79" t="inlineStr">
        <is>
          <t>32</t>
        </is>
      </c>
      <c r="C79" t="inlineStr">
        <is>
          <t>Ambiente y desarrollo sostenible</t>
        </is>
      </c>
      <c r="D79" t="inlineStr">
        <is>
          <t>3202</t>
        </is>
      </c>
      <c r="E79" t="inlineStr">
        <is>
          <t>Conservación de la biodiversidad y sus servicios ecosistémicos</t>
        </is>
      </c>
      <c r="F79" t="inlineStr">
        <is>
          <t>3202005</t>
        </is>
      </c>
      <c r="G79" t="inlineStr">
        <is>
          <t>Servicio de restauración de ecosistemas</t>
        </is>
      </c>
      <c r="H79" t="inlineStr">
        <is>
          <t>Incluye el restablecimiento del ecosistema degradado a una condición similar al ecosistema pre disturbio respecto a su composición, estructura, y funcionamiento. </t>
        </is>
      </c>
      <c r="I79" t="inlineStr">
        <is>
          <t>2024258990065</t>
        </is>
      </c>
      <c r="J79" s="99">
        <v>360000000</v>
      </c>
      <c r="K79" s="99">
        <v>36000000</v>
      </c>
      <c r="L79" s="99">
        <v>108000000</v>
      </c>
      <c r="M79" s="99">
        <v>108000000</v>
      </c>
      <c r="N79" s="99">
        <v>108000000</v>
      </c>
      <c r="O79" s="99" t="inlineStr">
        <is>
          <t xml:space="preserve"> </t>
        </is>
      </c>
      <c r="P79" s="99" t="inlineStr">
        <is>
          <t xml:space="preserve"> </t>
        </is>
      </c>
      <c r="Q79" s="99" t="inlineStr">
        <is>
          <t xml:space="preserve"> </t>
        </is>
      </c>
      <c r="R79" s="100" t="inlineStr">
        <is>
          <t xml:space="preserve"> </t>
        </is>
      </c>
      <c r="S79" t="inlineStr">
        <is>
          <t>No se encontró ejecución en CUIPO</t>
        </is>
      </c>
      <c r="T79" s="101" t="inlineStr">
        <is>
          <t xml:space="preserve"> </t>
        </is>
      </c>
      <c r="U79" s="101" t="inlineStr">
        <is>
          <t xml:space="preserve"> </t>
        </is>
      </c>
      <c r="V79" s="101" t="inlineStr">
        <is>
          <t xml:space="preserve"> </t>
        </is>
      </c>
      <c r="W79" s="102" t="inlineStr">
        <is>
          <t xml:space="preserve"> </t>
        </is>
      </c>
      <c r="X79" t="inlineStr">
        <is>
          <t>No se encontró ejecución en CUIPO</t>
        </is>
      </c>
    </row>
    <row r="80">
      <c r="A80" t="inlineStr">
        <is>
          <t>IP-191, IP-390</t>
        </is>
      </c>
      <c r="B80" t="inlineStr">
        <is>
          <t>17</t>
        </is>
      </c>
      <c r="C80" t="inlineStr">
        <is>
          <t xml:space="preserve">Agricultura y desarrollo rural
</t>
        </is>
      </c>
      <c r="D80" t="inlineStr">
        <is>
          <t>1708</t>
        </is>
      </c>
      <c r="E80" t="inlineStr">
        <is>
          <t>Ciencia, tecnología e innovación agropecuaria</t>
        </is>
      </c>
      <c r="F80" t="inlineStr">
        <is>
          <t>1708056</t>
        </is>
      </c>
      <c r="G80" t="inlineStr">
        <is>
          <t>Servicio de implementación de rutas agroecológicas</t>
        </is>
      </c>
      <c r="H80" t="inlineStr">
        <is>
          <t>Contempla la implementación de estrategias para la articulación, promoción y ejecución de rutas agroecológicas, las cuales incluyen huertas que desarrollan procesos de agricultura urbana.</t>
        </is>
      </c>
      <c r="I80" t="inlineStr">
        <is>
          <t>2024258990032</t>
        </is>
      </c>
      <c r="J80" s="99">
        <v>1000000000</v>
      </c>
      <c r="K80" s="99">
        <v>0</v>
      </c>
      <c r="L80" s="99">
        <v>340000000</v>
      </c>
      <c r="M80" s="99">
        <v>340000000</v>
      </c>
      <c r="N80" s="99">
        <v>320000000</v>
      </c>
      <c r="O80" s="99" t="inlineStr">
        <is>
          <t xml:space="preserve"> </t>
        </is>
      </c>
      <c r="P80" s="99" t="inlineStr">
        <is>
          <t xml:space="preserve"> </t>
        </is>
      </c>
      <c r="Q80" s="99" t="inlineStr">
        <is>
          <t xml:space="preserve"> </t>
        </is>
      </c>
      <c r="R80" s="100" t="inlineStr">
        <is>
          <t xml:space="preserve"> </t>
        </is>
      </c>
      <c r="S80" t="inlineStr">
        <is>
          <t>No se encontró ejecución en CUIPO</t>
        </is>
      </c>
      <c r="T80" s="101" t="inlineStr">
        <is>
          <t xml:space="preserve"> </t>
        </is>
      </c>
      <c r="U80" s="101" t="inlineStr">
        <is>
          <t xml:space="preserve"> </t>
        </is>
      </c>
      <c r="V80" s="101" t="inlineStr">
        <is>
          <t xml:space="preserve"> </t>
        </is>
      </c>
      <c r="W80" s="102" t="inlineStr">
        <is>
          <t xml:space="preserve"> </t>
        </is>
      </c>
      <c r="X80" t="inlineStr">
        <is>
          <t>No se encontró ejecución en CUIPO</t>
        </is>
      </c>
    </row>
    <row r="81">
      <c r="A81" t="inlineStr">
        <is>
          <t>IP-192, IP-193, IP-391, IP-392</t>
        </is>
      </c>
      <c r="B81" t="inlineStr">
        <is>
          <t>17</t>
        </is>
      </c>
      <c r="C81" t="inlineStr">
        <is>
          <t xml:space="preserve">Agricultura y desarrollo rural
</t>
        </is>
      </c>
      <c r="D81" t="inlineStr">
        <is>
          <t>1709</t>
        </is>
      </c>
      <c r="E81" t="inlineStr">
        <is>
          <t>Infraestructura productiva y comercialización</t>
        </is>
      </c>
      <c r="F81" t="inlineStr">
        <is>
          <t>1709094</t>
        </is>
      </c>
      <c r="G81" t="inlineStr">
        <is>
          <t>Servicio de beneficio de animales destinados para el consumo humano</t>
        </is>
      </c>
      <c r="H81" t="inlineStr">
        <is>
          <t xml:space="preserve">Comprende un conjunto de actividades que comprenden el sacrificio y faenado de animales para consumo humano.
</t>
        </is>
      </c>
      <c r="I81" t="inlineStr">
        <is>
          <t>2024258990062</t>
        </is>
      </c>
      <c r="J81" s="99">
        <v>39000000000</v>
      </c>
      <c r="K81" s="99">
        <v>9750000000</v>
      </c>
      <c r="L81" s="99">
        <v>9750000000</v>
      </c>
      <c r="M81" s="99">
        <v>9750000000</v>
      </c>
      <c r="N81" s="99">
        <v>9750000000</v>
      </c>
      <c r="O81" s="99">
        <v>34189459</v>
      </c>
      <c r="P81" s="99">
        <v>34189459</v>
      </c>
      <c r="Q81" s="99">
        <v>34189459</v>
      </c>
      <c r="R81" s="100">
        <v>0.00350661117948718</v>
      </c>
      <c r="S81" t="inlineStr">
        <is>
          <t>Lo obligado está por debajo de lo programado en la vigencia</t>
        </is>
      </c>
      <c r="T81" s="101">
        <v>1402692239</v>
      </c>
      <c r="U81" s="101">
        <v>903838100</v>
      </c>
      <c r="V81" s="101">
        <v>903838100</v>
      </c>
      <c r="W81" s="102">
        <v>0.0927013435897436</v>
      </c>
      <c r="X81" t="inlineStr">
        <is>
          <t>Lo obligado está por debajo de lo programado en la vigencia</t>
        </is>
      </c>
    </row>
    <row r="82">
      <c r="A82" t="inlineStr">
        <is>
          <t>IP-194, IP-393</t>
        </is>
      </c>
      <c r="B82" t="inlineStr">
        <is>
          <t>17</t>
        </is>
      </c>
      <c r="C82" t="inlineStr">
        <is>
          <t xml:space="preserve">Agricultura y desarrollo rural
</t>
        </is>
      </c>
      <c r="D82" t="inlineStr">
        <is>
          <t>1709</t>
        </is>
      </c>
      <c r="E82" t="inlineStr">
        <is>
          <t>Infraestructura productiva y comercialización</t>
        </is>
      </c>
      <c r="F82" t="inlineStr">
        <is>
          <t>1709108</t>
        </is>
      </c>
      <c r="G82" t="inlineStr">
        <is>
          <t>Documentos de política</t>
        </is>
      </c>
      <c r="H82" t="inlineStr">
        <is>
          <t xml:space="preserve">Los documentos de política de las cadenas pecuarias, pesqueras y acuícolas, son instrumentos que enmarcan el diseño, implementación y seguimiento de políticas de competitividad del sector pecuario, pesquero y acuícola. </t>
        </is>
      </c>
      <c r="I82" t="inlineStr">
        <is>
          <t>2024258990062</t>
        </is>
      </c>
      <c r="J82" s="99">
        <v>8400000000</v>
      </c>
      <c r="K82" s="99">
        <v>2100000000</v>
      </c>
      <c r="L82" s="99">
        <v>2100000000</v>
      </c>
      <c r="M82" s="99">
        <v>2100000000</v>
      </c>
      <c r="N82" s="99">
        <v>2100000000</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t="inlineStr">
        <is>
          <t xml:space="preserve"> </t>
        </is>
      </c>
      <c r="U82" s="101" t="inlineStr">
        <is>
          <t xml:space="preserve"> </t>
        </is>
      </c>
      <c r="V82" s="101" t="inlineStr">
        <is>
          <t xml:space="preserve"> </t>
        </is>
      </c>
      <c r="W82" s="102" t="inlineStr">
        <is>
          <t xml:space="preserve"> </t>
        </is>
      </c>
      <c r="X82" t="inlineStr">
        <is>
          <t>No se encontró ejecución en CUIPO</t>
        </is>
      </c>
    </row>
    <row r="83">
      <c r="A83" t="inlineStr">
        <is>
          <t>IP-195, IP-394</t>
        </is>
      </c>
      <c r="B83" t="inlineStr">
        <is>
          <t>17</t>
        </is>
      </c>
      <c r="C83" t="inlineStr">
        <is>
          <t xml:space="preserve">Agricultura y desarrollo rural
</t>
        </is>
      </c>
      <c r="D83" t="inlineStr">
        <is>
          <t>1709</t>
        </is>
      </c>
      <c r="E83" t="inlineStr">
        <is>
          <t>Infraestructura productiva y comercialización</t>
        </is>
      </c>
      <c r="F83" t="inlineStr">
        <is>
          <t>1709106</t>
        </is>
      </c>
      <c r="G83" t="inlineStr">
        <is>
          <t>Servicio de apoyo a la comercialización de las cadenas agrícolas, forestales, pecuarias, pesqueras y acuícolas</t>
        </is>
      </c>
      <c r="H83" t="inlineStr">
        <is>
          <t>En beneficio del mejoramiento del ingreso al productor, el servicio de apoyo a la comercialización de las cadenas agrícolas, forestales, pecuarias, pesqueras y acuícolas, promueve estrategias para: i.Afrontar las variaciones atípicas en la demanda, oferta y en el precio de los productos, ii. la generación de valor agregado y iii. Permite el acceso de productos a canales de comercialización formales con estándares de calidad; mediante el fortalecimiento en los procesos de poscosecha, de transformación y en el acompañamiento técnico para la apertura a nuevos mercados.</t>
        </is>
      </c>
      <c r="I83" t="inlineStr">
        <is>
          <t>2024258990062</t>
        </is>
      </c>
      <c r="J83" s="99">
        <v>120000000</v>
      </c>
      <c r="K83" s="99">
        <v>20000000</v>
      </c>
      <c r="L83" s="99">
        <v>40000000</v>
      </c>
      <c r="M83" s="99">
        <v>30000000</v>
      </c>
      <c r="N83" s="99">
        <v>30000000</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t="inlineStr">
        <is>
          <t xml:space="preserve"> </t>
        </is>
      </c>
      <c r="U83" s="101" t="inlineStr">
        <is>
          <t xml:space="preserve"> </t>
        </is>
      </c>
      <c r="V83" s="101" t="inlineStr">
        <is>
          <t xml:space="preserve"> </t>
        </is>
      </c>
      <c r="W83" s="102" t="inlineStr">
        <is>
          <t xml:space="preserve"> </t>
        </is>
      </c>
      <c r="X83" t="inlineStr">
        <is>
          <t>No se encontró ejecución en CUIPO</t>
        </is>
      </c>
    </row>
    <row r="84">
      <c r="A84" t="inlineStr">
        <is>
          <t>IP-196, IP-197, IP-395, IP-396</t>
        </is>
      </c>
      <c r="B84" t="inlineStr">
        <is>
          <t>17</t>
        </is>
      </c>
      <c r="C84" t="inlineStr">
        <is>
          <t xml:space="preserve">Agricultura y desarrollo rural
</t>
        </is>
      </c>
      <c r="D84" t="inlineStr">
        <is>
          <t>1709</t>
        </is>
      </c>
      <c r="E84" t="inlineStr">
        <is>
          <t>Infraestructura productiva y comercialización</t>
        </is>
      </c>
      <c r="F84" t="inlineStr">
        <is>
          <t>1709107</t>
        </is>
      </c>
      <c r="G84" t="inlineStr">
        <is>
          <t>Servicio de promoción al consumo</t>
        </is>
      </c>
      <c r="H84" t="inlineStr">
        <is>
          <t xml:space="preserve">Con el servicio de promoción al consumo de productos de las cadenas pecuarias, pesqueras y acuícolas, se aumenta la demanda de productos y el consumo per cápita de proteína de origen pecuario pesquero y acuícola. </t>
        </is>
      </c>
      <c r="I84" t="inlineStr">
        <is>
          <t>2024258990062</t>
        </is>
      </c>
      <c r="J84" s="99">
        <v>1600000000</v>
      </c>
      <c r="K84" s="99">
        <v>280000000</v>
      </c>
      <c r="L84" s="99">
        <v>440000000</v>
      </c>
      <c r="M84" s="99">
        <v>440000000</v>
      </c>
      <c r="N84" s="99">
        <v>440000000</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t="inlineStr">
        <is>
          <t xml:space="preserve"> </t>
        </is>
      </c>
      <c r="U84" s="101" t="inlineStr">
        <is>
          <t xml:space="preserve"> </t>
        </is>
      </c>
      <c r="V84" s="101" t="inlineStr">
        <is>
          <t xml:space="preserve"> </t>
        </is>
      </c>
      <c r="W84" s="102" t="inlineStr">
        <is>
          <t xml:space="preserve"> </t>
        </is>
      </c>
      <c r="X84" t="inlineStr">
        <is>
          <t>No se encontró ejecución en CUIPO</t>
        </is>
      </c>
    </row>
    <row r="85">
      <c r="A85" t="inlineStr">
        <is>
          <t>IP-198, IP-397</t>
        </is>
      </c>
      <c r="B85" t="inlineStr">
        <is>
          <t>35</t>
        </is>
      </c>
      <c r="C85" t="inlineStr">
        <is>
          <t>Comercio, industria y turismo</t>
        </is>
      </c>
      <c r="D85" t="inlineStr">
        <is>
          <t>3502</t>
        </is>
      </c>
      <c r="E85" t="inlineStr">
        <is>
          <t>Productividad y competitividad de las empresas colombianas</t>
        </is>
      </c>
      <c r="F85" t="inlineStr">
        <is>
          <t>3502015</t>
        </is>
      </c>
      <c r="G85" t="inlineStr">
        <is>
          <t>Servicio para la formalización empresarial y de productos y/o Servicio</t>
        </is>
      </c>
      <c r="H85" t="inlineStr">
        <is>
          <t>Promoción de la cultura de la formalidad, entendida más allá de la obligación de  registro,  como  un medio de  inclusión económica, ambiental y social de las empresas en los mercados.</t>
        </is>
      </c>
      <c r="I85" t="inlineStr">
        <is>
          <t>2024258990006</t>
        </is>
      </c>
      <c r="J85" s="99">
        <v>350000000</v>
      </c>
      <c r="K85" s="99">
        <v>0</v>
      </c>
      <c r="L85" s="99">
        <v>119000000</v>
      </c>
      <c r="M85" s="99">
        <v>115500000</v>
      </c>
      <c r="N85" s="99">
        <v>115500000</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v>59500000</v>
      </c>
      <c r="U85" s="101">
        <v>50050000</v>
      </c>
      <c r="V85" s="101">
        <v>50050000</v>
      </c>
      <c r="W85" s="102">
        <v>0.420588235294118</v>
      </c>
      <c r="X85" t="inlineStr">
        <is>
          <t>Lo obligado está por debajo de lo programado en la vigencia</t>
        </is>
      </c>
    </row>
    <row r="86">
      <c r="A86" t="inlineStr">
        <is>
          <t>IP-199, IP-398</t>
        </is>
      </c>
      <c r="B86" t="inlineStr">
        <is>
          <t>35</t>
        </is>
      </c>
      <c r="C86" t="inlineStr">
        <is>
          <t>Comercio, industria y turismo</t>
        </is>
      </c>
      <c r="D86" t="inlineStr">
        <is>
          <t>3502</t>
        </is>
      </c>
      <c r="E86" t="inlineStr">
        <is>
          <t>Productividad y competitividad de las empresas colombianas</t>
        </is>
      </c>
      <c r="F86" t="inlineStr">
        <is>
          <t>3502113</t>
        </is>
      </c>
      <c r="G86" t="inlineStr">
        <is>
          <t>Equipamiento turístico construido</t>
        </is>
      </c>
      <c r="H86" t="inlineStr">
        <is>
          <t>Corresponde a la construcción de infraestructura o espacios de uso público en los atractivos turísticos del territorio (garitas, baños públicos, puntos de información, rampas etc.) que  mejoren la prestación de los servicios al turista.</t>
        </is>
      </c>
      <c r="I86" t="inlineStr">
        <is>
          <t>2024258990008</t>
        </is>
      </c>
      <c r="J86" s="99">
        <v>10000000000</v>
      </c>
      <c r="K86" s="99">
        <v>2500000000</v>
      </c>
      <c r="L86" s="99">
        <v>2500000000</v>
      </c>
      <c r="M86" s="99">
        <v>2500000000</v>
      </c>
      <c r="N86" s="99">
        <v>2500000000</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t="inlineStr">
        <is>
          <t xml:space="preserve"> </t>
        </is>
      </c>
      <c r="U86" s="101" t="inlineStr">
        <is>
          <t xml:space="preserve"> </t>
        </is>
      </c>
      <c r="V86" s="101" t="inlineStr">
        <is>
          <t xml:space="preserve"> </t>
        </is>
      </c>
      <c r="W86" s="102" t="inlineStr">
        <is>
          <t xml:space="preserve"> </t>
        </is>
      </c>
      <c r="X86" t="inlineStr">
        <is>
          <t>No se encontró ejecución en CUIPO</t>
        </is>
      </c>
    </row>
    <row r="87">
      <c r="A87" t="inlineStr">
        <is>
          <t>IP-201, IP-3</t>
        </is>
      </c>
      <c r="B87" t="inlineStr">
        <is>
          <t>45</t>
        </is>
      </c>
      <c r="C87" t="inlineStr">
        <is>
          <t>Gobierno Territorial</t>
        </is>
      </c>
      <c r="D87" t="inlineStr">
        <is>
          <t>4599</t>
        </is>
      </c>
      <c r="E87" t="inlineStr">
        <is>
          <t>Fortalecimiento a la gestión y dirección de la administración pública territorial</t>
        </is>
      </c>
      <c r="F87" t="inlineStr">
        <is>
          <t>4599021</t>
        </is>
      </c>
      <c r="G87" t="inlineStr">
        <is>
          <t>Documentos normativos</t>
        </is>
      </c>
      <c r="H87" t="inlineStr">
        <is>
          <t>Incluye la realización de documentos de contenido normativo para la reglamentación de los proyectos de ley presentados y aprobados.</t>
        </is>
      </c>
      <c r="I87" t="inlineStr">
        <is>
          <t>2024258990055</t>
        </is>
      </c>
      <c r="J87" s="99">
        <v>100000000</v>
      </c>
      <c r="K87" s="99">
        <v>0</v>
      </c>
      <c r="L87" s="99">
        <v>40000000</v>
      </c>
      <c r="M87" s="99">
        <v>30000000</v>
      </c>
      <c r="N87" s="99">
        <v>30000000</v>
      </c>
      <c r="O87" s="99" t="inlineStr">
        <is>
          <t xml:space="preserve"> </t>
        </is>
      </c>
      <c r="P87" s="99" t="inlineStr">
        <is>
          <t xml:space="preserve"> </t>
        </is>
      </c>
      <c r="Q87" s="99" t="inlineStr">
        <is>
          <t xml:space="preserve"> </t>
        </is>
      </c>
      <c r="R87" s="100" t="inlineStr">
        <is>
          <t xml:space="preserve"> </t>
        </is>
      </c>
      <c r="S87" t="inlineStr">
        <is>
          <t>No se encontró ejecución en CUIPO</t>
        </is>
      </c>
      <c r="T87" s="101" t="inlineStr">
        <is>
          <t xml:space="preserve"> </t>
        </is>
      </c>
      <c r="U87" s="101" t="inlineStr">
        <is>
          <t xml:space="preserve"> </t>
        </is>
      </c>
      <c r="V87" s="101" t="inlineStr">
        <is>
          <t xml:space="preserve"> </t>
        </is>
      </c>
      <c r="W87" s="102" t="inlineStr">
        <is>
          <t xml:space="preserve"> </t>
        </is>
      </c>
      <c r="X87" t="inlineStr">
        <is>
          <t>No se encontró ejecución en CUIPO</t>
        </is>
      </c>
    </row>
    <row r="88">
      <c r="A88" t="inlineStr">
        <is>
          <t>IP-203, IP-5</t>
        </is>
      </c>
      <c r="B88" t="inlineStr">
        <is>
          <t>04</t>
        </is>
      </c>
      <c r="C88" t="inlineStr">
        <is>
          <t>Información Estadística</t>
        </is>
      </c>
      <c r="D88" t="inlineStr">
        <is>
          <t>0406</t>
        </is>
      </c>
      <c r="E88" t="inlineStr">
        <is>
          <t>Generación de la información geográfica del territorio nacional</t>
        </is>
      </c>
      <c r="F88" t="inlineStr">
        <is>
          <t>0406016</t>
        </is>
      </c>
      <c r="G88" t="inlineStr">
        <is>
          <t>Servicio de actualización catastral con enfoque multipropósito</t>
        </is>
      </c>
      <c r="H88" t="inlineStr">
        <is>
          <t>Acciones orientadas a renovar el inventario o censo predial en sus componentes físico, jurídico y económico con enfoque multipropósito, de acuerdo con los cambios experimentados por los inmuebles en cada uno de sus componentes. Entregable: base catastral actualizada.</t>
        </is>
      </c>
      <c r="I88" t="inlineStr">
        <is>
          <t>2024258990054</t>
        </is>
      </c>
      <c r="J88" s="99">
        <v>40000000000</v>
      </c>
      <c r="K88" s="99">
        <v>40000000000</v>
      </c>
      <c r="L88" s="99">
        <v>0</v>
      </c>
      <c r="M88" s="99">
        <v>0</v>
      </c>
      <c r="N88" s="99">
        <v>0</v>
      </c>
      <c r="O88" s="99">
        <v>20000000000</v>
      </c>
      <c r="P88" s="99">
        <v>20000000000</v>
      </c>
      <c r="Q88" s="99">
        <v>10000000000</v>
      </c>
      <c r="R88" s="100">
        <v>0.5</v>
      </c>
      <c r="S88" t="inlineStr">
        <is>
          <t>Lo obligado está por debajo de lo programado en la vigencia</t>
        </is>
      </c>
      <c r="T88" s="101" t="inlineStr">
        <is>
          <t xml:space="preserve"> </t>
        </is>
      </c>
      <c r="U88" s="101" t="inlineStr">
        <is>
          <t xml:space="preserve"> </t>
        </is>
      </c>
      <c r="V88" s="101" t="inlineStr">
        <is>
          <t xml:space="preserve"> </t>
        </is>
      </c>
      <c r="W88" s="102" t="inlineStr">
        <is>
          <t xml:space="preserve"> </t>
        </is>
      </c>
      <c r="X88" t="inlineStr">
        <is>
          <t>No se encontró ejecución en CUIPO</t>
        </is>
      </c>
    </row>
    <row r="89">
      <c r="A89" t="inlineStr">
        <is>
          <t>IP-204, IP-6</t>
        </is>
      </c>
      <c r="B89" t="inlineStr">
        <is>
          <t>04</t>
        </is>
      </c>
      <c r="C89" t="inlineStr">
        <is>
          <t>Información Estadística</t>
        </is>
      </c>
      <c r="D89" t="inlineStr">
        <is>
          <t>0401</t>
        </is>
      </c>
      <c r="E89" t="inlineStr">
        <is>
          <t>Levantamiento y actualización de información estadística de calidad</t>
        </is>
      </c>
      <c r="F89" t="inlineStr">
        <is>
          <t>0401106</t>
        </is>
      </c>
      <c r="G89" t="inlineStr">
        <is>
          <t xml:space="preserve">SERVICIO DE APOYO A LA GESTIÓN DE CONOCIMIENTO Y CONSOLIDACIÓN DE LA CULTURA ESTADÍSTICA </t>
        </is>
      </c>
      <c r="H89" t="inlineStr">
        <is>
          <t>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t>
        </is>
      </c>
      <c r="I89" t="inlineStr">
        <is>
          <t>2024258990001</t>
        </is>
      </c>
      <c r="J89" s="99">
        <v>1100000000</v>
      </c>
      <c r="K89" s="99">
        <v>79200000</v>
      </c>
      <c r="L89" s="99">
        <v>200704000</v>
      </c>
      <c r="M89" s="99">
        <v>410048000</v>
      </c>
      <c r="N89" s="99">
        <v>410048000</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t="inlineStr">
        <is>
          <t xml:space="preserve"> </t>
        </is>
      </c>
      <c r="U89" s="101" t="inlineStr">
        <is>
          <t xml:space="preserve"> </t>
        </is>
      </c>
      <c r="V89" s="101" t="inlineStr">
        <is>
          <t xml:space="preserve"> </t>
        </is>
      </c>
      <c r="W89" s="102" t="inlineStr">
        <is>
          <t xml:space="preserve"> </t>
        </is>
      </c>
      <c r="X89" t="inlineStr">
        <is>
          <t>No se encontró ejecución en CUIPO</t>
        </is>
      </c>
    </row>
    <row r="90">
      <c r="A90" t="inlineStr">
        <is>
          <t>IP-205, IP-206, IP-7, IP-8</t>
        </is>
      </c>
      <c r="B90" t="inlineStr">
        <is>
          <t>45</t>
        </is>
      </c>
      <c r="C90" t="inlineStr">
        <is>
          <t>Gobierno Territorial</t>
        </is>
      </c>
      <c r="D90" t="inlineStr">
        <is>
          <t>4599</t>
        </is>
      </c>
      <c r="E90" t="inlineStr">
        <is>
          <t>Fortalecimiento a la gestión y dirección de la administración pública territorial</t>
        </is>
      </c>
      <c r="F90" t="inlineStr">
        <is>
          <t>4599029</t>
        </is>
      </c>
      <c r="G90" t="inlineStr">
        <is>
          <t>Servicio de integración de la oferta pública</t>
        </is>
      </c>
      <c r="H90" t="inlineStr">
        <is>
          <t>Corresponde al diseño e implementación de espacios que articulen la oferta institucional para que los ciudadanos conozcan sus derechos y deberes y los mecanismos de acceso a la oferta publica.</t>
        </is>
      </c>
      <c r="I90" t="inlineStr">
        <is>
          <t>2024258990005</t>
        </is>
      </c>
      <c r="J90" s="99">
        <v>3912950964</v>
      </c>
      <c r="K90" s="99">
        <v>154000000</v>
      </c>
      <c r="L90" s="99">
        <v>1160000000</v>
      </c>
      <c r="M90" s="99">
        <v>1248000000</v>
      </c>
      <c r="N90" s="99">
        <v>1350950964</v>
      </c>
      <c r="O90" s="99">
        <v>60188300</v>
      </c>
      <c r="P90" s="99">
        <v>60188300</v>
      </c>
      <c r="Q90" s="99">
        <v>43727800</v>
      </c>
      <c r="R90" s="100">
        <v>0.390833116883117</v>
      </c>
      <c r="S90" t="inlineStr">
        <is>
          <t>Lo obligado está por debajo de lo programado en la vigencia</t>
        </is>
      </c>
      <c r="T90" s="101" t="inlineStr">
        <is>
          <t xml:space="preserve"> </t>
        </is>
      </c>
      <c r="U90" s="101" t="inlineStr">
        <is>
          <t xml:space="preserve"> </t>
        </is>
      </c>
      <c r="V90" s="101" t="inlineStr">
        <is>
          <t xml:space="preserve"> </t>
        </is>
      </c>
      <c r="W90" s="102" t="inlineStr">
        <is>
          <t xml:space="preserve"> </t>
        </is>
      </c>
      <c r="X90" t="inlineStr">
        <is>
          <t>No se encontró ejecución en CUIPO</t>
        </is>
      </c>
    </row>
    <row r="91">
      <c r="A91" t="inlineStr">
        <is>
          <t>IP-207, IP-9</t>
        </is>
      </c>
      <c r="B91" t="inlineStr">
        <is>
          <t>45</t>
        </is>
      </c>
      <c r="C91" t="inlineStr">
        <is>
          <t>Gobierno Territorial</t>
        </is>
      </c>
      <c r="D91" t="inlineStr">
        <is>
          <t>4599</t>
        </is>
      </c>
      <c r="E91" t="inlineStr">
        <is>
          <t>Fortalecimiento a la gestión y dirección de la administración pública territorial</t>
        </is>
      </c>
      <c r="F91" t="inlineStr">
        <is>
          <t>4599001</t>
        </is>
      </c>
      <c r="G91" t="inlineStr">
        <is>
          <t>Documentos de evaluación</t>
        </is>
      </c>
      <c r="H91" t="inlineStr">
        <is>
          <t>Documentos técnicos en donde se realiza el seguimiento y el análisis de resultados e impactos de una política pública a través de indicadores, índices y tasas y otras herramientas técnicas para la toma de decisiones.</t>
        </is>
      </c>
      <c r="I91" t="inlineStr">
        <is>
          <t>2024258990005</t>
        </is>
      </c>
      <c r="J91" s="99">
        <v>219150000</v>
      </c>
      <c r="K91" s="99">
        <v>30000000</v>
      </c>
      <c r="L91" s="99">
        <v>60000000</v>
      </c>
      <c r="M91" s="99">
        <v>63000000</v>
      </c>
      <c r="N91" s="99">
        <v>66150000</v>
      </c>
      <c r="O91" s="99" t="inlineStr">
        <is>
          <t xml:space="preserve"> </t>
        </is>
      </c>
      <c r="P91" s="99" t="inlineStr">
        <is>
          <t xml:space="preserve"> </t>
        </is>
      </c>
      <c r="Q91" s="99" t="inlineStr">
        <is>
          <t xml:space="preserve"> </t>
        </is>
      </c>
      <c r="R91" s="100" t="inlineStr">
        <is>
          <t xml:space="preserve"> </t>
        </is>
      </c>
      <c r="S91" t="inlineStr">
        <is>
          <t>No se encontró ejecución en CUIPO</t>
        </is>
      </c>
      <c r="T91" s="101" t="inlineStr">
        <is>
          <t xml:space="preserve"> </t>
        </is>
      </c>
      <c r="U91" s="101" t="inlineStr">
        <is>
          <t xml:space="preserve"> </t>
        </is>
      </c>
      <c r="V91" s="101" t="inlineStr">
        <is>
          <t xml:space="preserve"> </t>
        </is>
      </c>
      <c r="W91" s="102" t="inlineStr">
        <is>
          <t xml:space="preserve"> </t>
        </is>
      </c>
      <c r="X91" t="inlineStr">
        <is>
          <t>No se encontró ejecución en CUIPO</t>
        </is>
      </c>
    </row>
    <row r="92">
      <c r="A92" t="inlineStr">
        <is>
          <t>IP-221, IP-23</t>
        </is>
      </c>
      <c r="B92" t="inlineStr">
        <is>
          <t>45</t>
        </is>
      </c>
      <c r="C92" t="inlineStr">
        <is>
          <t>Gobierno Territorial</t>
        </is>
      </c>
      <c r="D92" t="inlineStr">
        <is>
          <t>4599</t>
        </is>
      </c>
      <c r="E92" t="inlineStr">
        <is>
          <t>Fortalecimiento a la gestión y dirección de la administración pública territorial</t>
        </is>
      </c>
      <c r="F92" t="inlineStr">
        <is>
          <t>4599035</t>
        </is>
      </c>
      <c r="G92" t="inlineStr">
        <is>
          <t>Servicio de saneamiento laboral y prestacional</t>
        </is>
      </c>
      <c r="H92" t="inlineStr">
        <is>
          <t>Recursos destinados a financiar el pago de deudas de carácter laboral y prestacional originadas en la prestación de los servicios de competencia de las entidades territoriales.</t>
        </is>
      </c>
      <c r="I92" t="inlineStr">
        <is>
          <t>2024258990010</t>
        </is>
      </c>
      <c r="J92" s="99">
        <v>10278865154.2526</v>
      </c>
      <c r="K92" s="99">
        <v>3957967592</v>
      </c>
      <c r="L92" s="99">
        <v>2106965854.0842</v>
      </c>
      <c r="M92" s="99">
        <v>2106965854.0842</v>
      </c>
      <c r="N92" s="99">
        <v>2106965854.0842</v>
      </c>
      <c r="O92" s="99">
        <v>1930539707</v>
      </c>
      <c r="P92" s="99">
        <v>1930539707</v>
      </c>
      <c r="Q92" s="99">
        <v>1930539707</v>
      </c>
      <c r="R92" s="100">
        <v>0.487760362389546</v>
      </c>
      <c r="S92" t="inlineStr">
        <is>
          <t>Lo obligado está por debajo de lo programado en la vigencia</t>
        </is>
      </c>
      <c r="T92" s="101" t="inlineStr">
        <is>
          <t xml:space="preserve"> </t>
        </is>
      </c>
      <c r="U92" s="101" t="inlineStr">
        <is>
          <t xml:space="preserve"> </t>
        </is>
      </c>
      <c r="V92" s="101" t="inlineStr">
        <is>
          <t xml:space="preserve"> </t>
        </is>
      </c>
      <c r="W92" s="102" t="inlineStr">
        <is>
          <t xml:space="preserve"> </t>
        </is>
      </c>
      <c r="X92" t="inlineStr">
        <is>
          <t>No se encontró ejecución en CUIPO</t>
        </is>
      </c>
    </row>
    <row r="93">
      <c r="A93" t="inlineStr">
        <is>
          <t>IP-222, IP-223, IP-24, IP-25</t>
        </is>
      </c>
      <c r="B93" t="inlineStr">
        <is>
          <t>23</t>
        </is>
      </c>
      <c r="C93" t="inlineStr">
        <is>
          <t>Tecnologías de la información y las comunicaciones</t>
        </is>
      </c>
      <c r="D93" t="inlineStr">
        <is>
          <t>2301</t>
        </is>
      </c>
      <c r="E93" t="inlineStr">
        <is>
          <t>Facilitar el acceso y uso de las Tecnologías de la Información y las Comunicaciones (TIC) en todo el territorio nacional</t>
        </is>
      </c>
      <c r="F93" t="inlineStr">
        <is>
          <t>2301027</t>
        </is>
      </c>
      <c r="G93" t="inlineStr">
        <is>
          <t>Servicio de conexiones a redes de acceso</t>
        </is>
      </c>
      <c r="H93" t="inlineStr">
        <is>
          <t>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t>
        </is>
      </c>
      <c r="I93" t="inlineStr">
        <is>
          <t>2024258990009</t>
        </is>
      </c>
      <c r="J93" s="99">
        <v>4736642306.0002</v>
      </c>
      <c r="K93" s="99">
        <v>1128980978.02</v>
      </c>
      <c r="L93" s="99">
        <v>1191889277.7858</v>
      </c>
      <c r="M93" s="99">
        <v>1268006469.6286</v>
      </c>
      <c r="N93" s="99">
        <v>1147765580.5658</v>
      </c>
      <c r="O93" s="99" t="inlineStr">
        <is>
          <t xml:space="preserve"> </t>
        </is>
      </c>
      <c r="P93" s="99" t="inlineStr">
        <is>
          <t xml:space="preserve"> </t>
        </is>
      </c>
      <c r="Q93" s="99" t="inlineStr">
        <is>
          <t xml:space="preserve"> </t>
        </is>
      </c>
      <c r="R93" s="100" t="inlineStr">
        <is>
          <t xml:space="preserve"> </t>
        </is>
      </c>
      <c r="S93" t="inlineStr">
        <is>
          <t>No se encontró ejecución en CUIPO</t>
        </is>
      </c>
      <c r="T93" s="101">
        <v>38083531</v>
      </c>
      <c r="U93" s="101">
        <v>0</v>
      </c>
      <c r="V93" s="101">
        <v>0</v>
      </c>
      <c r="W93" s="102">
        <v>0</v>
      </c>
      <c r="X93" t="inlineStr">
        <is>
          <t>No se ejecutó en la vigencia</t>
        </is>
      </c>
    </row>
    <row r="94">
      <c r="A94" t="inlineStr">
        <is>
          <t>IP-224, IP-225, IP-26, IP-27</t>
        </is>
      </c>
      <c r="B94" t="inlineStr">
        <is>
          <t>23</t>
        </is>
      </c>
      <c r="C94" t="inlineStr">
        <is>
          <t>Tecnologías de la información y las comunicaciones</t>
        </is>
      </c>
      <c r="D94" t="inlineStr">
        <is>
          <t>2301</t>
        </is>
      </c>
      <c r="E94" t="inlineStr">
        <is>
          <t>Facilitar el acceso y uso de las Tecnologías de la Información y las Comunicaciones (TIC) en todo el territorio nacional</t>
        </is>
      </c>
      <c r="F94" t="inlineStr">
        <is>
          <t>2301024</t>
        </is>
      </c>
      <c r="G94" t="inlineStr">
        <is>
          <t>Servicio de acceso y uso de Tecnologías de la Información y las Comunicaciones</t>
        </is>
      </c>
      <c r="H94" t="inlineStr">
        <is>
          <t>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t>
        </is>
      </c>
      <c r="I94" t="inlineStr">
        <is>
          <t>2024258990009</t>
        </is>
      </c>
      <c r="J94" s="99">
        <v>15276184837.9898</v>
      </c>
      <c r="K94" s="99">
        <v>200000000</v>
      </c>
      <c r="L94" s="99">
        <v>4199968189.6266</v>
      </c>
      <c r="M94" s="99">
        <v>5211015169.7466</v>
      </c>
      <c r="N94" s="99">
        <v>5665201478.6166</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v>394593900</v>
      </c>
      <c r="U94" s="101">
        <v>215595186</v>
      </c>
      <c r="V94" s="101">
        <v>215595186</v>
      </c>
      <c r="W94" s="102">
        <v>0.0513325759305733</v>
      </c>
      <c r="X94" t="inlineStr">
        <is>
          <t>Lo obligado está por debajo de lo programado en la vigencia</t>
        </is>
      </c>
    </row>
    <row r="95">
      <c r="A95" t="inlineStr">
        <is>
          <t>IP-226, IP-28</t>
        </is>
      </c>
      <c r="B95" t="inlineStr">
        <is>
          <t>23</t>
        </is>
      </c>
      <c r="C95" t="inlineStr">
        <is>
          <t>Tecnologías de la información y las comunicaciones</t>
        </is>
      </c>
      <c r="D95" t="inlineStr">
        <is>
          <t>2301</t>
        </is>
      </c>
      <c r="E95" t="inlineStr">
        <is>
          <t>Facilitar el acceso y uso de las Tecnologías de la Información y las Comunicaciones (TIC) en todo el territorio nacional</t>
        </is>
      </c>
      <c r="F95" t="inlineStr">
        <is>
          <t>2301031</t>
        </is>
      </c>
      <c r="G95" t="inlineStr">
        <is>
          <t>Servicio de educación informal en uso básico de tecnologías de la información y las comunicaciones</t>
        </is>
      </c>
      <c r="H95" t="inlineStr">
        <is>
          <t>Corresponde a la capacitación en uso y apropiación de tecnologías de la información.</t>
        </is>
      </c>
      <c r="I95" t="inlineStr">
        <is>
          <t>2024258990009</t>
        </is>
      </c>
      <c r="J95" s="99">
        <v>800280886.958</v>
      </c>
      <c r="K95" s="99">
        <v>100000000</v>
      </c>
      <c r="L95" s="99">
        <v>240084266.0874</v>
      </c>
      <c r="M95" s="99">
        <v>240084266.0874</v>
      </c>
      <c r="N95" s="99">
        <v>220112354.7832</v>
      </c>
      <c r="O95" s="99">
        <v>50000000</v>
      </c>
      <c r="P95" s="99">
        <v>50000000</v>
      </c>
      <c r="Q95" s="99">
        <v>50000000</v>
      </c>
      <c r="R95" s="100">
        <v>0.5</v>
      </c>
      <c r="S95" t="inlineStr">
        <is>
          <t>Lo obligado está por debajo de lo programado en la vigencia</t>
        </is>
      </c>
      <c r="T95" s="101" t="inlineStr">
        <is>
          <t xml:space="preserve"> </t>
        </is>
      </c>
      <c r="U95" s="101" t="inlineStr">
        <is>
          <t xml:space="preserve"> </t>
        </is>
      </c>
      <c r="V95" s="101" t="inlineStr">
        <is>
          <t xml:space="preserve"> </t>
        </is>
      </c>
      <c r="W95" s="102" t="inlineStr">
        <is>
          <t xml:space="preserve"> </t>
        </is>
      </c>
      <c r="X95" t="inlineStr">
        <is>
          <t>No se encontró ejecución en CUIPO</t>
        </is>
      </c>
    </row>
    <row r="96">
      <c r="A96" t="inlineStr">
        <is>
          <t>IP-227, IP-29</t>
        </is>
      </c>
      <c r="B96" t="inlineStr">
        <is>
          <t>23</t>
        </is>
      </c>
      <c r="C96" t="inlineStr">
        <is>
          <t>Tecnologías de la información y las comunicaciones</t>
        </is>
      </c>
      <c r="D96" t="inlineStr">
        <is>
          <t>2301</t>
        </is>
      </c>
      <c r="E96" t="inlineStr">
        <is>
          <t>Facilitar el acceso y uso de las Tecnologías de la Información y las Comunicaciones (TIC) en todo el territorio nacional</t>
        </is>
      </c>
      <c r="F96" t="inlineStr">
        <is>
          <t>2301086</t>
        </is>
      </c>
      <c r="G96" t="inlineStr">
        <is>
          <t>Servicio de gestión del conocimiento en espectro</t>
        </is>
      </c>
      <c r="H96" t="inlineStr">
        <is>
          <t>Corresponde a las acciones orientadas a la generación, apropiación y divulgación de conocimiento relevante del espectro radioeléctrico</t>
        </is>
      </c>
      <c r="I96" t="inlineStr">
        <is>
          <t>2024258990009</t>
        </is>
      </c>
      <c r="J96" s="99">
        <v>1836818615.5008</v>
      </c>
      <c r="K96" s="99">
        <v>187000000</v>
      </c>
      <c r="L96" s="99">
        <v>459204653.8752</v>
      </c>
      <c r="M96" s="99">
        <v>549939538.5002</v>
      </c>
      <c r="N96" s="99">
        <v>640674423.1254</v>
      </c>
      <c r="O96" s="99" t="inlineStr">
        <is>
          <t xml:space="preserve"> </t>
        </is>
      </c>
      <c r="P96" s="99" t="inlineStr">
        <is>
          <t xml:space="preserve"> </t>
        </is>
      </c>
      <c r="Q96" s="99" t="inlineStr">
        <is>
          <t xml:space="preserve"> </t>
        </is>
      </c>
      <c r="R96" s="100" t="inlineStr">
        <is>
          <t xml:space="preserve"> </t>
        </is>
      </c>
      <c r="S96" t="inlineStr">
        <is>
          <t>No se encontró ejecución en CUIPO</t>
        </is>
      </c>
      <c r="T96" s="101" t="inlineStr">
        <is>
          <t xml:space="preserve"> </t>
        </is>
      </c>
      <c r="U96" s="101" t="inlineStr">
        <is>
          <t xml:space="preserve"> </t>
        </is>
      </c>
      <c r="V96" s="101" t="inlineStr">
        <is>
          <t xml:space="preserve"> </t>
        </is>
      </c>
      <c r="W96" s="102" t="inlineStr">
        <is>
          <t xml:space="preserve"> </t>
        </is>
      </c>
      <c r="X96" t="inlineStr">
        <is>
          <t>No se encontró ejecución en CUIPO</t>
        </is>
      </c>
    </row>
    <row r="97">
      <c r="A97" t="inlineStr">
        <is>
          <t>IP-228, IP-30</t>
        </is>
      </c>
      <c r="B97" t="inlineStr">
        <is>
          <t>23</t>
        </is>
      </c>
      <c r="C97" t="inlineStr">
        <is>
          <t>Tecnologías de la información y las comunicaciones</t>
        </is>
      </c>
      <c r="D97" t="inlineStr">
        <is>
          <t>2301</t>
        </is>
      </c>
      <c r="E97" t="inlineStr">
        <is>
          <t>Facilitar el acceso y uso de las Tecnologías de la Información y las Comunicaciones (TIC) en todo el territorio nacional</t>
        </is>
      </c>
      <c r="F97" t="inlineStr">
        <is>
          <t>2301077</t>
        </is>
      </c>
      <c r="G97" t="inlineStr">
        <is>
          <t>Servicio de información actualizado</t>
        </is>
      </c>
      <c r="H97" t="inlineStr">
        <is>
          <t>Corresponde al proceso que mejora en la disposición de la información para asegurar que sea accesible, confiable y oportuna.</t>
        </is>
      </c>
      <c r="I97" t="inlineStr">
        <is>
          <t>2024258990009</t>
        </is>
      </c>
      <c r="J97" s="99">
        <v>400000000</v>
      </c>
      <c r="K97" s="99">
        <v>0</v>
      </c>
      <c r="L97" s="99">
        <v>400000000</v>
      </c>
      <c r="M97" s="99">
        <v>0</v>
      </c>
      <c r="N97" s="99">
        <v>0</v>
      </c>
      <c r="O97" s="99" t="inlineStr">
        <is>
          <t xml:space="preserve"> </t>
        </is>
      </c>
      <c r="P97" s="99" t="inlineStr">
        <is>
          <t xml:space="preserve"> </t>
        </is>
      </c>
      <c r="Q97" s="99" t="inlineStr">
        <is>
          <t xml:space="preserve"> </t>
        </is>
      </c>
      <c r="R97" s="100" t="inlineStr">
        <is>
          <t xml:space="preserve"> </t>
        </is>
      </c>
      <c r="S97" t="inlineStr">
        <is>
          <t>No se encontró ejecución en CUIPO</t>
        </is>
      </c>
      <c r="T97" s="101" t="inlineStr">
        <is>
          <t xml:space="preserve"> </t>
        </is>
      </c>
      <c r="U97" s="101" t="inlineStr">
        <is>
          <t xml:space="preserve"> </t>
        </is>
      </c>
      <c r="V97" s="101" t="inlineStr">
        <is>
          <t xml:space="preserve"> </t>
        </is>
      </c>
      <c r="W97" s="102" t="inlineStr">
        <is>
          <t xml:space="preserve"> </t>
        </is>
      </c>
      <c r="X97" t="inlineStr">
        <is>
          <t>No se encontró ejecución en CUIPO</t>
        </is>
      </c>
    </row>
    <row r="98">
      <c r="A98" t="inlineStr">
        <is>
          <t>IP-229, IP-31</t>
        </is>
      </c>
      <c r="B98" t="inlineStr">
        <is>
          <t>33</t>
        </is>
      </c>
      <c r="C98" t="inlineStr">
        <is>
          <t>Cultura</t>
        </is>
      </c>
      <c r="D98" t="inlineStr">
        <is>
          <t>3301</t>
        </is>
      </c>
      <c r="E98" t="inlineStr">
        <is>
          <t>Promoción y acceso efectivo a procesos culturales y artísticos</t>
        </is>
      </c>
      <c r="F98" t="inlineStr">
        <is>
          <t>3301093</t>
        </is>
      </c>
      <c r="G98" t="inlineStr">
        <is>
          <t>Centros culturales construidos y dotados</t>
        </is>
      </c>
      <c r="H98" t="inlineStr">
        <is>
          <t xml:space="preserve">Son todas aquellas infraestructuras culturales que se construyan en un predio o terreno donde no existen elementos o construcciones previstas. </t>
        </is>
      </c>
      <c r="I98" t="inlineStr">
        <is>
          <t>2024258990056</t>
        </is>
      </c>
      <c r="J98" s="99">
        <v>20400000000</v>
      </c>
      <c r="K98" s="99">
        <v>0</v>
      </c>
      <c r="L98" s="99">
        <v>20400000000</v>
      </c>
      <c r="M98" s="99">
        <v>0</v>
      </c>
      <c r="N98" s="99">
        <v>0</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IP-230, IP-32</t>
        </is>
      </c>
      <c r="B99" t="inlineStr">
        <is>
          <t>33</t>
        </is>
      </c>
      <c r="C99" t="inlineStr">
        <is>
          <t>Cultura</t>
        </is>
      </c>
      <c r="D99" t="inlineStr">
        <is>
          <t>3301</t>
        </is>
      </c>
      <c r="E99" t="inlineStr">
        <is>
          <t>Promoción y acceso efectivo a procesos culturales y artísticos</t>
        </is>
      </c>
      <c r="F99" t="inlineStr">
        <is>
          <t>3301038</t>
        </is>
      </c>
      <c r="G99" t="inlineStr">
        <is>
          <t>Teatros adecuados</t>
        </is>
      </c>
      <c r="H99" t="inlineStr">
        <is>
          <t>Cambio del uso de la infraestructura cultural o parte de ella, garantizando la permanencia del inmueble original.</t>
        </is>
      </c>
      <c r="I99" t="inlineStr">
        <is>
          <t>2024258990056</t>
        </is>
      </c>
      <c r="J99" s="99">
        <v>15893473152</v>
      </c>
      <c r="K99" s="99">
        <v>0</v>
      </c>
      <c r="L99" s="99">
        <v>15893473152</v>
      </c>
      <c r="M99" s="99">
        <v>0</v>
      </c>
      <c r="N99" s="99">
        <v>0</v>
      </c>
      <c r="O99" s="99" t="inlineStr">
        <is>
          <t xml:space="preserve"> </t>
        </is>
      </c>
      <c r="P99" s="99" t="inlineStr">
        <is>
          <t xml:space="preserve"> </t>
        </is>
      </c>
      <c r="Q99" s="99" t="inlineStr">
        <is>
          <t xml:space="preserve"> </t>
        </is>
      </c>
      <c r="R99" s="100" t="inlineStr">
        <is>
          <t xml:space="preserve"> </t>
        </is>
      </c>
      <c r="S99" t="inlineStr">
        <is>
          <t>No se encontró ejecución en CUIPO</t>
        </is>
      </c>
      <c r="T99" s="101" t="inlineStr">
        <is>
          <t xml:space="preserve"> </t>
        </is>
      </c>
      <c r="U99" s="101" t="inlineStr">
        <is>
          <t xml:space="preserve"> </t>
        </is>
      </c>
      <c r="V99" s="101" t="inlineStr">
        <is>
          <t xml:space="preserve"> </t>
        </is>
      </c>
      <c r="W99" s="102" t="inlineStr">
        <is>
          <t xml:space="preserve"> </t>
        </is>
      </c>
      <c r="X99" t="inlineStr">
        <is>
          <t>No se encontró ejecución en CUIPO</t>
        </is>
      </c>
    </row>
    <row r="100">
      <c r="A100" t="inlineStr">
        <is>
          <t>IP-231, IP-33</t>
        </is>
      </c>
      <c r="B100" t="inlineStr">
        <is>
          <t>33</t>
        </is>
      </c>
      <c r="C100" t="inlineStr">
        <is>
          <t>Cultura</t>
        </is>
      </c>
      <c r="D100" t="inlineStr">
        <is>
          <t>3301</t>
        </is>
      </c>
      <c r="E100" t="inlineStr">
        <is>
          <t>Promoción y acceso efectivo a procesos culturales y artísticos</t>
        </is>
      </c>
      <c r="F100" t="inlineStr">
        <is>
          <t>3301087</t>
        </is>
      </c>
      <c r="G100" t="inlineStr">
        <is>
          <t>Servicio de educación informal en áreas artísticas y culturales</t>
        </is>
      </c>
      <c r="H100" t="inlineStr">
        <is>
          <t>Oferta educativa entregada  a la ciudadanía con el fin de fortalecer sus capacidades en diferentes disciplinas artísticas como la música, la danza, la lectura, entre otros.</t>
        </is>
      </c>
      <c r="I100" t="inlineStr">
        <is>
          <t>2024258990056</t>
        </is>
      </c>
      <c r="J100" s="99">
        <v>1821074837.2392</v>
      </c>
      <c r="K100" s="99">
        <v>559941132</v>
      </c>
      <c r="L100" s="99">
        <v>1223298980.8</v>
      </c>
      <c r="M100" s="99">
        <v>18620961.1526</v>
      </c>
      <c r="N100" s="99">
        <v>19213763.2866</v>
      </c>
      <c r="O100" s="99">
        <v>606360823</v>
      </c>
      <c r="P100" s="99">
        <v>606360823</v>
      </c>
      <c r="Q100" s="99">
        <v>606360823</v>
      </c>
      <c r="R100" s="100">
        <v>1.0829010200308</v>
      </c>
      <c r="S100" t="inlineStr">
        <is>
          <t>Hubo ejecución por encima de lo programado en SisPT</t>
        </is>
      </c>
      <c r="T100" s="101" t="inlineStr">
        <is>
          <t xml:space="preserve"> </t>
        </is>
      </c>
      <c r="U100" s="101" t="inlineStr">
        <is>
          <t xml:space="preserve"> </t>
        </is>
      </c>
      <c r="V100" s="101" t="inlineStr">
        <is>
          <t xml:space="preserve"> </t>
        </is>
      </c>
      <c r="W100" s="102" t="inlineStr">
        <is>
          <t xml:space="preserve"> </t>
        </is>
      </c>
      <c r="X100" t="inlineStr">
        <is>
          <t>No se encontró ejecución en CUIPO</t>
        </is>
      </c>
    </row>
    <row r="101">
      <c r="A101" t="inlineStr">
        <is>
          <t>IP-232</t>
        </is>
      </c>
      <c r="B101" t="inlineStr">
        <is>
          <t>33</t>
        </is>
      </c>
      <c r="C101" t="inlineStr">
        <is>
          <t>Cultura</t>
        </is>
      </c>
      <c r="D101" t="inlineStr">
        <is>
          <t>3301</t>
        </is>
      </c>
      <c r="E101" t="inlineStr">
        <is>
          <t>Promoción y acceso efectivo a procesos culturales y artísticos</t>
        </is>
      </c>
      <c r="F101" t="inlineStr">
        <is>
          <t>3301130</t>
        </is>
      </c>
      <c r="G101" t="inlineStr">
        <is>
          <t>Servicio de educación informal</t>
        </is>
      </c>
      <c r="H101" t="inlineStr">
        <is>
          <t>Acciones orientadas al desarrollo de programas educativos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01" t="inlineStr">
        <is>
          <t>2024258990056</t>
        </is>
      </c>
      <c r="J101" s="99">
        <v>398572271.1191</v>
      </c>
      <c r="K101" s="99">
        <v>28407788</v>
      </c>
      <c r="L101" s="99">
        <v>251224146.6</v>
      </c>
      <c r="M101" s="99">
        <v>58538377.6048</v>
      </c>
      <c r="N101" s="99">
        <v>60401958.9143</v>
      </c>
      <c r="O101" s="99" t="inlineStr">
        <is>
          <t xml:space="preserve"> </t>
        </is>
      </c>
      <c r="P101" s="99" t="inlineStr">
        <is>
          <t xml:space="preserve"> </t>
        </is>
      </c>
      <c r="Q101" s="99" t="inlineStr">
        <is>
          <t xml:space="preserve"> </t>
        </is>
      </c>
      <c r="R101" s="100" t="inlineStr">
        <is>
          <t xml:space="preserve"> </t>
        </is>
      </c>
      <c r="S101" t="inlineStr">
        <is>
          <t>No se encontró ejecución en CUIPO</t>
        </is>
      </c>
      <c r="T101" s="101" t="inlineStr">
        <is>
          <t xml:space="preserve"> </t>
        </is>
      </c>
      <c r="U101" s="101" t="inlineStr">
        <is>
          <t xml:space="preserve"> </t>
        </is>
      </c>
      <c r="V101" s="101" t="inlineStr">
        <is>
          <t xml:space="preserve"> </t>
        </is>
      </c>
      <c r="W101" s="102" t="inlineStr">
        <is>
          <t xml:space="preserve"> </t>
        </is>
      </c>
      <c r="X101" t="inlineStr">
        <is>
          <t>No se encontró ejecución en CUIPO</t>
        </is>
      </c>
    </row>
    <row r="102">
      <c r="A102" t="inlineStr">
        <is>
          <t>IP-233, IP-252, IP-34, IP-53</t>
        </is>
      </c>
      <c r="B102" t="inlineStr">
        <is>
          <t>33</t>
        </is>
      </c>
      <c r="C102" t="inlineStr">
        <is>
          <t>Cultura</t>
        </is>
      </c>
      <c r="D102" t="inlineStr">
        <is>
          <t>3301</t>
        </is>
      </c>
      <c r="E102" t="inlineStr">
        <is>
          <t>Promoción y acceso efectivo a procesos culturales y artísticos</t>
        </is>
      </c>
      <c r="F102" t="inlineStr">
        <is>
          <t>3301070</t>
        </is>
      </c>
      <c r="G102" t="inlineStr">
        <is>
          <t>Documentos de lineamientos técnicos</t>
        </is>
      </c>
      <c r="H102" t="inlineStr">
        <is>
          <t>Corresponde a los lineamientos técnicos para la creación, dotación, organización, administración, funcionamiento, gestión y prestación de servicios en el sector cultural y artístico</t>
        </is>
      </c>
      <c r="I102" t="inlineStr">
        <is>
          <t>2024258990056</t>
        </is>
      </c>
      <c r="J102" s="99">
        <v>364293149.1404</v>
      </c>
      <c r="K102" s="99">
        <v>35982820</v>
      </c>
      <c r="L102" s="99">
        <v>211662031.2</v>
      </c>
      <c r="M102" s="99">
        <v>57410314.378</v>
      </c>
      <c r="N102" s="99">
        <v>59237983.5624</v>
      </c>
      <c r="O102" s="99">
        <v>14913100</v>
      </c>
      <c r="P102" s="99">
        <v>14913100</v>
      </c>
      <c r="Q102" s="99">
        <v>14913100</v>
      </c>
      <c r="R102" s="100">
        <v>0.414450562796357</v>
      </c>
      <c r="S102" t="inlineStr">
        <is>
          <t>Lo obligado está por debajo de lo programado en la vigencia</t>
        </is>
      </c>
      <c r="T102" s="101" t="inlineStr">
        <is>
          <t xml:space="preserve"> </t>
        </is>
      </c>
      <c r="U102" s="101" t="inlineStr">
        <is>
          <t xml:space="preserve"> </t>
        </is>
      </c>
      <c r="V102" s="101" t="inlineStr">
        <is>
          <t xml:space="preserve"> </t>
        </is>
      </c>
      <c r="W102" s="102" t="inlineStr">
        <is>
          <t xml:space="preserve"> </t>
        </is>
      </c>
      <c r="X102" t="inlineStr">
        <is>
          <t>No se encontró ejecución en CUIPO</t>
        </is>
      </c>
    </row>
    <row r="103">
      <c r="A103" t="inlineStr">
        <is>
          <t>IP-234, IP-35</t>
        </is>
      </c>
      <c r="B103" t="inlineStr">
        <is>
          <t>33</t>
        </is>
      </c>
      <c r="C103" t="inlineStr">
        <is>
          <t>Cultura</t>
        </is>
      </c>
      <c r="D103" t="inlineStr">
        <is>
          <t>3301</t>
        </is>
      </c>
      <c r="E103" t="inlineStr">
        <is>
          <t>Promoción y acceso efectivo a procesos culturales y artísticos</t>
        </is>
      </c>
      <c r="F103" t="inlineStr">
        <is>
          <t>3301127</t>
        </is>
      </c>
      <c r="G103" t="inlineStr">
        <is>
          <t>Infraestructuras culturales dotadas</t>
        </is>
      </c>
      <c r="H103" t="inlineStr">
        <is>
          <t>Corresponde a la disposición de material didáctico, pedagógico, tecnológico y/o mobiliario para espacios estructurados para el desarrollo de procesos artístico y/o cultural, este incluye también el desarrollo de infraestructura tecnológica  para la conexión y el acceso a internet de las bibliotecas y espacios culturales.</t>
        </is>
      </c>
      <c r="I103" t="inlineStr">
        <is>
          <t>2024258990056</t>
        </is>
      </c>
      <c r="J103" s="99">
        <v>23344545.2478</v>
      </c>
      <c r="K103" s="99">
        <v>8917546</v>
      </c>
      <c r="L103" s="99">
        <v>4989044</v>
      </c>
      <c r="M103" s="99">
        <v>4645039.7256</v>
      </c>
      <c r="N103" s="99">
        <v>4792915.5222</v>
      </c>
      <c r="O103" s="99" t="inlineStr">
        <is>
          <t xml:space="preserve"> </t>
        </is>
      </c>
      <c r="P103" s="99" t="inlineStr">
        <is>
          <t xml:space="preserve"> </t>
        </is>
      </c>
      <c r="Q103" s="99" t="inlineStr">
        <is>
          <t xml:space="preserve"> </t>
        </is>
      </c>
      <c r="R103" s="100" t="inlineStr">
        <is>
          <t xml:space="preserve"> </t>
        </is>
      </c>
      <c r="S103" t="inlineStr">
        <is>
          <t>No se encontró ejecución en CUIPO</t>
        </is>
      </c>
      <c r="T103" s="101" t="inlineStr">
        <is>
          <t xml:space="preserve"> </t>
        </is>
      </c>
      <c r="U103" s="101" t="inlineStr">
        <is>
          <t xml:space="preserve"> </t>
        </is>
      </c>
      <c r="V103" s="101" t="inlineStr">
        <is>
          <t xml:space="preserve"> </t>
        </is>
      </c>
      <c r="W103" s="102" t="inlineStr">
        <is>
          <t xml:space="preserve"> </t>
        </is>
      </c>
      <c r="X103" t="inlineStr">
        <is>
          <t>No se encontró ejecución en CUIPO</t>
        </is>
      </c>
    </row>
    <row r="104">
      <c r="A104" t="inlineStr">
        <is>
          <t>IP-235, IP-36</t>
        </is>
      </c>
      <c r="B104" t="inlineStr">
        <is>
          <t>33</t>
        </is>
      </c>
      <c r="C104" t="inlineStr">
        <is>
          <t>Cultura</t>
        </is>
      </c>
      <c r="D104" t="inlineStr">
        <is>
          <t>3301</t>
        </is>
      </c>
      <c r="E104" t="inlineStr">
        <is>
          <t>Promoción y acceso efectivo a procesos culturales y artísticos</t>
        </is>
      </c>
      <c r="F104" t="inlineStr">
        <is>
          <t>3301126</t>
        </is>
      </c>
      <c r="G104" t="inlineStr">
        <is>
          <t>Servicio de apoyo al proceso de formación artística y cultural</t>
        </is>
      </c>
      <c r="H104" t="inlineStr">
        <is>
          <t xml:space="preserve">Este servicio está orientado apoyar el proceso de formación artística y cultural a través del equipamiento de instrumentos y elementos propios de cada área (música, teatro, danzas y/o artes plásticas y visuales). </t>
        </is>
      </c>
      <c r="I104" t="inlineStr">
        <is>
          <t>2024258990056</t>
        </is>
      </c>
      <c r="J104" s="99">
        <v>274478386.599</v>
      </c>
      <c r="K104" s="99">
        <v>30598364</v>
      </c>
      <c r="L104" s="99">
        <v>84336884.1</v>
      </c>
      <c r="M104" s="99">
        <v>78521692.1276</v>
      </c>
      <c r="N104" s="99">
        <v>81021446.3714</v>
      </c>
      <c r="O104" s="99" t="inlineStr">
        <is>
          <t xml:space="preserve"> </t>
        </is>
      </c>
      <c r="P104" s="99" t="inlineStr">
        <is>
          <t xml:space="preserve"> </t>
        </is>
      </c>
      <c r="Q104" s="99" t="inlineStr">
        <is>
          <t xml:space="preserve"> </t>
        </is>
      </c>
      <c r="R104" s="100" t="inlineStr">
        <is>
          <t xml:space="preserve"> </t>
        </is>
      </c>
      <c r="S104" t="inlineStr">
        <is>
          <t>No se encontró ejecución en CUIPO</t>
        </is>
      </c>
      <c r="T104" s="101" t="inlineStr">
        <is>
          <t xml:space="preserve"> </t>
        </is>
      </c>
      <c r="U104" s="101" t="inlineStr">
        <is>
          <t xml:space="preserve"> </t>
        </is>
      </c>
      <c r="V104" s="101" t="inlineStr">
        <is>
          <t xml:space="preserve"> </t>
        </is>
      </c>
      <c r="W104" s="102" t="inlineStr">
        <is>
          <t xml:space="preserve"> </t>
        </is>
      </c>
      <c r="X104" t="inlineStr">
        <is>
          <t>No se encontró ejecución en CUIPO</t>
        </is>
      </c>
    </row>
    <row r="105">
      <c r="A105" t="inlineStr">
        <is>
          <t>IP-236, IP-241, IP-245, IP-37, IP-42, IP-46</t>
        </is>
      </c>
      <c r="B105" t="inlineStr">
        <is>
          <t>33</t>
        </is>
      </c>
      <c r="C105" t="inlineStr">
        <is>
          <t>Cultura</t>
        </is>
      </c>
      <c r="D105" t="inlineStr">
        <is>
          <t>3301</t>
        </is>
      </c>
      <c r="E105" t="inlineStr">
        <is>
          <t>Promoción y acceso efectivo a procesos culturales y artísticos</t>
        </is>
      </c>
      <c r="F105" t="inlineStr">
        <is>
          <t>3301053</t>
        </is>
      </c>
      <c r="G105" t="inlineStr">
        <is>
          <t>Servicio de promoción de actividades culturales</t>
        </is>
      </c>
      <c r="H105"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105" t="inlineStr">
        <is>
          <t>2024258990056</t>
        </is>
      </c>
      <c r="J105" s="99">
        <v>1471185213.877</v>
      </c>
      <c r="K105" s="99">
        <v>286328764</v>
      </c>
      <c r="L105" s="99">
        <v>464725805.6</v>
      </c>
      <c r="M105" s="99">
        <v>354423745.6626</v>
      </c>
      <c r="N105" s="99">
        <v>365706898.6144</v>
      </c>
      <c r="O105" s="99">
        <v>61537517</v>
      </c>
      <c r="P105" s="99">
        <v>61537517</v>
      </c>
      <c r="Q105" s="99">
        <v>57410957</v>
      </c>
      <c r="R105" s="100">
        <v>0.214919088604036</v>
      </c>
      <c r="S105" t="inlineStr">
        <is>
          <t>Lo obligado está por debajo de lo programado en la vigencia</t>
        </is>
      </c>
      <c r="T105" s="101" t="inlineStr">
        <is>
          <t xml:space="preserve"> </t>
        </is>
      </c>
      <c r="U105" s="101" t="inlineStr">
        <is>
          <t xml:space="preserve"> </t>
        </is>
      </c>
      <c r="V105" s="101" t="inlineStr">
        <is>
          <t xml:space="preserve"> </t>
        </is>
      </c>
      <c r="W105" s="102" t="inlineStr">
        <is>
          <t xml:space="preserve"> </t>
        </is>
      </c>
      <c r="X105" t="inlineStr">
        <is>
          <t>No se encontró ejecución en CUIPO</t>
        </is>
      </c>
    </row>
    <row r="106">
      <c r="A106" t="inlineStr">
        <is>
          <t>IP-237, IP-38</t>
        </is>
      </c>
      <c r="B106" t="inlineStr">
        <is>
          <t>33</t>
        </is>
      </c>
      <c r="C106" t="inlineStr">
        <is>
          <t>Cultura</t>
        </is>
      </c>
      <c r="D106" t="inlineStr">
        <is>
          <t>3301</t>
        </is>
      </c>
      <c r="E106" t="inlineStr">
        <is>
          <t>Promoción y acceso efectivo a procesos culturales y artísticos</t>
        </is>
      </c>
      <c r="F106" t="inlineStr">
        <is>
          <t>3301052</t>
        </is>
      </c>
      <c r="G106" t="inlineStr">
        <is>
          <t>Servicio de educación formal al sector artístico y cultural</t>
        </is>
      </c>
      <c r="H106" t="inlineStr">
        <is>
          <t xml:space="preserve">Oferta educativa entregada a agentes culturales la cual se imparte en establecimientos educativos aprobados, en una secuencia regular de ciclos lectivos, con sujeción a pautas curriculares progresivas, y conducente a grados y títulos con el fin de fortalecer las capacidades en las disciplinas propias del sector.  </t>
        </is>
      </c>
      <c r="I106" t="inlineStr">
        <is>
          <t>2024258990056</t>
        </is>
      </c>
      <c r="J106" s="99">
        <v>487759535.0958</v>
      </c>
      <c r="K106" s="99">
        <v>0</v>
      </c>
      <c r="L106" s="99">
        <v>168673591.8</v>
      </c>
      <c r="M106" s="99">
        <v>157043220.0184</v>
      </c>
      <c r="N106" s="99">
        <v>162042723.2774</v>
      </c>
      <c r="O106" s="99">
        <v>175837194</v>
      </c>
      <c r="P106" s="99">
        <v>175837194</v>
      </c>
      <c r="Q106" s="99">
        <v>169500000</v>
      </c>
      <c r="R106" s="100" t="inlineStr">
        <is>
          <t xml:space="preserve"> </t>
        </is>
      </c>
      <c r="S106" t="inlineStr">
        <is>
          <t>Se ejecutó un producto no programado en la vigencia</t>
        </is>
      </c>
      <c r="T106" s="101" t="inlineStr">
        <is>
          <t xml:space="preserve"> </t>
        </is>
      </c>
      <c r="U106" s="101" t="inlineStr">
        <is>
          <t xml:space="preserve"> </t>
        </is>
      </c>
      <c r="V106" s="101" t="inlineStr">
        <is>
          <t xml:space="preserve"> </t>
        </is>
      </c>
      <c r="W106" s="102" t="inlineStr">
        <is>
          <t xml:space="preserve"> </t>
        </is>
      </c>
      <c r="X106" t="inlineStr">
        <is>
          <t>No se encontró ejecución en CUIPO</t>
        </is>
      </c>
    </row>
    <row r="107">
      <c r="A107" t="inlineStr">
        <is>
          <t>IP-238, IP-250, IP-39, IP-51</t>
        </is>
      </c>
      <c r="B107" t="inlineStr">
        <is>
          <t>33</t>
        </is>
      </c>
      <c r="C107" t="inlineStr">
        <is>
          <t>Cultura</t>
        </is>
      </c>
      <c r="D107" t="inlineStr">
        <is>
          <t>3301</t>
        </is>
      </c>
      <c r="E107" t="inlineStr">
        <is>
          <t>Promoción y acceso efectivo a procesos culturales y artísticos</t>
        </is>
      </c>
      <c r="F107" t="inlineStr">
        <is>
          <t>3301073</t>
        </is>
      </c>
      <c r="G107" t="inlineStr">
        <is>
          <t>Servicio de circulación artística y cultural</t>
        </is>
      </c>
      <c r="H107" t="inlineStr">
        <is>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is>
      </c>
      <c r="I107" t="inlineStr">
        <is>
          <t>2024258990056</t>
        </is>
      </c>
      <c r="J107" s="99">
        <v>107186448.0392</v>
      </c>
      <c r="K107" s="99">
        <v>10000000</v>
      </c>
      <c r="L107" s="99">
        <v>59351723.6</v>
      </c>
      <c r="M107" s="99">
        <v>18620961.1526</v>
      </c>
      <c r="N107" s="99">
        <v>19213763.2866</v>
      </c>
      <c r="O107" s="99">
        <v>8824798</v>
      </c>
      <c r="P107" s="99">
        <v>8824798</v>
      </c>
      <c r="Q107" s="99">
        <v>8824798</v>
      </c>
      <c r="R107" s="100">
        <v>0.8824798</v>
      </c>
      <c r="S107" t="inlineStr">
        <is>
          <t>Lo obligado está por debajo de lo programado en la vigencia</t>
        </is>
      </c>
      <c r="T107" s="101" t="inlineStr">
        <is>
          <t xml:space="preserve"> </t>
        </is>
      </c>
      <c r="U107" s="101" t="inlineStr">
        <is>
          <t xml:space="preserve"> </t>
        </is>
      </c>
      <c r="V107" s="101" t="inlineStr">
        <is>
          <t xml:space="preserve"> </t>
        </is>
      </c>
      <c r="W107" s="102" t="inlineStr">
        <is>
          <t xml:space="preserve"> </t>
        </is>
      </c>
      <c r="X107" t="inlineStr">
        <is>
          <t>No se encontró ejecución en CUIPO</t>
        </is>
      </c>
    </row>
    <row r="108">
      <c r="A108" t="inlineStr">
        <is>
          <t>IP-239, IP-40</t>
        </is>
      </c>
      <c r="B108" t="inlineStr">
        <is>
          <t>33</t>
        </is>
      </c>
      <c r="C108" t="inlineStr">
        <is>
          <t>Cultura</t>
        </is>
      </c>
      <c r="D108" t="inlineStr">
        <is>
          <t>3301</t>
        </is>
      </c>
      <c r="E108" t="inlineStr">
        <is>
          <t>Promoción y acceso efectivo a procesos culturales y artísticos</t>
        </is>
      </c>
      <c r="F108" t="inlineStr">
        <is>
          <t>3301129</t>
        </is>
      </c>
      <c r="G108" t="inlineStr">
        <is>
          <t>Documentos de planeación</t>
        </is>
      </c>
      <c r="H10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08" t="inlineStr">
        <is>
          <t>2024258990056</t>
        </is>
      </c>
      <c r="J108" s="99">
        <v>10000000</v>
      </c>
      <c r="K108" s="99">
        <v>10000000</v>
      </c>
      <c r="L108" s="99">
        <v>0</v>
      </c>
      <c r="M108" s="99">
        <v>0</v>
      </c>
      <c r="N108" s="99">
        <v>0</v>
      </c>
      <c r="O108" s="99" t="inlineStr">
        <is>
          <t xml:space="preserve"> </t>
        </is>
      </c>
      <c r="P108" s="99" t="inlineStr">
        <is>
          <t xml:space="preserve"> </t>
        </is>
      </c>
      <c r="Q108" s="99" t="inlineStr">
        <is>
          <t xml:space="preserve"> </t>
        </is>
      </c>
      <c r="R108" s="100" t="inlineStr">
        <is>
          <t xml:space="preserve"> </t>
        </is>
      </c>
      <c r="S108" t="inlineStr">
        <is>
          <t>No se encontró ejecución en CUIPO</t>
        </is>
      </c>
      <c r="T108" s="101" t="inlineStr">
        <is>
          <t xml:space="preserve"> </t>
        </is>
      </c>
      <c r="U108" s="101" t="inlineStr">
        <is>
          <t xml:space="preserve"> </t>
        </is>
      </c>
      <c r="V108" s="101" t="inlineStr">
        <is>
          <t xml:space="preserve"> </t>
        </is>
      </c>
      <c r="W108" s="102" t="inlineStr">
        <is>
          <t xml:space="preserve"> </t>
        </is>
      </c>
      <c r="X108" t="inlineStr">
        <is>
          <t>No se encontró ejecución en CUIPO</t>
        </is>
      </c>
    </row>
    <row r="109">
      <c r="A109" t="inlineStr">
        <is>
          <t>IP-240, IP-41</t>
        </is>
      </c>
      <c r="B109" t="inlineStr">
        <is>
          <t>33</t>
        </is>
      </c>
      <c r="C109" t="inlineStr">
        <is>
          <t>Cultura</t>
        </is>
      </c>
      <c r="D109" t="inlineStr">
        <is>
          <t>3301</t>
        </is>
      </c>
      <c r="E109" t="inlineStr">
        <is>
          <t>Promoción y acceso efectivo a procesos culturales y artísticos</t>
        </is>
      </c>
      <c r="F109" t="inlineStr">
        <is>
          <t>3301061</t>
        </is>
      </c>
      <c r="G109" t="inlineStr">
        <is>
          <t>Servicio de asistencia técnica en el fortalecimiento de los consejeros de cultura</t>
        </is>
      </c>
      <c r="H109" t="inlineStr">
        <is>
          <t xml:space="preserve">La Dirección de Poblaciones realiza un proceso de fortalecimiento a los consejeros de Cultura, Afro, Indígenas y Discapacidad para promover el reconocimiento de la diversidad étnica y cultural como riqueza de nuestra Nación. 
</t>
        </is>
      </c>
      <c r="I109" t="inlineStr">
        <is>
          <t>2024258990056</t>
        </is>
      </c>
      <c r="J109" s="99">
        <v>264880157.409</v>
      </c>
      <c r="K109" s="99">
        <v>35415904</v>
      </c>
      <c r="L109" s="99">
        <v>79351723.6</v>
      </c>
      <c r="M109" s="99">
        <v>73880268.1272</v>
      </c>
      <c r="N109" s="99">
        <v>76232261.6818</v>
      </c>
      <c r="O109" s="99">
        <v>109261377</v>
      </c>
      <c r="P109" s="99">
        <v>109261377</v>
      </c>
      <c r="Q109" s="99">
        <v>32461377</v>
      </c>
      <c r="R109" s="100">
        <v>3.08509355006158</v>
      </c>
      <c r="S109" t="inlineStr">
        <is>
          <t>Hubo ejecución por encima de lo programado en SisPT</t>
        </is>
      </c>
      <c r="T109" s="101" t="inlineStr">
        <is>
          <t xml:space="preserve"> </t>
        </is>
      </c>
      <c r="U109" s="101" t="inlineStr">
        <is>
          <t xml:space="preserve"> </t>
        </is>
      </c>
      <c r="V109" s="101" t="inlineStr">
        <is>
          <t xml:space="preserve"> </t>
        </is>
      </c>
      <c r="W109" s="102" t="inlineStr">
        <is>
          <t xml:space="preserve"> </t>
        </is>
      </c>
      <c r="X109" t="inlineStr">
        <is>
          <t>No se encontró ejecución en CUIPO</t>
        </is>
      </c>
    </row>
    <row r="110">
      <c r="A110" t="inlineStr">
        <is>
          <t>IP-242, IP-43</t>
        </is>
      </c>
      <c r="B110" t="inlineStr">
        <is>
          <t>33</t>
        </is>
      </c>
      <c r="C110" t="inlineStr">
        <is>
          <t>Cultura</t>
        </is>
      </c>
      <c r="D110" t="inlineStr">
        <is>
          <t>3301</t>
        </is>
      </c>
      <c r="E110" t="inlineStr">
        <is>
          <t>Promoción y acceso efectivo a procesos culturales y artísticos</t>
        </is>
      </c>
      <c r="F110" t="inlineStr">
        <is>
          <t>3301068</t>
        </is>
      </c>
      <c r="G110" t="inlineStr">
        <is>
          <t>Servicio de mantenimiento de infraestructura cultural</t>
        </is>
      </c>
      <c r="H110" t="inlineStr">
        <is>
          <t>Ajuste o adaptación de una Infraestructura Cultural en la cual ya se estén desarrollando prácticas culturales, se busca garantizar la permanencia del inmueble original con las especificaciones requeridas. Este proceso puede o no tener reforzamiento estructural.</t>
        </is>
      </c>
      <c r="I110" t="inlineStr">
        <is>
          <t>2024258990056</t>
        </is>
      </c>
      <c r="J110" s="99">
        <v>516727696</v>
      </c>
      <c r="K110" s="99">
        <v>233600000</v>
      </c>
      <c r="L110" s="99">
        <v>283127696</v>
      </c>
      <c r="M110" s="99">
        <v>0</v>
      </c>
      <c r="N110" s="99">
        <v>0</v>
      </c>
      <c r="O110" s="99" t="inlineStr">
        <is>
          <t xml:space="preserve"> </t>
        </is>
      </c>
      <c r="P110" s="99" t="inlineStr">
        <is>
          <t xml:space="preserve"> </t>
        </is>
      </c>
      <c r="Q110" s="99" t="inlineStr">
        <is>
          <t xml:space="preserve"> </t>
        </is>
      </c>
      <c r="R110" s="100" t="inlineStr">
        <is>
          <t xml:space="preserve"> </t>
        </is>
      </c>
      <c r="S110" t="inlineStr">
        <is>
          <t>No se encontró ejecución en CUIPO</t>
        </is>
      </c>
      <c r="T110" s="101" t="inlineStr">
        <is>
          <t xml:space="preserve"> </t>
        </is>
      </c>
      <c r="U110" s="101" t="inlineStr">
        <is>
          <t xml:space="preserve"> </t>
        </is>
      </c>
      <c r="V110" s="101" t="inlineStr">
        <is>
          <t xml:space="preserve"> </t>
        </is>
      </c>
      <c r="W110" s="102" t="inlineStr">
        <is>
          <t xml:space="preserve"> </t>
        </is>
      </c>
      <c r="X110" t="inlineStr">
        <is>
          <t>No se encontró ejecución en CUIPO</t>
        </is>
      </c>
    </row>
    <row r="111">
      <c r="A111" t="inlineStr">
        <is>
          <t>IP-243, IP-248, IP-249, IP-44, IP-49, IP-50</t>
        </is>
      </c>
      <c r="B111" t="inlineStr">
        <is>
          <t>33</t>
        </is>
      </c>
      <c r="C111" t="inlineStr">
        <is>
          <t>Cultura</t>
        </is>
      </c>
      <c r="D111" t="inlineStr">
        <is>
          <t>3301</t>
        </is>
      </c>
      <c r="E111" t="inlineStr">
        <is>
          <t>Promoción y acceso efectivo a procesos culturales y artísticos</t>
        </is>
      </c>
      <c r="F111" t="inlineStr">
        <is>
          <t>3301054</t>
        </is>
      </c>
      <c r="G111" t="inlineStr">
        <is>
          <t>Servicio de apoyo financiero al sector artístico y cultural</t>
        </is>
      </c>
      <c r="H111"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11" t="inlineStr">
        <is>
          <t>2024258990056</t>
        </is>
      </c>
      <c r="J111" s="99">
        <v>534803389.205</v>
      </c>
      <c r="K111" s="99">
        <v>24000000</v>
      </c>
      <c r="L111" s="99">
        <v>225470893.6</v>
      </c>
      <c r="M111" s="99">
        <v>140430924.1042</v>
      </c>
      <c r="N111" s="99">
        <v>144901571.5008</v>
      </c>
      <c r="O111" s="99" t="inlineStr">
        <is>
          <t xml:space="preserve"> </t>
        </is>
      </c>
      <c r="P111" s="99" t="inlineStr">
        <is>
          <t xml:space="preserve"> </t>
        </is>
      </c>
      <c r="Q111" s="99" t="inlineStr">
        <is>
          <t xml:space="preserve"> </t>
        </is>
      </c>
      <c r="R111" s="100" t="inlineStr">
        <is>
          <t xml:space="preserve"> </t>
        </is>
      </c>
      <c r="S111" t="inlineStr">
        <is>
          <t>No se encontró ejecución en CUIPO</t>
        </is>
      </c>
      <c r="T111" s="101" t="inlineStr">
        <is>
          <t xml:space="preserve"> </t>
        </is>
      </c>
      <c r="U111" s="101" t="inlineStr">
        <is>
          <t xml:space="preserve"> </t>
        </is>
      </c>
      <c r="V111" s="101" t="inlineStr">
        <is>
          <t xml:space="preserve"> </t>
        </is>
      </c>
      <c r="W111" s="102" t="inlineStr">
        <is>
          <t xml:space="preserve"> </t>
        </is>
      </c>
      <c r="X111" t="inlineStr">
        <is>
          <t>No se encontró ejecución en CUIPO</t>
        </is>
      </c>
    </row>
    <row r="112">
      <c r="A112" t="inlineStr">
        <is>
          <t>IP-244, IP-45</t>
        </is>
      </c>
      <c r="B112" t="inlineStr">
        <is>
          <t>33</t>
        </is>
      </c>
      <c r="C112" t="inlineStr">
        <is>
          <t>Cultura</t>
        </is>
      </c>
      <c r="D112" t="inlineStr">
        <is>
          <t>3301</t>
        </is>
      </c>
      <c r="E112" t="inlineStr">
        <is>
          <t>Promoción y acceso efectivo a procesos culturales y artísticos</t>
        </is>
      </c>
      <c r="F112" t="inlineStr">
        <is>
          <t>3301069</t>
        </is>
      </c>
      <c r="G112" t="inlineStr">
        <is>
          <t>Documentos de investigación</t>
        </is>
      </c>
      <c r="H112" t="inlineStr">
        <is>
          <t>Corresponde a las investigaciones en áreas culturales y artísticas.</t>
        </is>
      </c>
      <c r="I112" t="inlineStr">
        <is>
          <t>2024258990056</t>
        </is>
      </c>
      <c r="J112" s="99">
        <v>89155164.5702</v>
      </c>
      <c r="K112" s="99">
        <v>0</v>
      </c>
      <c r="L112" s="99">
        <v>30831015.6</v>
      </c>
      <c r="M112" s="99">
        <v>28705157.189</v>
      </c>
      <c r="N112" s="99">
        <v>29618991.7812</v>
      </c>
      <c r="O112" s="99" t="inlineStr">
        <is>
          <t xml:space="preserve"> </t>
        </is>
      </c>
      <c r="P112" s="99" t="inlineStr">
        <is>
          <t xml:space="preserve"> </t>
        </is>
      </c>
      <c r="Q112" s="99" t="inlineStr">
        <is>
          <t xml:space="preserve"> </t>
        </is>
      </c>
      <c r="R112" s="100" t="inlineStr">
        <is>
          <t xml:space="preserve"> </t>
        </is>
      </c>
      <c r="S112" t="inlineStr">
        <is>
          <t>No se encontró ejecución en CUIPO</t>
        </is>
      </c>
      <c r="T112" s="101" t="inlineStr">
        <is>
          <t xml:space="preserve"> </t>
        </is>
      </c>
      <c r="U112" s="101" t="inlineStr">
        <is>
          <t xml:space="preserve"> </t>
        </is>
      </c>
      <c r="V112" s="101" t="inlineStr">
        <is>
          <t xml:space="preserve"> </t>
        </is>
      </c>
      <c r="W112" s="102" t="inlineStr">
        <is>
          <t xml:space="preserve"> </t>
        </is>
      </c>
      <c r="X112" t="inlineStr">
        <is>
          <t>No se encontró ejecución en CUIPO</t>
        </is>
      </c>
    </row>
    <row r="113">
      <c r="A113" t="inlineStr">
        <is>
          <t>IP-246, IP-47</t>
        </is>
      </c>
      <c r="B113" t="inlineStr">
        <is>
          <t>33</t>
        </is>
      </c>
      <c r="C113" t="inlineStr">
        <is>
          <t>Cultura</t>
        </is>
      </c>
      <c r="D113" t="inlineStr">
        <is>
          <t>3301</t>
        </is>
      </c>
      <c r="E113" t="inlineStr">
        <is>
          <t>Promoción y acceso efectivo a procesos culturales y artísticos</t>
        </is>
      </c>
      <c r="F113" t="inlineStr">
        <is>
          <t>3301051</t>
        </is>
      </c>
      <c r="G113" t="inlineStr">
        <is>
          <t>Servicio de educación informal al sector artístico y cultural</t>
        </is>
      </c>
      <c r="H113" t="inlineStr">
        <is>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is>
      </c>
      <c r="I113" t="inlineStr">
        <is>
          <t>2024258990056</t>
        </is>
      </c>
      <c r="J113" s="99">
        <v>594382820</v>
      </c>
      <c r="K113" s="99">
        <v>334382820</v>
      </c>
      <c r="L113" s="99">
        <v>260000000</v>
      </c>
      <c r="M113" s="99">
        <v>0</v>
      </c>
      <c r="N113" s="99">
        <v>0</v>
      </c>
      <c r="O113" s="99">
        <v>128299680</v>
      </c>
      <c r="P113" s="99">
        <v>128299680</v>
      </c>
      <c r="Q113" s="99">
        <v>128299680</v>
      </c>
      <c r="R113" s="100">
        <v>0.383691004220851</v>
      </c>
      <c r="S113" t="inlineStr">
        <is>
          <t>Lo obligado está por debajo de lo programado en la vigencia</t>
        </is>
      </c>
      <c r="T113" s="101" t="inlineStr">
        <is>
          <t xml:space="preserve"> </t>
        </is>
      </c>
      <c r="U113" s="101" t="inlineStr">
        <is>
          <t xml:space="preserve"> </t>
        </is>
      </c>
      <c r="V113" s="101" t="inlineStr">
        <is>
          <t xml:space="preserve"> </t>
        </is>
      </c>
      <c r="W113" s="102" t="inlineStr">
        <is>
          <t xml:space="preserve"> </t>
        </is>
      </c>
      <c r="X113" t="inlineStr">
        <is>
          <t>No se encontró ejecución en CUIPO</t>
        </is>
      </c>
    </row>
    <row r="114">
      <c r="A114" t="inlineStr">
        <is>
          <t>IP-247, IP-48</t>
        </is>
      </c>
      <c r="B114" t="inlineStr">
        <is>
          <t>33</t>
        </is>
      </c>
      <c r="C114" t="inlineStr">
        <is>
          <t>Cultura</t>
        </is>
      </c>
      <c r="D114" t="inlineStr">
        <is>
          <t>3301</t>
        </is>
      </c>
      <c r="E114" t="inlineStr">
        <is>
          <t>Promoción y acceso efectivo a procesos culturales y artísticos</t>
        </is>
      </c>
      <c r="F114" t="inlineStr">
        <is>
          <t>3301099</t>
        </is>
      </c>
      <c r="G114" t="inlineStr">
        <is>
          <t>Servicio de información para el sector artístico y cultural</t>
        </is>
      </c>
      <c r="H114" t="inlineStr">
        <is>
          <t>Estructuración de sistemas de información del sector cultural; incluye los sistemas para captura de información para el sector artístico y cultural.</t>
        </is>
      </c>
      <c r="I114" t="inlineStr">
        <is>
          <t>2024258990056</t>
        </is>
      </c>
      <c r="J114" s="99">
        <v>233243524.4392</v>
      </c>
      <c r="K114" s="99">
        <v>44520000</v>
      </c>
      <c r="L114" s="99">
        <v>150888800</v>
      </c>
      <c r="M114" s="99">
        <v>18620961.1526</v>
      </c>
      <c r="N114" s="99">
        <v>19213763.2866</v>
      </c>
      <c r="O114" s="99">
        <v>29260000</v>
      </c>
      <c r="P114" s="99">
        <v>29260000</v>
      </c>
      <c r="Q114" s="99">
        <v>29260000</v>
      </c>
      <c r="R114" s="100">
        <v>0.657232704402516</v>
      </c>
      <c r="S114" t="inlineStr">
        <is>
          <t>Lo obligado está por debajo de lo programado en la vigencia</t>
        </is>
      </c>
      <c r="T114" s="101" t="inlineStr">
        <is>
          <t xml:space="preserve"> </t>
        </is>
      </c>
      <c r="U114" s="101" t="inlineStr">
        <is>
          <t xml:space="preserve"> </t>
        </is>
      </c>
      <c r="V114" s="101" t="inlineStr">
        <is>
          <t xml:space="preserve"> </t>
        </is>
      </c>
      <c r="W114" s="102" t="inlineStr">
        <is>
          <t xml:space="preserve"> </t>
        </is>
      </c>
      <c r="X114" t="inlineStr">
        <is>
          <t>No se encontró ejecución en CUIPO</t>
        </is>
      </c>
    </row>
    <row r="115">
      <c r="A115" t="inlineStr">
        <is>
          <t>IP-251, IP-52</t>
        </is>
      </c>
      <c r="B115" t="inlineStr">
        <is>
          <t>33</t>
        </is>
      </c>
      <c r="C115" t="inlineStr">
        <is>
          <t>Cultura</t>
        </is>
      </c>
      <c r="D115" t="inlineStr">
        <is>
          <t>3301</t>
        </is>
      </c>
      <c r="E115" t="inlineStr">
        <is>
          <t>Promoción y acceso efectivo a procesos culturales y artísticos</t>
        </is>
      </c>
      <c r="F115" t="inlineStr">
        <is>
          <t>3301075</t>
        </is>
      </c>
      <c r="G115" t="inlineStr">
        <is>
          <t>Bibliotecas construidas y dotadas</t>
        </is>
      </c>
      <c r="H115" t="inlineStr">
        <is>
          <t xml:space="preserve">Son todas aquellas infraestructuras culturales que se construyan en un predio o terreno donde no existen elementos o construcciones previstas. 
</t>
        </is>
      </c>
      <c r="I115" t="inlineStr">
        <is>
          <t>2024258990056</t>
        </is>
      </c>
      <c r="J115" s="99">
        <v>20000000</v>
      </c>
      <c r="K115" s="99">
        <v>0</v>
      </c>
      <c r="L115" s="99">
        <v>20000000</v>
      </c>
      <c r="M115" s="99">
        <v>0</v>
      </c>
      <c r="N115" s="99">
        <v>0</v>
      </c>
      <c r="O115" s="99" t="inlineStr">
        <is>
          <t xml:space="preserve"> </t>
        </is>
      </c>
      <c r="P115" s="99" t="inlineStr">
        <is>
          <t xml:space="preserve"> </t>
        </is>
      </c>
      <c r="Q115" s="99" t="inlineStr">
        <is>
          <t xml:space="preserve"> </t>
        </is>
      </c>
      <c r="R115" s="100" t="inlineStr">
        <is>
          <t xml:space="preserve"> </t>
        </is>
      </c>
      <c r="S115" t="inlineStr">
        <is>
          <t>No se encontró ejecución en CUIPO</t>
        </is>
      </c>
      <c r="T115" s="101" t="inlineStr">
        <is>
          <t xml:space="preserve"> </t>
        </is>
      </c>
      <c r="U115" s="101" t="inlineStr">
        <is>
          <t xml:space="preserve"> </t>
        </is>
      </c>
      <c r="V115" s="101" t="inlineStr">
        <is>
          <t xml:space="preserve"> </t>
        </is>
      </c>
      <c r="W115" s="102" t="inlineStr">
        <is>
          <t xml:space="preserve"> </t>
        </is>
      </c>
      <c r="X115" t="inlineStr">
        <is>
          <t>No se encontró ejecución en CUIPO</t>
        </is>
      </c>
    </row>
    <row r="116">
      <c r="A116" t="inlineStr">
        <is>
          <t>IP-253, IP-54</t>
        </is>
      </c>
      <c r="B116" t="inlineStr">
        <is>
          <t>33</t>
        </is>
      </c>
      <c r="C116" t="inlineStr">
        <is>
          <t>Cultura</t>
        </is>
      </c>
      <c r="D116" t="inlineStr">
        <is>
          <t>3301</t>
        </is>
      </c>
      <c r="E116" t="inlineStr">
        <is>
          <t>Promoción y acceso efectivo a procesos culturales y artísticos</t>
        </is>
      </c>
      <c r="F116" t="inlineStr">
        <is>
          <t>3301003</t>
        </is>
      </c>
      <c r="G116" t="inlineStr">
        <is>
          <t>Bibliotecas adecuadas</t>
        </is>
      </c>
      <c r="H116" t="inlineStr">
        <is>
          <t>Cambio del uso de la infraestructura cultural o parte de ella, garantizando la permanencia del inmueble original.</t>
        </is>
      </c>
      <c r="I116" t="inlineStr">
        <is>
          <t>2024258990056</t>
        </is>
      </c>
      <c r="J116" s="99">
        <v>106000000</v>
      </c>
      <c r="K116" s="99">
        <v>86000000</v>
      </c>
      <c r="L116" s="99">
        <v>20000000</v>
      </c>
      <c r="M116" s="99">
        <v>0</v>
      </c>
      <c r="N116" s="99">
        <v>0</v>
      </c>
      <c r="O116" s="99">
        <v>36385116</v>
      </c>
      <c r="P116" s="99">
        <v>36385116</v>
      </c>
      <c r="Q116" s="99">
        <v>36385116</v>
      </c>
      <c r="R116" s="100">
        <v>0.423082744186047</v>
      </c>
      <c r="S116" t="inlineStr">
        <is>
          <t>Lo obligado está por debajo de lo programado en la vigencia</t>
        </is>
      </c>
      <c r="T116" s="101">
        <v>20157675569</v>
      </c>
      <c r="U116" s="101">
        <v>2011538993</v>
      </c>
      <c r="V116" s="101">
        <v>2011538993</v>
      </c>
      <c r="W116" s="102">
        <v>100.57694965</v>
      </c>
      <c r="X116" t="inlineStr">
        <is>
          <t>Hubo ejecución por encima de lo programado en SisPT</t>
        </is>
      </c>
    </row>
    <row r="117">
      <c r="A117" t="inlineStr">
        <is>
          <t>IP-254, IP-55</t>
        </is>
      </c>
      <c r="B117" t="inlineStr">
        <is>
          <t>33</t>
        </is>
      </c>
      <c r="C117" t="inlineStr">
        <is>
          <t>Cultura</t>
        </is>
      </c>
      <c r="D117" t="inlineStr">
        <is>
          <t>3301</t>
        </is>
      </c>
      <c r="E117" t="inlineStr">
        <is>
          <t>Promoción y acceso efectivo a procesos culturales y artísticos</t>
        </is>
      </c>
      <c r="F117" t="inlineStr">
        <is>
          <t>3301098</t>
        </is>
      </c>
      <c r="G117" t="inlineStr">
        <is>
          <t>Servicio de acceso a materiales de lectura</t>
        </is>
      </c>
      <c r="H117" t="inlineStr">
        <is>
          <t>Dotación de las bibliotecas públicas con actualizaciones, suscripciones a periódicos y revistas, publicaciones digitales, entre otros materiales de lectura adquiridos para el acceso del público.</t>
        </is>
      </c>
      <c r="I117" t="inlineStr">
        <is>
          <t>2024258990056</t>
        </is>
      </c>
      <c r="J117" s="99">
        <v>128000000</v>
      </c>
      <c r="K117" s="99">
        <v>120000000</v>
      </c>
      <c r="L117" s="99">
        <v>8000000</v>
      </c>
      <c r="M117" s="99">
        <v>0</v>
      </c>
      <c r="N117" s="99">
        <v>0</v>
      </c>
      <c r="O117" s="99">
        <v>60000000</v>
      </c>
      <c r="P117" s="99">
        <v>60000000</v>
      </c>
      <c r="Q117" s="99">
        <v>60000000</v>
      </c>
      <c r="R117" s="100">
        <v>0.5</v>
      </c>
      <c r="S117" t="inlineStr">
        <is>
          <t>Lo obligado está por debajo de lo programado en la vigencia</t>
        </is>
      </c>
      <c r="T117" s="101" t="inlineStr">
        <is>
          <t xml:space="preserve"> </t>
        </is>
      </c>
      <c r="U117" s="101" t="inlineStr">
        <is>
          <t xml:space="preserve"> </t>
        </is>
      </c>
      <c r="V117" s="101" t="inlineStr">
        <is>
          <t xml:space="preserve"> </t>
        </is>
      </c>
      <c r="W117" s="102" t="inlineStr">
        <is>
          <t xml:space="preserve"> </t>
        </is>
      </c>
      <c r="X117" t="inlineStr">
        <is>
          <t>No se encontró ejecución en CUIPO</t>
        </is>
      </c>
    </row>
    <row r="118">
      <c r="A118" t="inlineStr">
        <is>
          <t>IP-255, IP-56</t>
        </is>
      </c>
      <c r="B118" t="inlineStr">
        <is>
          <t>33</t>
        </is>
      </c>
      <c r="C118" t="inlineStr">
        <is>
          <t>Cultura</t>
        </is>
      </c>
      <c r="D118" t="inlineStr">
        <is>
          <t>3301</t>
        </is>
      </c>
      <c r="E118" t="inlineStr">
        <is>
          <t>Promoción y acceso efectivo a procesos culturales y artísticos</t>
        </is>
      </c>
      <c r="F118" t="inlineStr">
        <is>
          <t>3301065</t>
        </is>
      </c>
      <c r="G118" t="inlineStr">
        <is>
          <t>Servicio de asistencia técnica en asuntos de gestión de bibliotecas públicas y lectura.</t>
        </is>
      </c>
      <c r="H118" t="inlineStr">
        <is>
          <t>Asistencias técnicas a bibliotecarios, administraciones locales, entidades públicas y privadas entre otros, en el campo de las bibliotecas públicas y la lectura.</t>
        </is>
      </c>
      <c r="I118" t="inlineStr">
        <is>
          <t>2024258990056</t>
        </is>
      </c>
      <c r="J118" s="99">
        <v>38000000</v>
      </c>
      <c r="K118" s="99">
        <v>20000000</v>
      </c>
      <c r="L118" s="99">
        <v>18000000</v>
      </c>
      <c r="M118" s="99">
        <v>0</v>
      </c>
      <c r="N118" s="99">
        <v>0</v>
      </c>
      <c r="O118" s="99" t="inlineStr">
        <is>
          <t xml:space="preserve"> </t>
        </is>
      </c>
      <c r="P118" s="99" t="inlineStr">
        <is>
          <t xml:space="preserve"> </t>
        </is>
      </c>
      <c r="Q118" s="99" t="inlineStr">
        <is>
          <t xml:space="preserve"> </t>
        </is>
      </c>
      <c r="R118" s="100" t="inlineStr">
        <is>
          <t xml:space="preserve"> </t>
        </is>
      </c>
      <c r="S118" t="inlineStr">
        <is>
          <t>No se encontró ejecución en CUIPO</t>
        </is>
      </c>
      <c r="T118" s="101" t="inlineStr">
        <is>
          <t xml:space="preserve"> </t>
        </is>
      </c>
      <c r="U118" s="101" t="inlineStr">
        <is>
          <t xml:space="preserve"> </t>
        </is>
      </c>
      <c r="V118" s="101" t="inlineStr">
        <is>
          <t xml:space="preserve"> </t>
        </is>
      </c>
      <c r="W118" s="102" t="inlineStr">
        <is>
          <t xml:space="preserve"> </t>
        </is>
      </c>
      <c r="X118" t="inlineStr">
        <is>
          <t>No se encontró ejecución en CUIPO</t>
        </is>
      </c>
    </row>
    <row r="119">
      <c r="A119" t="inlineStr">
        <is>
          <t>IP-256, IP-57</t>
        </is>
      </c>
      <c r="B119" t="inlineStr">
        <is>
          <t>33</t>
        </is>
      </c>
      <c r="C119" t="inlineStr">
        <is>
          <t>Cultura</t>
        </is>
      </c>
      <c r="D119" t="inlineStr">
        <is>
          <t>3301</t>
        </is>
      </c>
      <c r="E119" t="inlineStr">
        <is>
          <t>Promoción y acceso efectivo a procesos culturales y artísticos</t>
        </is>
      </c>
      <c r="F119" t="inlineStr">
        <is>
          <t>3301085</t>
        </is>
      </c>
      <c r="G119" t="inlineStr">
        <is>
          <t>Servicios bibliotecarios</t>
        </is>
      </c>
      <c r="H119" t="inlineStr">
        <is>
          <t>Conjunto de actividades desarrolladas en una biblioteca, con el fin de facilitar y promover la disponibilidad y el acceso a la información y a la cultura con estándares de calidad, pertinencia y oportunidad.   </t>
        </is>
      </c>
      <c r="I119" t="inlineStr">
        <is>
          <t>2024258990056</t>
        </is>
      </c>
      <c r="J119" s="99">
        <v>52400000</v>
      </c>
      <c r="K119" s="99">
        <v>8400000</v>
      </c>
      <c r="L119" s="99">
        <v>44000000</v>
      </c>
      <c r="M119" s="99">
        <v>0</v>
      </c>
      <c r="N119" s="99">
        <v>0</v>
      </c>
      <c r="O119" s="99">
        <v>4200000</v>
      </c>
      <c r="P119" s="99">
        <v>4200000</v>
      </c>
      <c r="Q119" s="99">
        <v>4200000</v>
      </c>
      <c r="R119" s="100">
        <v>0.5</v>
      </c>
      <c r="S119" t="inlineStr">
        <is>
          <t>Lo obligado está por debajo de lo programado en la vigencia</t>
        </is>
      </c>
      <c r="T119" s="101" t="inlineStr">
        <is>
          <t xml:space="preserve"> </t>
        </is>
      </c>
      <c r="U119" s="101" t="inlineStr">
        <is>
          <t xml:space="preserve"> </t>
        </is>
      </c>
      <c r="V119" s="101" t="inlineStr">
        <is>
          <t xml:space="preserve"> </t>
        </is>
      </c>
      <c r="W119" s="102" t="inlineStr">
        <is>
          <t xml:space="preserve"> </t>
        </is>
      </c>
      <c r="X119" t="inlineStr">
        <is>
          <t>No se encontró ejecución en CUIPO</t>
        </is>
      </c>
    </row>
    <row r="120">
      <c r="A120" t="inlineStr">
        <is>
          <t>IP-257, IP-58</t>
        </is>
      </c>
      <c r="B120" t="inlineStr">
        <is>
          <t>33</t>
        </is>
      </c>
      <c r="C120" t="inlineStr">
        <is>
          <t>Cultura</t>
        </is>
      </c>
      <c r="D120" t="inlineStr">
        <is>
          <t>3301</t>
        </is>
      </c>
      <c r="E120" t="inlineStr">
        <is>
          <t>Promoción y acceso efectivo a procesos culturales y artísticos</t>
        </is>
      </c>
      <c r="F120" t="inlineStr">
        <is>
          <t>3301043</t>
        </is>
      </c>
      <c r="G120" t="inlineStr">
        <is>
          <t>Museos adecuados</t>
        </is>
      </c>
      <c r="H120" t="inlineStr">
        <is>
          <t>Cambio del uso de la infraestructura cultural o parte de ella, garantizando la permanencia del inmueble original.</t>
        </is>
      </c>
      <c r="I120" t="inlineStr">
        <is>
          <t>2024258990056</t>
        </is>
      </c>
      <c r="J120" s="99">
        <v>0</v>
      </c>
      <c r="K120" s="99">
        <v>0</v>
      </c>
      <c r="L120" s="99">
        <v>0</v>
      </c>
      <c r="M120" s="99">
        <v>0</v>
      </c>
      <c r="N120" s="99">
        <v>0</v>
      </c>
      <c r="O120" s="99" t="inlineStr">
        <is>
          <t xml:space="preserve"> </t>
        </is>
      </c>
      <c r="P120" s="99" t="inlineStr">
        <is>
          <t xml:space="preserve"> </t>
        </is>
      </c>
      <c r="Q120" s="99" t="inlineStr">
        <is>
          <t xml:space="preserve"> </t>
        </is>
      </c>
      <c r="R120" s="100" t="inlineStr">
        <is>
          <t xml:space="preserve"> </t>
        </is>
      </c>
      <c r="S120" t="inlineStr">
        <is>
          <t>No se encontró ejecución en CUIPO</t>
        </is>
      </c>
      <c r="T120" s="101" t="inlineStr">
        <is>
          <t xml:space="preserve"> </t>
        </is>
      </c>
      <c r="U120" s="101" t="inlineStr">
        <is>
          <t xml:space="preserve"> </t>
        </is>
      </c>
      <c r="V120" s="101" t="inlineStr">
        <is>
          <t xml:space="preserve"> </t>
        </is>
      </c>
      <c r="W120" s="102" t="inlineStr">
        <is>
          <t xml:space="preserve"> </t>
        </is>
      </c>
      <c r="X120" t="inlineStr">
        <is>
          <t>No se encontró ejecución en CUIPO</t>
        </is>
      </c>
    </row>
    <row r="121">
      <c r="A121" t="inlineStr">
        <is>
          <t>IP-258, IP-59</t>
        </is>
      </c>
      <c r="B121" t="inlineStr">
        <is>
          <t>33</t>
        </is>
      </c>
      <c r="C121" t="inlineStr">
        <is>
          <t>Cultura</t>
        </is>
      </c>
      <c r="D121" t="inlineStr">
        <is>
          <t>3302</t>
        </is>
      </c>
      <c r="E121" t="inlineStr">
        <is>
          <t>Gestión, protección y salvaguardia del patrimonio cultural colombiano</t>
        </is>
      </c>
      <c r="F121" t="inlineStr">
        <is>
          <t>3302002</t>
        </is>
      </c>
      <c r="G121" t="inlineStr">
        <is>
          <t>Documentos de lineamientos técnicos</t>
        </is>
      </c>
      <c r="H121" t="inlineStr">
        <is>
          <t>Documentos cuyo objetivo es describir y explicar instrumentos, estándares, requisitos y condiciones necesarias para llevar a cabo un proceso o actividad.</t>
        </is>
      </c>
      <c r="I121" t="inlineStr">
        <is>
          <t>2024258990057</t>
        </is>
      </c>
      <c r="J121" s="99">
        <v>35000000</v>
      </c>
      <c r="K121" s="99">
        <v>0</v>
      </c>
      <c r="L121" s="99">
        <v>35000000</v>
      </c>
      <c r="M121" s="99">
        <v>0</v>
      </c>
      <c r="N121" s="99">
        <v>0</v>
      </c>
      <c r="O121" s="99" t="inlineStr">
        <is>
          <t xml:space="preserve"> </t>
        </is>
      </c>
      <c r="P121" s="99" t="inlineStr">
        <is>
          <t xml:space="preserve"> </t>
        </is>
      </c>
      <c r="Q121" s="99" t="inlineStr">
        <is>
          <t xml:space="preserve"> </t>
        </is>
      </c>
      <c r="R121" s="100" t="inlineStr">
        <is>
          <t xml:space="preserve"> </t>
        </is>
      </c>
      <c r="S121" t="inlineStr">
        <is>
          <t>No se encontró ejecución en CUIPO</t>
        </is>
      </c>
      <c r="T121" s="101" t="inlineStr">
        <is>
          <t xml:space="preserve"> </t>
        </is>
      </c>
      <c r="U121" s="101" t="inlineStr">
        <is>
          <t xml:space="preserve"> </t>
        </is>
      </c>
      <c r="V121" s="101" t="inlineStr">
        <is>
          <t xml:space="preserve"> </t>
        </is>
      </c>
      <c r="W121" s="102" t="inlineStr">
        <is>
          <t xml:space="preserve"> </t>
        </is>
      </c>
      <c r="X121" t="inlineStr">
        <is>
          <t>No se encontró ejecución en CUIPO</t>
        </is>
      </c>
    </row>
    <row r="122">
      <c r="A122" t="inlineStr">
        <is>
          <t>IP-259, IP-60</t>
        </is>
      </c>
      <c r="B122" t="inlineStr">
        <is>
          <t>33</t>
        </is>
      </c>
      <c r="C122" t="inlineStr">
        <is>
          <t>Cultura</t>
        </is>
      </c>
      <c r="D122" t="inlineStr">
        <is>
          <t>3302</t>
        </is>
      </c>
      <c r="E122" t="inlineStr">
        <is>
          <t>Gestión, protección y salvaguardia del patrimonio cultural colombiano</t>
        </is>
      </c>
      <c r="F122" t="inlineStr">
        <is>
          <t>3302001</t>
        </is>
      </c>
      <c r="G122" t="inlineStr">
        <is>
          <t>Documentos Investigación</t>
        </is>
      </c>
      <c r="H122" t="inlineStr">
        <is>
          <t>Documentos cuyo objetivo es describir y explicar instrumentos, estándares, requisitos y condiciones necesarias para llevar a cabo un proceso o actividad.</t>
        </is>
      </c>
      <c r="I122" t="inlineStr">
        <is>
          <t>2024258990057</t>
        </is>
      </c>
      <c r="J122" s="99">
        <v>55000000</v>
      </c>
      <c r="K122" s="99">
        <v>20000000</v>
      </c>
      <c r="L122" s="99">
        <v>35000000</v>
      </c>
      <c r="M122" s="99">
        <v>0</v>
      </c>
      <c r="N122" s="99">
        <v>0</v>
      </c>
      <c r="O122" s="99">
        <v>10000000</v>
      </c>
      <c r="P122" s="99">
        <v>10000000</v>
      </c>
      <c r="Q122" s="99">
        <v>10000000</v>
      </c>
      <c r="R122" s="100">
        <v>0.5</v>
      </c>
      <c r="S122" t="inlineStr">
        <is>
          <t>Lo obligado está por debajo de lo programado en la vigencia</t>
        </is>
      </c>
      <c r="T122" s="101" t="inlineStr">
        <is>
          <t xml:space="preserve"> </t>
        </is>
      </c>
      <c r="U122" s="101" t="inlineStr">
        <is>
          <t xml:space="preserve"> </t>
        </is>
      </c>
      <c r="V122" s="101" t="inlineStr">
        <is>
          <t xml:space="preserve"> </t>
        </is>
      </c>
      <c r="W122" s="102" t="inlineStr">
        <is>
          <t xml:space="preserve"> </t>
        </is>
      </c>
      <c r="X122" t="inlineStr">
        <is>
          <t>No se encontró ejecución en CUIPO</t>
        </is>
      </c>
    </row>
    <row r="123">
      <c r="A123" t="inlineStr">
        <is>
          <t>IP-260, IP-61</t>
        </is>
      </c>
      <c r="B123" t="inlineStr">
        <is>
          <t>33</t>
        </is>
      </c>
      <c r="C123" t="inlineStr">
        <is>
          <t>Cultura</t>
        </is>
      </c>
      <c r="D123" t="inlineStr">
        <is>
          <t>3302</t>
        </is>
      </c>
      <c r="E123" t="inlineStr">
        <is>
          <t>Gestión, protección y salvaguardia del patrimonio cultural colombiano</t>
        </is>
      </c>
      <c r="F123" t="inlineStr">
        <is>
          <t>3302073</t>
        </is>
      </c>
      <c r="G123" t="inlineStr">
        <is>
          <t>Servicios de restauración del patrimonio cultural material inmueble</t>
        </is>
      </c>
      <c r="H123" t="inlineStr">
        <is>
          <t>Hace referencia a intervenciones de restauración integral de bienes inmuebles de interés cultural con el fin de mantener el buen estado de la infraestructura.</t>
        </is>
      </c>
      <c r="I123" t="inlineStr">
        <is>
          <t>2024258990057</t>
        </is>
      </c>
      <c r="J123" s="99">
        <v>635638366</v>
      </c>
      <c r="K123" s="99">
        <v>35313614</v>
      </c>
      <c r="L123" s="99">
        <v>600324752</v>
      </c>
      <c r="M123" s="99">
        <v>0</v>
      </c>
      <c r="N123" s="99">
        <v>0</v>
      </c>
      <c r="O123" s="99">
        <v>0</v>
      </c>
      <c r="P123" s="99">
        <v>0</v>
      </c>
      <c r="Q123" s="99">
        <v>0</v>
      </c>
      <c r="R123" s="100">
        <v>0</v>
      </c>
      <c r="S123" t="inlineStr">
        <is>
          <t>No se ejecutó en la vigencia</t>
        </is>
      </c>
      <c r="T123" s="101" t="inlineStr">
        <is>
          <t xml:space="preserve"> </t>
        </is>
      </c>
      <c r="U123" s="101" t="inlineStr">
        <is>
          <t xml:space="preserve"> </t>
        </is>
      </c>
      <c r="V123" s="101" t="inlineStr">
        <is>
          <t xml:space="preserve"> </t>
        </is>
      </c>
      <c r="W123" s="102" t="inlineStr">
        <is>
          <t xml:space="preserve"> </t>
        </is>
      </c>
      <c r="X123" t="inlineStr">
        <is>
          <t>No se encontró ejecución en CUIPO</t>
        </is>
      </c>
    </row>
    <row r="124">
      <c r="A124" t="inlineStr">
        <is>
          <t>IP-261, IP-62</t>
        </is>
      </c>
      <c r="B124" t="inlineStr">
        <is>
          <t>33</t>
        </is>
      </c>
      <c r="C124" t="inlineStr">
        <is>
          <t>Cultura</t>
        </is>
      </c>
      <c r="D124" t="inlineStr">
        <is>
          <t>3302</t>
        </is>
      </c>
      <c r="E124" t="inlineStr">
        <is>
          <t>Gestión, protección y salvaguardia del patrimonio cultural colombiano</t>
        </is>
      </c>
      <c r="F124" t="inlineStr">
        <is>
          <t>3302019</t>
        </is>
      </c>
      <c r="G124" t="inlineStr">
        <is>
          <t>Servicio de educación informal a Vigías del Patrimonio</t>
        </is>
      </c>
      <c r="H124" t="inlineStr">
        <is>
          <t>Hace referencia a las actividades que se llevan a cabo fuera del ámbito escolar, que buscan desarrollar competencias y facultades de los individuos ofrecidas en el marco del programa nacional de vigías del patrimonio</t>
        </is>
      </c>
      <c r="I124" t="inlineStr">
        <is>
          <t>2024258990057</t>
        </is>
      </c>
      <c r="J124" s="99">
        <v>39639878</v>
      </c>
      <c r="K124" s="99">
        <v>0</v>
      </c>
      <c r="L124" s="99">
        <v>39639878</v>
      </c>
      <c r="M124" s="99">
        <v>0</v>
      </c>
      <c r="N124" s="99">
        <v>0</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t="inlineStr">
        <is>
          <t xml:space="preserve"> </t>
        </is>
      </c>
      <c r="U124" s="101" t="inlineStr">
        <is>
          <t xml:space="preserve"> </t>
        </is>
      </c>
      <c r="V124" s="101" t="inlineStr">
        <is>
          <t xml:space="preserve"> </t>
        </is>
      </c>
      <c r="W124" s="102" t="inlineStr">
        <is>
          <t xml:space="preserve"> </t>
        </is>
      </c>
      <c r="X124" t="inlineStr">
        <is>
          <t>No se encontró ejecución en CUIPO</t>
        </is>
      </c>
    </row>
    <row r="125">
      <c r="A125" t="inlineStr">
        <is>
          <t>IP-262, IP-63</t>
        </is>
      </c>
      <c r="B125" t="inlineStr">
        <is>
          <t>33</t>
        </is>
      </c>
      <c r="C125" t="inlineStr">
        <is>
          <t>Cultura</t>
        </is>
      </c>
      <c r="D125" t="inlineStr">
        <is>
          <t>3302</t>
        </is>
      </c>
      <c r="E125" t="inlineStr">
        <is>
          <t>Gestión, protección y salvaguardia del patrimonio cultural colombiano</t>
        </is>
      </c>
      <c r="F125" t="inlineStr">
        <is>
          <t>3302049</t>
        </is>
      </c>
      <c r="G125" t="inlineStr">
        <is>
          <t>Servicio de salvaguardia al patrimonio inmaterial</t>
        </is>
      </c>
      <c r="H125" t="inlineStr">
        <is>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is>
      </c>
      <c r="I125" t="inlineStr">
        <is>
          <t>2024258990057</t>
        </is>
      </c>
      <c r="J125" s="99">
        <v>20000000</v>
      </c>
      <c r="K125" s="99">
        <v>0</v>
      </c>
      <c r="L125" s="99">
        <v>20000000</v>
      </c>
      <c r="M125" s="99">
        <v>0</v>
      </c>
      <c r="N125" s="99">
        <v>0</v>
      </c>
      <c r="O125" s="99" t="inlineStr">
        <is>
          <t xml:space="preserve"> </t>
        </is>
      </c>
      <c r="P125" s="99" t="inlineStr">
        <is>
          <t xml:space="preserve"> </t>
        </is>
      </c>
      <c r="Q125" s="99" t="inlineStr">
        <is>
          <t xml:space="preserve"> </t>
        </is>
      </c>
      <c r="R125" s="100" t="inlineStr">
        <is>
          <t xml:space="preserve"> </t>
        </is>
      </c>
      <c r="S125" t="inlineStr">
        <is>
          <t>No se encontró ejecución en CUIPO</t>
        </is>
      </c>
      <c r="T125" s="101" t="inlineStr">
        <is>
          <t xml:space="preserve"> </t>
        </is>
      </c>
      <c r="U125" s="101" t="inlineStr">
        <is>
          <t xml:space="preserve"> </t>
        </is>
      </c>
      <c r="V125" s="101" t="inlineStr">
        <is>
          <t xml:space="preserve"> </t>
        </is>
      </c>
      <c r="W125" s="102" t="inlineStr">
        <is>
          <t xml:space="preserve"> </t>
        </is>
      </c>
      <c r="X125" t="inlineStr">
        <is>
          <t>No se encontró ejecución en CUIPO</t>
        </is>
      </c>
    </row>
    <row r="126">
      <c r="A126" t="inlineStr">
        <is>
          <t>IP-263, IP-64</t>
        </is>
      </c>
      <c r="B126" t="inlineStr">
        <is>
          <t>33</t>
        </is>
      </c>
      <c r="C126" t="inlineStr">
        <is>
          <t>Cultura</t>
        </is>
      </c>
      <c r="D126" t="inlineStr">
        <is>
          <t>3302</t>
        </is>
      </c>
      <c r="E126" t="inlineStr">
        <is>
          <t>Gestión, protección y salvaguardia del patrimonio cultural colombiano</t>
        </is>
      </c>
      <c r="F126" t="inlineStr">
        <is>
          <t>3302004</t>
        </is>
      </c>
      <c r="G126" t="inlineStr">
        <is>
          <t>Servicio de exposiciones</t>
        </is>
      </c>
      <c r="H126" t="inlineStr">
        <is>
          <t>Corresponde a las exposiciones exhibidas en las instalaciones del Museo Nacional y en otras ciudades. También corresponde a exposiciones de documentos históricos para divulgación y sensibilización sobre el patrimonio documental</t>
        </is>
      </c>
      <c r="I126" t="inlineStr">
        <is>
          <t>2024258990057</t>
        </is>
      </c>
      <c r="J126" s="99">
        <v>0</v>
      </c>
      <c r="K126" s="99">
        <v>0</v>
      </c>
      <c r="L126" s="99">
        <v>0</v>
      </c>
      <c r="M126" s="99">
        <v>0</v>
      </c>
      <c r="N126" s="99">
        <v>0</v>
      </c>
      <c r="O126" s="99" t="inlineStr">
        <is>
          <t xml:space="preserve"> </t>
        </is>
      </c>
      <c r="P126" s="99" t="inlineStr">
        <is>
          <t xml:space="preserve"> </t>
        </is>
      </c>
      <c r="Q126" s="99" t="inlineStr">
        <is>
          <t xml:space="preserve"> </t>
        </is>
      </c>
      <c r="R126" s="100" t="inlineStr">
        <is>
          <t xml:space="preserve"> </t>
        </is>
      </c>
      <c r="S126" t="inlineStr">
        <is>
          <t>No se encontró ejecución en CUIPO</t>
        </is>
      </c>
      <c r="T126" s="101" t="inlineStr">
        <is>
          <t xml:space="preserve"> </t>
        </is>
      </c>
      <c r="U126" s="101" t="inlineStr">
        <is>
          <t xml:space="preserve"> </t>
        </is>
      </c>
      <c r="V126" s="101" t="inlineStr">
        <is>
          <t xml:space="preserve"> </t>
        </is>
      </c>
      <c r="W126" s="102" t="inlineStr">
        <is>
          <t xml:space="preserve"> </t>
        </is>
      </c>
      <c r="X126" t="inlineStr">
        <is>
          <t>No se encontró ejecución en CUIPO</t>
        </is>
      </c>
    </row>
    <row r="127">
      <c r="A127" t="inlineStr">
        <is>
          <t>IP-264, IP-65</t>
        </is>
      </c>
      <c r="B127" t="inlineStr">
        <is>
          <t>43</t>
        </is>
      </c>
      <c r="C127" t="inlineStr">
        <is>
          <t>Deporte y Recreación</t>
        </is>
      </c>
      <c r="D127" t="inlineStr">
        <is>
          <t>4302</t>
        </is>
      </c>
      <c r="E127" t="inlineStr">
        <is>
          <t>Formación y preparación de deportistas</t>
        </is>
      </c>
      <c r="F127" t="inlineStr">
        <is>
          <t>4302006</t>
        </is>
      </c>
      <c r="G127" t="inlineStr">
        <is>
          <t>Documentos de planeación</t>
        </is>
      </c>
      <c r="H127" t="inlineStr">
        <is>
          <t>Documentos cuyo objetivo es plasmar una visión de futuro a nivel país, entidad territorial, comunidad, sector, región, entidad o cualquier nivel de desagregación que se requiera. Incluye objetivos, estrategias, metas e indicadores</t>
        </is>
      </c>
      <c r="I127" t="inlineStr">
        <is>
          <t>2024258990059</t>
        </is>
      </c>
      <c r="J127" s="99">
        <v>88110000</v>
      </c>
      <c r="K127" s="99">
        <v>39600000</v>
      </c>
      <c r="L127" s="99">
        <v>48510000</v>
      </c>
      <c r="M127" s="99">
        <v>0</v>
      </c>
      <c r="N127" s="99">
        <v>0</v>
      </c>
      <c r="O127" s="99" t="inlineStr">
        <is>
          <t xml:space="preserve"> </t>
        </is>
      </c>
      <c r="P127" s="99" t="inlineStr">
        <is>
          <t xml:space="preserve"> </t>
        </is>
      </c>
      <c r="Q127" s="99" t="inlineStr">
        <is>
          <t xml:space="preserve"> </t>
        </is>
      </c>
      <c r="R127" s="100" t="inlineStr">
        <is>
          <t xml:space="preserve"> </t>
        </is>
      </c>
      <c r="S127" t="inlineStr">
        <is>
          <t>No se encontró ejecución en CUIPO</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IP-265, IP-66</t>
        </is>
      </c>
      <c r="B128" t="inlineStr">
        <is>
          <t>43</t>
        </is>
      </c>
      <c r="C128" t="inlineStr">
        <is>
          <t>Deporte y Recreación</t>
        </is>
      </c>
      <c r="D128" t="inlineStr">
        <is>
          <t>4302</t>
        </is>
      </c>
      <c r="E128" t="inlineStr">
        <is>
          <t>Formación y preparación de deportistas</t>
        </is>
      </c>
      <c r="F128" t="inlineStr">
        <is>
          <t>4302075</t>
        </is>
      </c>
      <c r="G128" t="inlineStr">
        <is>
          <t>Servicio de asistencia técnica para la promoción del deporte</t>
        </is>
      </c>
      <c r="H128" t="inlineStr">
        <is>
          <t>Corresponde al fortalecimiento de las Federaciones, Clubes y Ligas deportivas en Colombia. Incluye la capacitación y formación del recurso humano técnico, de jueces y de dirigentes deportivos.</t>
        </is>
      </c>
      <c r="I128" t="inlineStr">
        <is>
          <t>2024258990059</t>
        </is>
      </c>
      <c r="J128" s="99">
        <v>323068188.886</v>
      </c>
      <c r="K128" s="99">
        <v>19640960</v>
      </c>
      <c r="L128" s="99">
        <v>105611123.26</v>
      </c>
      <c r="M128" s="99">
        <v>97470634.7444</v>
      </c>
      <c r="N128" s="99">
        <v>100345470.8816</v>
      </c>
      <c r="O128" s="99">
        <v>34307785</v>
      </c>
      <c r="P128" s="99">
        <v>34307785</v>
      </c>
      <c r="Q128" s="99">
        <v>34307785</v>
      </c>
      <c r="R128" s="100">
        <v>1.74674684944117</v>
      </c>
      <c r="S128" t="inlineStr">
        <is>
          <t>Hubo ejecución por encima de lo programado en SisPT</t>
        </is>
      </c>
      <c r="T128" s="101" t="inlineStr">
        <is>
          <t xml:space="preserve"> </t>
        </is>
      </c>
      <c r="U128" s="101" t="inlineStr">
        <is>
          <t xml:space="preserve"> </t>
        </is>
      </c>
      <c r="V128" s="101" t="inlineStr">
        <is>
          <t xml:space="preserve"> </t>
        </is>
      </c>
      <c r="W128" s="102" t="inlineStr">
        <is>
          <t xml:space="preserve"> </t>
        </is>
      </c>
      <c r="X128" t="inlineStr">
        <is>
          <t>No se encontró ejecución en CUIPO</t>
        </is>
      </c>
    </row>
    <row r="129">
      <c r="A129" t="inlineStr">
        <is>
          <t>IP-266, IP-270, IP-282, IP-67, IP-71, IP-83</t>
        </is>
      </c>
      <c r="B129" t="inlineStr">
        <is>
          <t>43</t>
        </is>
      </c>
      <c r="C129" t="inlineStr">
        <is>
          <t>Deporte y Recreación</t>
        </is>
      </c>
      <c r="D129" t="inlineStr">
        <is>
          <t>4301</t>
        </is>
      </c>
      <c r="E129" t="inlineStr">
        <is>
          <t>Fomento a la recreación, la actividad física y el deporte para desarrollar entornos de convivencia y paz</t>
        </is>
      </c>
      <c r="F129" t="inlineStr">
        <is>
          <t>4301003</t>
        </is>
      </c>
      <c r="G129" t="inlineStr">
        <is>
          <t>Servicio de administración de la infraestructura deportiva</t>
        </is>
      </c>
      <c r="H129" t="inlineStr">
        <is>
          <t>Corresponde al acceso y uso de la infraestructura deportiva para garantizar su operación por parte de las Entidades Territoriales. Implica la sostenibilidad del escenario entregado (servicios públicos, seguridad de los escenarios, garantías de la funcionalidad de la implementación deportiva necesaria para la práctica de la actividad física y  vías de acceso).</t>
        </is>
      </c>
      <c r="I129" t="inlineStr">
        <is>
          <t>2024258990058</t>
        </is>
      </c>
      <c r="J129" s="99">
        <v>119015673.8</v>
      </c>
      <c r="K129" s="99">
        <v>21088432</v>
      </c>
      <c r="L129" s="99">
        <v>97927241.8</v>
      </c>
      <c r="M129" s="99">
        <v>0</v>
      </c>
      <c r="N129" s="99">
        <v>0</v>
      </c>
      <c r="O129" s="99">
        <v>16544216</v>
      </c>
      <c r="P129" s="99">
        <v>16544216</v>
      </c>
      <c r="Q129" s="99">
        <v>16544216</v>
      </c>
      <c r="R129" s="100">
        <v>0.784516174554846</v>
      </c>
      <c r="S129" t="inlineStr">
        <is>
          <t>Lo obligado está por debajo de lo programado en la vigencia</t>
        </is>
      </c>
      <c r="T129" s="101">
        <v>1961831093</v>
      </c>
      <c r="U129" s="101">
        <v>1961831093</v>
      </c>
      <c r="V129" s="101">
        <v>1961831093</v>
      </c>
      <c r="W129" s="102">
        <v>20.0335581492912</v>
      </c>
      <c r="X129" t="inlineStr">
        <is>
          <t>Hubo ejecución por encima de lo programado en SisPT</t>
        </is>
      </c>
    </row>
    <row r="130">
      <c r="A130" t="inlineStr">
        <is>
          <t>IP-267, IP-279, IP-68, IP-80</t>
        </is>
      </c>
      <c r="B130" t="inlineStr">
        <is>
          <t>43</t>
        </is>
      </c>
      <c r="C130" t="inlineStr">
        <is>
          <t>Deporte y Recreación</t>
        </is>
      </c>
      <c r="D130" t="inlineStr">
        <is>
          <t>4302</t>
        </is>
      </c>
      <c r="E130" t="inlineStr">
        <is>
          <t>Formación y preparación de deportistas</t>
        </is>
      </c>
      <c r="F130" t="inlineStr">
        <is>
          <t>4302004</t>
        </is>
      </c>
      <c r="G130" t="inlineStr">
        <is>
          <t>Servicio de organización de eventos deportivos de alto rendimiento</t>
        </is>
      </c>
      <c r="H130" t="inlineStr">
        <is>
          <t>Corresponde a la planeación, organización y realización de eventos deportivos con sede en Colombia</t>
        </is>
      </c>
      <c r="I130" t="inlineStr">
        <is>
          <t>2024258990059</t>
        </is>
      </c>
      <c r="J130" s="99">
        <v>1348348421.2</v>
      </c>
      <c r="K130" s="99">
        <v>327762876</v>
      </c>
      <c r="L130" s="99">
        <v>1020585545.2</v>
      </c>
      <c r="M130" s="99">
        <v>0</v>
      </c>
      <c r="N130" s="99">
        <v>0</v>
      </c>
      <c r="O130" s="99">
        <v>379660278</v>
      </c>
      <c r="P130" s="99">
        <v>379660278</v>
      </c>
      <c r="Q130" s="99">
        <v>379660278</v>
      </c>
      <c r="R130" s="100">
        <v>1.15833825548931</v>
      </c>
      <c r="S130" t="inlineStr">
        <is>
          <t>Hubo ejecución por encima de lo programado en SisPT</t>
        </is>
      </c>
      <c r="T130" s="101" t="inlineStr">
        <is>
          <t xml:space="preserve"> </t>
        </is>
      </c>
      <c r="U130" s="101" t="inlineStr">
        <is>
          <t xml:space="preserve"> </t>
        </is>
      </c>
      <c r="V130" s="101" t="inlineStr">
        <is>
          <t xml:space="preserve"> </t>
        </is>
      </c>
      <c r="W130" s="102" t="inlineStr">
        <is>
          <t xml:space="preserve"> </t>
        </is>
      </c>
      <c r="X130" t="inlineStr">
        <is>
          <t>No se encontró ejecución en CUIPO</t>
        </is>
      </c>
    </row>
    <row r="131">
      <c r="A131" t="inlineStr">
        <is>
          <t>IP-268, IP-269, IP-272, IP-69, IP-70, IP-73</t>
        </is>
      </c>
      <c r="B131" t="inlineStr">
        <is>
          <t>43</t>
        </is>
      </c>
      <c r="C131" t="inlineStr">
        <is>
          <t>Deporte y Recreación</t>
        </is>
      </c>
      <c r="D131" t="inlineStr">
        <is>
          <t>4301</t>
        </is>
      </c>
      <c r="E131" t="inlineStr">
        <is>
          <t>Fomento a la recreación, la actividad física y el deporte para desarrollar entornos de convivencia y paz</t>
        </is>
      </c>
      <c r="F131" t="inlineStr">
        <is>
          <t>4301007</t>
        </is>
      </c>
      <c r="G131" t="inlineStr">
        <is>
          <t>Servicio de Escuelas Deportivas</t>
        </is>
      </c>
      <c r="H131" t="inlineStr">
        <is>
          <t>Corresponde a los procesos de iniciación, fundamentación y perfeccionamiento deportivos a partir de  las clases donde se practica la actividad física, la recreación y/o el deporte.</t>
        </is>
      </c>
      <c r="I131" t="inlineStr">
        <is>
          <t>2024258990058</t>
        </is>
      </c>
      <c r="J131" s="99">
        <v>1052813632.3154</v>
      </c>
      <c r="K131" s="99">
        <v>221328568</v>
      </c>
      <c r="L131" s="99">
        <v>434596945</v>
      </c>
      <c r="M131" s="99">
        <v>195560097.545</v>
      </c>
      <c r="N131" s="99">
        <v>201328021.7704</v>
      </c>
      <c r="O131" s="99">
        <v>224373583</v>
      </c>
      <c r="P131" s="99">
        <v>224373583</v>
      </c>
      <c r="Q131" s="99">
        <v>224373583</v>
      </c>
      <c r="R131" s="100">
        <v>1.01375789410068</v>
      </c>
      <c r="S131" t="inlineStr">
        <is>
          <t>Hubo ejecución por encima de lo programado en SisPT</t>
        </is>
      </c>
      <c r="T131" s="101" t="inlineStr">
        <is>
          <t xml:space="preserve"> </t>
        </is>
      </c>
      <c r="U131" s="101" t="inlineStr">
        <is>
          <t xml:space="preserve"> </t>
        </is>
      </c>
      <c r="V131" s="101" t="inlineStr">
        <is>
          <t xml:space="preserve"> </t>
        </is>
      </c>
      <c r="W131" s="102" t="inlineStr">
        <is>
          <t xml:space="preserve"> </t>
        </is>
      </c>
      <c r="X131" t="inlineStr">
        <is>
          <t>No se encontró ejecución en CUIPO</t>
        </is>
      </c>
    </row>
    <row r="132">
      <c r="A132" t="inlineStr">
        <is>
          <t>IP-271, IP-72</t>
        </is>
      </c>
      <c r="B132" t="inlineStr">
        <is>
          <t>43</t>
        </is>
      </c>
      <c r="C132" t="inlineStr">
        <is>
          <t>Deporte y Recreación</t>
        </is>
      </c>
      <c r="D132" t="inlineStr">
        <is>
          <t>4302</t>
        </is>
      </c>
      <c r="E132" t="inlineStr">
        <is>
          <t>Formación y preparación de deportistas</t>
        </is>
      </c>
      <c r="F132" t="inlineStr">
        <is>
          <t>4302009</t>
        </is>
      </c>
      <c r="G132" t="inlineStr">
        <is>
          <t>Documentos de lineamientos técnicos</t>
        </is>
      </c>
      <c r="H132" t="inlineStr">
        <is>
          <t>Documentos cuyo objetivo es describir y explicar instrumentos, estándares, requisitos y condiciones necesarias para llevar a cabo un proceso o actividad</t>
        </is>
      </c>
      <c r="I132" t="inlineStr">
        <is>
          <t>2024258990059</t>
        </is>
      </c>
      <c r="J132" s="99">
        <v>213543915.2</v>
      </c>
      <c r="K132" s="99">
        <v>23178912</v>
      </c>
      <c r="L132" s="99">
        <v>190365003.2</v>
      </c>
      <c r="M132" s="99">
        <v>0</v>
      </c>
      <c r="N132" s="99">
        <v>0</v>
      </c>
      <c r="O132" s="99">
        <v>25979697</v>
      </c>
      <c r="P132" s="99">
        <v>25979697</v>
      </c>
      <c r="Q132" s="99">
        <v>25979697</v>
      </c>
      <c r="R132" s="100">
        <v>1.1208333247048</v>
      </c>
      <c r="S132" t="inlineStr">
        <is>
          <t>Hubo ejecución por encima de lo programado en SisPT</t>
        </is>
      </c>
      <c r="T132" s="101" t="inlineStr">
        <is>
          <t xml:space="preserve"> </t>
        </is>
      </c>
      <c r="U132" s="101" t="inlineStr">
        <is>
          <t xml:space="preserve"> </t>
        </is>
      </c>
      <c r="V132" s="101" t="inlineStr">
        <is>
          <t xml:space="preserve"> </t>
        </is>
      </c>
      <c r="W132" s="102" t="inlineStr">
        <is>
          <t xml:space="preserve"> </t>
        </is>
      </c>
      <c r="X132" t="inlineStr">
        <is>
          <t>No se encontró ejecución en CUIPO</t>
        </is>
      </c>
    </row>
    <row r="133">
      <c r="A133" t="inlineStr">
        <is>
          <t>IP-273, IP-74</t>
        </is>
      </c>
      <c r="B133" t="inlineStr">
        <is>
          <t>43</t>
        </is>
      </c>
      <c r="C133" t="inlineStr">
        <is>
          <t>Deporte y Recreación</t>
        </is>
      </c>
      <c r="D133" t="inlineStr">
        <is>
          <t>4302</t>
        </is>
      </c>
      <c r="E133" t="inlineStr">
        <is>
          <t>Formación y preparación de deportistas</t>
        </is>
      </c>
      <c r="F133" t="inlineStr">
        <is>
          <t>4302074</t>
        </is>
      </c>
      <c r="G133" t="inlineStr">
        <is>
          <t>Centro de alto rendimiento construido y dotado</t>
        </is>
      </c>
      <c r="H133" t="inlineStr">
        <is>
          <t>Infraestructura construida y dotada con los instrumentos necesarios para la óptima realización del deporte.</t>
        </is>
      </c>
      <c r="I133" t="inlineStr">
        <is>
          <t>2024258990059</t>
        </is>
      </c>
      <c r="J133" s="99">
        <v>0</v>
      </c>
      <c r="K133" s="99">
        <v>0</v>
      </c>
      <c r="L133" s="99">
        <v>0</v>
      </c>
      <c r="M133" s="99">
        <v>0</v>
      </c>
      <c r="N133" s="99">
        <v>0</v>
      </c>
      <c r="O133" s="99" t="inlineStr">
        <is>
          <t xml:space="preserve"> </t>
        </is>
      </c>
      <c r="P133" s="99" t="inlineStr">
        <is>
          <t xml:space="preserve"> </t>
        </is>
      </c>
      <c r="Q133" s="99" t="inlineStr">
        <is>
          <t xml:space="preserve"> </t>
        </is>
      </c>
      <c r="R133" s="100" t="inlineStr">
        <is>
          <t xml:space="preserve"> </t>
        </is>
      </c>
      <c r="S133" t="inlineStr">
        <is>
          <t>No se encontró ejecución en CUIPO</t>
        </is>
      </c>
      <c r="T133" s="101">
        <v>10927054967</v>
      </c>
      <c r="U133" s="101">
        <v>1216802997</v>
      </c>
      <c r="V133" s="101">
        <v>1216802997</v>
      </c>
      <c r="W133" s="102" t="inlineStr">
        <is>
          <t xml:space="preserve"> </t>
        </is>
      </c>
      <c r="X133" t="inlineStr">
        <is>
          <t>Se ejecutó un producto no programado en la vigencia</t>
        </is>
      </c>
    </row>
    <row r="134">
      <c r="A134" t="inlineStr">
        <is>
          <t>IP-274, IP-275, IP-75, IP-76</t>
        </is>
      </c>
      <c r="B134" t="inlineStr">
        <is>
          <t>43</t>
        </is>
      </c>
      <c r="C134" t="inlineStr">
        <is>
          <t>Deporte y Recreación</t>
        </is>
      </c>
      <c r="D134" t="inlineStr">
        <is>
          <t>4301</t>
        </is>
      </c>
      <c r="E134" t="inlineStr">
        <is>
          <t>Fomento a la recreación, la actividad física y el deporte para desarrollar entornos de convivencia y paz</t>
        </is>
      </c>
      <c r="F134" t="inlineStr">
        <is>
          <t>4301004</t>
        </is>
      </c>
      <c r="G134" t="inlineStr">
        <is>
          <t>Servicio de mantenimiento a la infraestructura deportiva</t>
        </is>
      </c>
      <c r="H134"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134" t="inlineStr">
        <is>
          <t>2024258990058</t>
        </is>
      </c>
      <c r="J134" s="99">
        <v>3182050213.9058</v>
      </c>
      <c r="K134" s="99">
        <v>377140690</v>
      </c>
      <c r="L134" s="99">
        <v>1640437118.64</v>
      </c>
      <c r="M134" s="99">
        <v>573774638.4424</v>
      </c>
      <c r="N134" s="99">
        <v>590697766.8234</v>
      </c>
      <c r="O134" s="99">
        <v>241470597</v>
      </c>
      <c r="P134" s="99">
        <v>241470597</v>
      </c>
      <c r="Q134" s="99">
        <v>223419421</v>
      </c>
      <c r="R134" s="100">
        <v>0.640266625698754</v>
      </c>
      <c r="S134" t="inlineStr">
        <is>
          <t>Lo obligado está por debajo de lo programado en la vigencia</t>
        </is>
      </c>
      <c r="T134" s="101" t="inlineStr">
        <is>
          <t xml:space="preserve"> </t>
        </is>
      </c>
      <c r="U134" s="101" t="inlineStr">
        <is>
          <t xml:space="preserve"> </t>
        </is>
      </c>
      <c r="V134" s="101" t="inlineStr">
        <is>
          <t xml:space="preserve"> </t>
        </is>
      </c>
      <c r="W134" s="102" t="inlineStr">
        <is>
          <t xml:space="preserve"> </t>
        </is>
      </c>
      <c r="X134" t="inlineStr">
        <is>
          <t>No se encontró ejecución en CUIPO</t>
        </is>
      </c>
    </row>
    <row r="135">
      <c r="A135" t="inlineStr">
        <is>
          <t>IP-276, IP-77</t>
        </is>
      </c>
      <c r="B135" t="inlineStr">
        <is>
          <t>43</t>
        </is>
      </c>
      <c r="C135" t="inlineStr">
        <is>
          <t>Deporte y Recreación</t>
        </is>
      </c>
      <c r="D135" t="inlineStr">
        <is>
          <t>4302</t>
        </is>
      </c>
      <c r="E135" t="inlineStr">
        <is>
          <t>Formación y preparación de deportistas</t>
        </is>
      </c>
      <c r="F135" t="inlineStr">
        <is>
          <t>4302002</t>
        </is>
      </c>
      <c r="G135" t="inlineStr">
        <is>
          <t>Servicio de apoyo financiero a atletas</t>
        </is>
      </c>
      <c r="H135" t="inlineStr">
        <is>
          <t>Corresponde a los estímulos económicos entregados a los deportistas para que éstos tengan una buena preparación y oportunidades para competir.</t>
        </is>
      </c>
      <c r="I135" t="inlineStr">
        <is>
          <t>2024258990059</t>
        </is>
      </c>
      <c r="J135" s="99">
        <v>185483720</v>
      </c>
      <c r="K135" s="99">
        <v>45483720</v>
      </c>
      <c r="L135" s="99">
        <v>140000000</v>
      </c>
      <c r="M135" s="99">
        <v>0</v>
      </c>
      <c r="N135" s="99">
        <v>0</v>
      </c>
      <c r="O135" s="99">
        <v>66785045</v>
      </c>
      <c r="P135" s="99">
        <v>66785045</v>
      </c>
      <c r="Q135" s="99">
        <v>66785045</v>
      </c>
      <c r="R135" s="100">
        <v>1.46832855799833</v>
      </c>
      <c r="S135" t="inlineStr">
        <is>
          <t>Hubo ejecución por encima de lo programado en SisPT</t>
        </is>
      </c>
      <c r="T135" s="101" t="inlineStr">
        <is>
          <t xml:space="preserve"> </t>
        </is>
      </c>
      <c r="U135" s="101" t="inlineStr">
        <is>
          <t xml:space="preserve"> </t>
        </is>
      </c>
      <c r="V135" s="101" t="inlineStr">
        <is>
          <t xml:space="preserve"> </t>
        </is>
      </c>
      <c r="W135" s="102" t="inlineStr">
        <is>
          <t xml:space="preserve"> </t>
        </is>
      </c>
      <c r="X135" t="inlineStr">
        <is>
          <t>No se encontró ejecución en CUIPO</t>
        </is>
      </c>
    </row>
    <row r="136">
      <c r="A136" t="inlineStr">
        <is>
          <t>IP-277, IP-78</t>
        </is>
      </c>
      <c r="B136" t="inlineStr">
        <is>
          <t>43</t>
        </is>
      </c>
      <c r="C136" t="inlineStr">
        <is>
          <t>Deporte y Recreación</t>
        </is>
      </c>
      <c r="D136" t="inlineStr">
        <is>
          <t>4302</t>
        </is>
      </c>
      <c r="E136" t="inlineStr">
        <is>
          <t>Formación y preparación de deportistas</t>
        </is>
      </c>
      <c r="F136" t="inlineStr">
        <is>
          <t>4302073</t>
        </is>
      </c>
      <c r="G136" t="inlineStr">
        <is>
          <t>Servicio de identificación de talentos deportivos</t>
        </is>
      </c>
      <c r="H136" t="inlineStr">
        <is>
          <t>Es el proceso a través del cual se individualizan personas dotadas de talento y actitudes favorables para el deporte con ayuda de entrenadores especializados y pruebas físicas, fisiológicas y de destrezas. </t>
        </is>
      </c>
      <c r="I136" t="inlineStr">
        <is>
          <t>2024258990059</t>
        </is>
      </c>
      <c r="J136" s="99">
        <v>414344572</v>
      </c>
      <c r="K136" s="99">
        <v>70086272</v>
      </c>
      <c r="L136" s="99">
        <v>344258300</v>
      </c>
      <c r="M136" s="99">
        <v>0</v>
      </c>
      <c r="N136" s="99">
        <v>0</v>
      </c>
      <c r="O136" s="99">
        <v>74442245</v>
      </c>
      <c r="P136" s="99">
        <v>74442245</v>
      </c>
      <c r="Q136" s="99">
        <v>74442245</v>
      </c>
      <c r="R136" s="100">
        <v>1.06215158654751</v>
      </c>
      <c r="S136" t="inlineStr">
        <is>
          <t>Hubo ejecución por encima de lo programado en SisPT</t>
        </is>
      </c>
      <c r="T136" s="101" t="inlineStr">
        <is>
          <t xml:space="preserve"> </t>
        </is>
      </c>
      <c r="U136" s="101" t="inlineStr">
        <is>
          <t xml:space="preserve"> </t>
        </is>
      </c>
      <c r="V136" s="101" t="inlineStr">
        <is>
          <t xml:space="preserve"> </t>
        </is>
      </c>
      <c r="W136" s="102" t="inlineStr">
        <is>
          <t xml:space="preserve"> </t>
        </is>
      </c>
      <c r="X136" t="inlineStr">
        <is>
          <t>No se encontró ejecución en CUIPO</t>
        </is>
      </c>
    </row>
    <row r="137">
      <c r="A137" t="inlineStr">
        <is>
          <t>IP-278, IP-79</t>
        </is>
      </c>
      <c r="B137" t="inlineStr">
        <is>
          <t>43</t>
        </is>
      </c>
      <c r="C137" t="inlineStr">
        <is>
          <t>Deporte y Recreación</t>
        </is>
      </c>
      <c r="D137" t="inlineStr">
        <is>
          <t>4302</t>
        </is>
      </c>
      <c r="E137" t="inlineStr">
        <is>
          <t>Formación y preparación de deportistas</t>
        </is>
      </c>
      <c r="F137" t="inlineStr">
        <is>
          <t>4302014</t>
        </is>
      </c>
      <c r="G137" t="inlineStr">
        <is>
          <t>Pistas construidas</t>
        </is>
      </c>
      <c r="H137" t="inlineStr">
        <is>
          <t>Construcción de un escenario para la práctica deportiva de Atletismo, Bicicross, bolos,  ciclismo, Karts, motocross y patinaje. De acuerdo con la disciplina que en ella se practica tiene diferentes características técnicas tanto de construcción como de acabados que están determinadas internacionalmente: asfalto, sintético, madera, carbonilla, concreto, césped etc.</t>
        </is>
      </c>
      <c r="I137" t="inlineStr">
        <is>
          <t>2024258990059</t>
        </is>
      </c>
      <c r="J137" s="99">
        <v>0</v>
      </c>
      <c r="K137" s="99">
        <v>0</v>
      </c>
      <c r="L137" s="99">
        <v>0</v>
      </c>
      <c r="M137" s="99">
        <v>0</v>
      </c>
      <c r="N137" s="99">
        <v>0</v>
      </c>
      <c r="O137" s="99" t="inlineStr">
        <is>
          <t xml:space="preserve"> </t>
        </is>
      </c>
      <c r="P137" s="99" t="inlineStr">
        <is>
          <t xml:space="preserve"> </t>
        </is>
      </c>
      <c r="Q137" s="99" t="inlineStr">
        <is>
          <t xml:space="preserve"> </t>
        </is>
      </c>
      <c r="R137" s="100" t="inlineStr">
        <is>
          <t xml:space="preserve"> </t>
        </is>
      </c>
      <c r="S137" t="inlineStr">
        <is>
          <t>No se encontró ejecución en CUIPO</t>
        </is>
      </c>
      <c r="T137" s="101" t="inlineStr">
        <is>
          <t xml:space="preserve"> </t>
        </is>
      </c>
      <c r="U137" s="101" t="inlineStr">
        <is>
          <t xml:space="preserve"> </t>
        </is>
      </c>
      <c r="V137" s="101" t="inlineStr">
        <is>
          <t xml:space="preserve"> </t>
        </is>
      </c>
      <c r="W137" s="102" t="inlineStr">
        <is>
          <t xml:space="preserve"> </t>
        </is>
      </c>
      <c r="X137" t="inlineStr">
        <is>
          <t>No se encontró ejecución en CUIPO</t>
        </is>
      </c>
    </row>
    <row r="138">
      <c r="A138" t="inlineStr">
        <is>
          <t>IP-280, IP-286, IP-287, IP-288, IP-290, IP-81, IP-87, IP-88, IP-89, IP-91</t>
        </is>
      </c>
      <c r="B138" t="inlineStr">
        <is>
          <t>43</t>
        </is>
      </c>
      <c r="C138" t="inlineStr">
        <is>
          <t>Deporte y Recreación</t>
        </is>
      </c>
      <c r="D138" t="inlineStr">
        <is>
          <t>4301</t>
        </is>
      </c>
      <c r="E138" t="inlineStr">
        <is>
          <t>Fomento a la recreación, la actividad física y el deporte para desarrollar entornos de convivencia y paz</t>
        </is>
      </c>
      <c r="F138" t="inlineStr">
        <is>
          <t>4301037</t>
        </is>
      </c>
      <c r="G138" t="inlineStr">
        <is>
          <t>Servicio de promoción de la actividad física, la recreación y el deporte</t>
        </is>
      </c>
      <c r="H138"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38" t="inlineStr">
        <is>
          <t>2024258990058</t>
        </is>
      </c>
      <c r="J138" s="99">
        <v>1666999601.7492</v>
      </c>
      <c r="K138" s="99">
        <v>155877672</v>
      </c>
      <c r="L138" s="99">
        <v>645761593.8</v>
      </c>
      <c r="M138" s="99">
        <v>426392082.4884</v>
      </c>
      <c r="N138" s="99">
        <v>438968253.4608</v>
      </c>
      <c r="O138" s="99">
        <v>217801351</v>
      </c>
      <c r="P138" s="99">
        <v>217801351</v>
      </c>
      <c r="Q138" s="99">
        <v>217801351</v>
      </c>
      <c r="R138" s="100">
        <v>1.39725817177973</v>
      </c>
      <c r="S138" t="inlineStr">
        <is>
          <t>Hubo ejecución por encima de lo programado en SisPT</t>
        </is>
      </c>
      <c r="T138" s="101" t="inlineStr">
        <is>
          <t xml:space="preserve"> </t>
        </is>
      </c>
      <c r="U138" s="101" t="inlineStr">
        <is>
          <t xml:space="preserve"> </t>
        </is>
      </c>
      <c r="V138" s="101" t="inlineStr">
        <is>
          <t xml:space="preserve"> </t>
        </is>
      </c>
      <c r="W138" s="102" t="inlineStr">
        <is>
          <t xml:space="preserve"> </t>
        </is>
      </c>
      <c r="X138" t="inlineStr">
        <is>
          <t>No se encontró ejecución en CUIPO</t>
        </is>
      </c>
    </row>
    <row r="139">
      <c r="A139" t="inlineStr">
        <is>
          <t>IP-281, IP-82</t>
        </is>
      </c>
      <c r="B139" t="inlineStr">
        <is>
          <t>43</t>
        </is>
      </c>
      <c r="C139" t="inlineStr">
        <is>
          <t>Deporte y Recreación</t>
        </is>
      </c>
      <c r="D139" t="inlineStr">
        <is>
          <t>4301</t>
        </is>
      </c>
      <c r="E139" t="inlineStr">
        <is>
          <t>Fomento a la recreación, la actividad física y el deporte para desarrollar entornos de convivencia y paz</t>
        </is>
      </c>
      <c r="F139" t="inlineStr">
        <is>
          <t>4301019</t>
        </is>
      </c>
      <c r="G139" t="inlineStr">
        <is>
          <t>Placa deportiva construida</t>
        </is>
      </c>
      <c r="H139" t="inlineStr">
        <is>
          <t>Construcción de  una placa polideportiva terminada en concreto, asfalto  o sintético, abierta por todos sus costados pero cubierta en teja generalmente metálica, soportada en pórticos habitualmente de estructura metálica con o sin iluminación y graderías, sin otros servicios conexos. Para realizar baloncesto, microfutbol, boleybol.</t>
        </is>
      </c>
      <c r="I139" t="inlineStr">
        <is>
          <t>2024258990058</t>
        </is>
      </c>
      <c r="J139" s="99">
        <v>300000000</v>
      </c>
      <c r="K139" s="99">
        <v>0</v>
      </c>
      <c r="L139" s="99">
        <v>300000000</v>
      </c>
      <c r="M139" s="99">
        <v>0</v>
      </c>
      <c r="N139" s="99">
        <v>0</v>
      </c>
      <c r="O139" s="99" t="inlineStr">
        <is>
          <t xml:space="preserve"> </t>
        </is>
      </c>
      <c r="P139" s="99" t="inlineStr">
        <is>
          <t xml:space="preserve"> </t>
        </is>
      </c>
      <c r="Q139" s="99" t="inlineStr">
        <is>
          <t xml:space="preserve"> </t>
        </is>
      </c>
      <c r="R139" s="100" t="inlineStr">
        <is>
          <t xml:space="preserve"> </t>
        </is>
      </c>
      <c r="S139" t="inlineStr">
        <is>
          <t>No se encontró ejecución en CUIPO</t>
        </is>
      </c>
      <c r="T139" s="101" t="inlineStr">
        <is>
          <t xml:space="preserve"> </t>
        </is>
      </c>
      <c r="U139" s="101" t="inlineStr">
        <is>
          <t xml:space="preserve"> </t>
        </is>
      </c>
      <c r="V139" s="101" t="inlineStr">
        <is>
          <t xml:space="preserve"> </t>
        </is>
      </c>
      <c r="W139" s="102" t="inlineStr">
        <is>
          <t xml:space="preserve"> </t>
        </is>
      </c>
      <c r="X139" t="inlineStr">
        <is>
          <t>No se encontró ejecución en CUIPO</t>
        </is>
      </c>
    </row>
    <row r="140">
      <c r="A140" t="inlineStr">
        <is>
          <t>IP-283, IP-284, IP-84, IP-85</t>
        </is>
      </c>
      <c r="B140" t="inlineStr">
        <is>
          <t>43</t>
        </is>
      </c>
      <c r="C140" t="inlineStr">
        <is>
          <t>Deporte y Recreación</t>
        </is>
      </c>
      <c r="D140" t="inlineStr">
        <is>
          <t>4302</t>
        </is>
      </c>
      <c r="E140" t="inlineStr">
        <is>
          <t>Formación y preparación de deportistas</t>
        </is>
      </c>
      <c r="F140" t="inlineStr">
        <is>
          <t>4302063</t>
        </is>
      </c>
      <c r="G140" t="inlineStr">
        <is>
          <t>Servicio de atención al ciudadano</t>
        </is>
      </c>
      <c r="H140" t="inlineStr">
        <is>
          <t>Atención a preguntas e inquietudes sobre asuntos del Sistema Nacional de Deporte. la agenda de recreación y deporte, entre otras.</t>
        </is>
      </c>
      <c r="I140" t="inlineStr">
        <is>
          <t>2024258990059</t>
        </is>
      </c>
      <c r="J140" s="99">
        <v>353173993.6</v>
      </c>
      <c r="K140" s="99">
        <v>85729720</v>
      </c>
      <c r="L140" s="99">
        <v>267444273.6</v>
      </c>
      <c r="M140" s="99">
        <v>0</v>
      </c>
      <c r="N140" s="99">
        <v>0</v>
      </c>
      <c r="O140" s="99">
        <v>62227610</v>
      </c>
      <c r="P140" s="99">
        <v>62227610</v>
      </c>
      <c r="Q140" s="99">
        <v>62227610</v>
      </c>
      <c r="R140" s="100">
        <v>0.725858080488307</v>
      </c>
      <c r="S140" t="inlineStr">
        <is>
          <t>Lo obligado está por debajo de lo programado en la vigencia</t>
        </is>
      </c>
      <c r="T140" s="101" t="inlineStr">
        <is>
          <t xml:space="preserve"> </t>
        </is>
      </c>
      <c r="U140" s="101" t="inlineStr">
        <is>
          <t xml:space="preserve"> </t>
        </is>
      </c>
      <c r="V140" s="101" t="inlineStr">
        <is>
          <t xml:space="preserve"> </t>
        </is>
      </c>
      <c r="W140" s="102" t="inlineStr">
        <is>
          <t xml:space="preserve"> </t>
        </is>
      </c>
      <c r="X140" t="inlineStr">
        <is>
          <t>No se encontró ejecución en CUIPO</t>
        </is>
      </c>
    </row>
    <row r="141">
      <c r="A141" t="inlineStr">
        <is>
          <t>IP-285, IP-289, IP-86, IP-90</t>
        </is>
      </c>
      <c r="B141" t="inlineStr">
        <is>
          <t>43</t>
        </is>
      </c>
      <c r="C141" t="inlineStr">
        <is>
          <t>Deporte y Recreación</t>
        </is>
      </c>
      <c r="D141" t="inlineStr">
        <is>
          <t>4301</t>
        </is>
      </c>
      <c r="E141" t="inlineStr">
        <is>
          <t>Fomento a la recreación, la actividad física y el deporte para desarrollar entornos de convivencia y paz</t>
        </is>
      </c>
      <c r="F141" t="inlineStr">
        <is>
          <t>4301038</t>
        </is>
      </c>
      <c r="G141" t="inlineStr">
        <is>
          <t>Servicio de organización de eventos recreativos comunitarios</t>
        </is>
      </c>
      <c r="H141" t="inlineStr">
        <is>
          <t>Corresponde a la planeación, organización y realización de eventos recreativos y de esparcimiento del tiempo libre con la comunidad.</t>
        </is>
      </c>
      <c r="I141" t="inlineStr">
        <is>
          <t>2024258990058</t>
        </is>
      </c>
      <c r="J141" s="99">
        <v>585285497.0034</v>
      </c>
      <c r="K141" s="99">
        <v>42176864</v>
      </c>
      <c r="L141" s="99">
        <v>336531747.4</v>
      </c>
      <c r="M141" s="99">
        <v>101787365.0862</v>
      </c>
      <c r="N141" s="99">
        <v>104789520.5172</v>
      </c>
      <c r="O141" s="99">
        <v>123085834</v>
      </c>
      <c r="P141" s="99">
        <v>123085834</v>
      </c>
      <c r="Q141" s="99">
        <v>123085834</v>
      </c>
      <c r="R141" s="100">
        <v>2.9183258859644</v>
      </c>
      <c r="S141" t="inlineStr">
        <is>
          <t>Hubo ejecución por encima de lo programado en SisPT</t>
        </is>
      </c>
      <c r="T141" s="101" t="inlineStr">
        <is>
          <t xml:space="preserve"> </t>
        </is>
      </c>
      <c r="U141" s="101" t="inlineStr">
        <is>
          <t xml:space="preserve"> </t>
        </is>
      </c>
      <c r="V141" s="101" t="inlineStr">
        <is>
          <t xml:space="preserve"> </t>
        </is>
      </c>
      <c r="W141" s="102" t="inlineStr">
        <is>
          <t xml:space="preserve"> </t>
        </is>
      </c>
      <c r="X141" t="inlineStr">
        <is>
          <t>No se encontró ejecución en CUIPO</t>
        </is>
      </c>
    </row>
    <row r="142">
      <c r="A142" t="inlineStr">
        <is>
          <t>IP-291, IP-92</t>
        </is>
      </c>
      <c r="B142" t="inlineStr">
        <is>
          <t>43</t>
        </is>
      </c>
      <c r="C142" t="inlineStr">
        <is>
          <t>Deporte y Recreación</t>
        </is>
      </c>
      <c r="D142" t="inlineStr">
        <is>
          <t>4302</t>
        </is>
      </c>
      <c r="E142" t="inlineStr">
        <is>
          <t>Formación y preparación de deportistas</t>
        </is>
      </c>
      <c r="F142" t="inlineStr">
        <is>
          <t>4302059</t>
        </is>
      </c>
      <c r="G142" t="inlineStr">
        <is>
          <t>Gimnasios mejorados</t>
        </is>
      </c>
      <c r="H142" t="inlineStr">
        <is>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is>
      </c>
      <c r="I142" t="inlineStr">
        <is>
          <t>2024258990059</t>
        </is>
      </c>
      <c r="J142" s="99">
        <v>249313162.7396</v>
      </c>
      <c r="K142" s="99">
        <v>57024000</v>
      </c>
      <c r="L142" s="99">
        <v>133403014.5</v>
      </c>
      <c r="M142" s="99">
        <v>29015181.6932</v>
      </c>
      <c r="N142" s="99">
        <v>29870966.5464</v>
      </c>
      <c r="O142" s="99">
        <v>30054727</v>
      </c>
      <c r="P142" s="99">
        <v>30054727</v>
      </c>
      <c r="Q142" s="99">
        <v>30054727</v>
      </c>
      <c r="R142" s="100">
        <v>0.527053994809203</v>
      </c>
      <c r="S142" t="inlineStr">
        <is>
          <t>Lo obligado está por debajo de lo programado en la vigencia</t>
        </is>
      </c>
      <c r="T142" s="101" t="inlineStr">
        <is>
          <t xml:space="preserve"> </t>
        </is>
      </c>
      <c r="U142" s="101" t="inlineStr">
        <is>
          <t xml:space="preserve"> </t>
        </is>
      </c>
      <c r="V142" s="101" t="inlineStr">
        <is>
          <t xml:space="preserve"> </t>
        </is>
      </c>
      <c r="W142" s="102" t="inlineStr">
        <is>
          <t xml:space="preserve"> </t>
        </is>
      </c>
      <c r="X142" t="inlineStr">
        <is>
          <t>No se encontró ejecución en CUIPO</t>
        </is>
      </c>
    </row>
    <row r="143">
      <c r="A143" t="inlineStr">
        <is>
          <t>IP-292, IP-93</t>
        </is>
      </c>
      <c r="B143" t="inlineStr">
        <is>
          <t>45</t>
        </is>
      </c>
      <c r="C143" t="inlineStr">
        <is>
          <t>Gobierno Territorial</t>
        </is>
      </c>
      <c r="D143" t="inlineStr">
        <is>
          <t>4599</t>
        </is>
      </c>
      <c r="E143" t="inlineStr">
        <is>
          <t>Fortalecimiento a la gestión y dirección de la administración pública territorial</t>
        </is>
      </c>
      <c r="F143" t="inlineStr">
        <is>
          <t>4599021</t>
        </is>
      </c>
      <c r="G143" t="inlineStr">
        <is>
          <t>Documentos normativos</t>
        </is>
      </c>
      <c r="H143" t="inlineStr">
        <is>
          <t>Incluye la realización de documentos de contenido normativo para la reglamentación de los proyectos de ley presentados y aprobados.</t>
        </is>
      </c>
      <c r="I143" t="inlineStr">
        <is>
          <t>2024258990061</t>
        </is>
      </c>
      <c r="J143" s="99">
        <v>200000000</v>
      </c>
      <c r="K143" s="99">
        <v>0</v>
      </c>
      <c r="L143" s="99">
        <v>200000000</v>
      </c>
      <c r="M143" s="99">
        <v>0</v>
      </c>
      <c r="N143" s="99">
        <v>0</v>
      </c>
      <c r="O143" s="99" t="inlineStr">
        <is>
          <t xml:space="preserve"> </t>
        </is>
      </c>
      <c r="P143" s="99" t="inlineStr">
        <is>
          <t xml:space="preserve"> </t>
        </is>
      </c>
      <c r="Q143" s="99" t="inlineStr">
        <is>
          <t xml:space="preserve"> </t>
        </is>
      </c>
      <c r="R143" s="100" t="inlineStr">
        <is>
          <t xml:space="preserve"> </t>
        </is>
      </c>
      <c r="S143" t="inlineStr">
        <is>
          <t>No se encontró ejecución en CUIPO</t>
        </is>
      </c>
      <c r="T143" s="101" t="inlineStr">
        <is>
          <t xml:space="preserve"> </t>
        </is>
      </c>
      <c r="U143" s="101" t="inlineStr">
        <is>
          <t xml:space="preserve"> </t>
        </is>
      </c>
      <c r="V143" s="101" t="inlineStr">
        <is>
          <t xml:space="preserve"> </t>
        </is>
      </c>
      <c r="W143" s="102" t="inlineStr">
        <is>
          <t xml:space="preserve"> </t>
        </is>
      </c>
      <c r="X143" t="inlineStr">
        <is>
          <t>No se encontró ejecución en CUIPO</t>
        </is>
      </c>
    </row>
    <row r="144">
      <c r="A144" t="inlineStr">
        <is>
          <t>IP-293, IP-94</t>
        </is>
      </c>
      <c r="B144" t="inlineStr">
        <is>
          <t>45</t>
        </is>
      </c>
      <c r="C144" t="inlineStr">
        <is>
          <t>Gobierno Territorial</t>
        </is>
      </c>
      <c r="D144" t="inlineStr">
        <is>
          <t>4599</t>
        </is>
      </c>
      <c r="E144" t="inlineStr">
        <is>
          <t>Fortalecimiento a la gestión y dirección de la administración pública territorial</t>
        </is>
      </c>
      <c r="F144" t="inlineStr">
        <is>
          <t>4599036</t>
        </is>
      </c>
      <c r="G144" t="inlineStr">
        <is>
          <t>Servicio de gestión documental actualizado</t>
        </is>
      </c>
      <c r="H144" t="inlineStr">
        <is>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is>
      </c>
      <c r="I144" t="inlineStr">
        <is>
          <t>2024258990061</t>
        </is>
      </c>
      <c r="J144" s="99">
        <v>36111285</v>
      </c>
      <c r="K144" s="99">
        <v>0</v>
      </c>
      <c r="L144" s="99">
        <v>36111285</v>
      </c>
      <c r="M144" s="99">
        <v>0</v>
      </c>
      <c r="N144" s="99">
        <v>0</v>
      </c>
      <c r="O144" s="99" t="inlineStr">
        <is>
          <t xml:space="preserve"> </t>
        </is>
      </c>
      <c r="P144" s="99" t="inlineStr">
        <is>
          <t xml:space="preserve"> </t>
        </is>
      </c>
      <c r="Q144" s="99" t="inlineStr">
        <is>
          <t xml:space="preserve"> </t>
        </is>
      </c>
      <c r="R144" s="100" t="inlineStr">
        <is>
          <t xml:space="preserve"> </t>
        </is>
      </c>
      <c r="S144" t="inlineStr">
        <is>
          <t>No se encontró ejecución en CUIPO</t>
        </is>
      </c>
      <c r="T144" s="101" t="inlineStr">
        <is>
          <t xml:space="preserve"> </t>
        </is>
      </c>
      <c r="U144" s="101" t="inlineStr">
        <is>
          <t xml:space="preserve"> </t>
        </is>
      </c>
      <c r="V144" s="101" t="inlineStr">
        <is>
          <t xml:space="preserve"> </t>
        </is>
      </c>
      <c r="W144" s="102" t="inlineStr">
        <is>
          <t xml:space="preserve"> </t>
        </is>
      </c>
      <c r="X144" t="inlineStr">
        <is>
          <t>No se encontró ejecución en CUIPO</t>
        </is>
      </c>
    </row>
    <row r="145">
      <c r="A145" t="inlineStr">
        <is>
          <t>IP-294, IP-95</t>
        </is>
      </c>
      <c r="B145" t="inlineStr">
        <is>
          <t>45</t>
        </is>
      </c>
      <c r="C145" t="inlineStr">
        <is>
          <t>Gobierno Territorial</t>
        </is>
      </c>
      <c r="D145" t="inlineStr">
        <is>
          <t>4501</t>
        </is>
      </c>
      <c r="E145" t="inlineStr">
        <is>
          <t>Fortalecimiento de la convivencia y la seguridad ciudadana</t>
        </is>
      </c>
      <c r="F145" t="inlineStr">
        <is>
          <t>4501049</t>
        </is>
      </c>
      <c r="G145" t="inlineStr">
        <is>
          <t>Servicio de educación informal</t>
        </is>
      </c>
      <c r="H145" t="inlineStr">
        <is>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is>
      </c>
      <c r="I145" t="inlineStr">
        <is>
          <t>2024258990060</t>
        </is>
      </c>
      <c r="J145" s="99">
        <v>0</v>
      </c>
      <c r="K145" s="99">
        <v>0</v>
      </c>
      <c r="L145" s="99">
        <v>0</v>
      </c>
      <c r="M145" s="99">
        <v>0</v>
      </c>
      <c r="N145" s="99">
        <v>0</v>
      </c>
      <c r="O145" s="99" t="inlineStr">
        <is>
          <t xml:space="preserve"> </t>
        </is>
      </c>
      <c r="P145" s="99" t="inlineStr">
        <is>
          <t xml:space="preserve"> </t>
        </is>
      </c>
      <c r="Q145" s="99" t="inlineStr">
        <is>
          <t xml:space="preserve"> </t>
        </is>
      </c>
      <c r="R145" s="100" t="inlineStr">
        <is>
          <t xml:space="preserve"> </t>
        </is>
      </c>
      <c r="S145" t="inlineStr">
        <is>
          <t>No se encontró ejecución en CUIPO</t>
        </is>
      </c>
      <c r="T145" s="101" t="inlineStr">
        <is>
          <t xml:space="preserve"> </t>
        </is>
      </c>
      <c r="U145" s="101" t="inlineStr">
        <is>
          <t xml:space="preserve"> </t>
        </is>
      </c>
      <c r="V145" s="101" t="inlineStr">
        <is>
          <t xml:space="preserve"> </t>
        </is>
      </c>
      <c r="W145" s="102" t="inlineStr">
        <is>
          <t xml:space="preserve"> </t>
        </is>
      </c>
      <c r="X145" t="inlineStr">
        <is>
          <t>No se encontró ejecución en CUIPO</t>
        </is>
      </c>
    </row>
    <row r="146">
      <c r="A146" t="inlineStr">
        <is>
          <t>IP-295, IP-96</t>
        </is>
      </c>
      <c r="B146" t="inlineStr">
        <is>
          <t>45</t>
        </is>
      </c>
      <c r="C146" t="inlineStr">
        <is>
          <t>Gobierno Territorial</t>
        </is>
      </c>
      <c r="D146" t="inlineStr">
        <is>
          <t>4599</t>
        </is>
      </c>
      <c r="E146" t="inlineStr">
        <is>
          <t>Fortalecimiento a la gestión y dirección de la administración pública territorial</t>
        </is>
      </c>
      <c r="F146" t="inlineStr">
        <is>
          <t>4599034</t>
        </is>
      </c>
      <c r="G146" t="inlineStr">
        <is>
          <t>Sedes dotadas</t>
        </is>
      </c>
      <c r="H146" t="inlineStr">
        <is>
          <t>Incluye el proceso de identificación de necesidades de dotación administrativa, así como la adquisición e instalación de mobiliario y demás elementos no consumibles requeridos para apoyar la prestación de los servicios de la entidad.</t>
        </is>
      </c>
      <c r="I146" t="inlineStr">
        <is>
          <t>2024258990061</t>
        </is>
      </c>
      <c r="J146" s="99">
        <v>40000000</v>
      </c>
      <c r="K146" s="99">
        <v>0</v>
      </c>
      <c r="L146" s="99">
        <v>40000000</v>
      </c>
      <c r="M146" s="99">
        <v>0</v>
      </c>
      <c r="N146" s="99">
        <v>0</v>
      </c>
      <c r="O146" s="99" t="inlineStr">
        <is>
          <t xml:space="preserve"> </t>
        </is>
      </c>
      <c r="P146" s="99" t="inlineStr">
        <is>
          <t xml:space="preserve"> </t>
        </is>
      </c>
      <c r="Q146" s="99" t="inlineStr">
        <is>
          <t xml:space="preserve"> </t>
        </is>
      </c>
      <c r="R146" s="100" t="inlineStr">
        <is>
          <t xml:space="preserve"> </t>
        </is>
      </c>
      <c r="S146" t="inlineStr">
        <is>
          <t>No se encontró ejecución en CUIPO</t>
        </is>
      </c>
      <c r="T146" s="101" t="inlineStr">
        <is>
          <t xml:space="preserve"> </t>
        </is>
      </c>
      <c r="U146" s="101" t="inlineStr">
        <is>
          <t xml:space="preserve"> </t>
        </is>
      </c>
      <c r="V146" s="101" t="inlineStr">
        <is>
          <t xml:space="preserve"> </t>
        </is>
      </c>
      <c r="W146" s="102" t="inlineStr">
        <is>
          <t xml:space="preserve"> </t>
        </is>
      </c>
      <c r="X146" t="inlineStr">
        <is>
          <t>No se encontró ejecución en CUIPO</t>
        </is>
      </c>
    </row>
    <row r="147">
      <c r="A147" t="inlineStr">
        <is>
          <t>IP-296, IP-97</t>
        </is>
      </c>
      <c r="B147" t="inlineStr">
        <is>
          <t>45</t>
        </is>
      </c>
      <c r="C147" t="inlineStr">
        <is>
          <t>Gobierno Territorial</t>
        </is>
      </c>
      <c r="D147" t="inlineStr">
        <is>
          <t>4599</t>
        </is>
      </c>
      <c r="E147" t="inlineStr">
        <is>
          <t>Fortalecimiento a la gestión y dirección de la administración pública territorial</t>
        </is>
      </c>
      <c r="F147" t="inlineStr">
        <is>
          <t>4599017</t>
        </is>
      </c>
      <c r="G147" t="inlineStr">
        <is>
          <t>Servicio de gestión documental</t>
        </is>
      </c>
      <c r="H147"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147" t="inlineStr">
        <is>
          <t>2024258990061</t>
        </is>
      </c>
      <c r="J147" s="99">
        <v>528529125.998</v>
      </c>
      <c r="K147" s="99">
        <v>140489840</v>
      </c>
      <c r="L147" s="99">
        <v>388039285.998</v>
      </c>
      <c r="M147" s="99">
        <v>0</v>
      </c>
      <c r="N147" s="99">
        <v>0</v>
      </c>
      <c r="O147" s="99">
        <v>37466983</v>
      </c>
      <c r="P147" s="99">
        <v>37466983</v>
      </c>
      <c r="Q147" s="99">
        <v>37466983</v>
      </c>
      <c r="R147" s="100">
        <v>0.266688203218112</v>
      </c>
      <c r="S147" t="inlineStr">
        <is>
          <t>Lo obligado está por debajo de lo programado en la vigencia</t>
        </is>
      </c>
      <c r="T147" s="101" t="inlineStr">
        <is>
          <t xml:space="preserve"> </t>
        </is>
      </c>
      <c r="U147" s="101" t="inlineStr">
        <is>
          <t xml:space="preserve"> </t>
        </is>
      </c>
      <c r="V147" s="101" t="inlineStr">
        <is>
          <t xml:space="preserve"> </t>
        </is>
      </c>
      <c r="W147" s="102" t="inlineStr">
        <is>
          <t xml:space="preserve"> </t>
        </is>
      </c>
      <c r="X147" t="inlineStr">
        <is>
          <t>No se encontró ejecución en CUIPO</t>
        </is>
      </c>
    </row>
    <row r="148">
      <c r="A148" t="inlineStr">
        <is>
          <t>IP-297, IP-98</t>
        </is>
      </c>
      <c r="B148" t="inlineStr">
        <is>
          <t>19</t>
        </is>
      </c>
      <c r="C148" t="inlineStr">
        <is>
          <t>Salud y protección social</t>
        </is>
      </c>
      <c r="D148" t="inlineStr">
        <is>
          <t>1906</t>
        </is>
      </c>
      <c r="E148" t="inlineStr">
        <is>
          <t>Aseguramiento y prestación integral de servicios de salud</t>
        </is>
      </c>
      <c r="F148" t="inlineStr">
        <is>
          <t>1906044</t>
        </is>
      </c>
      <c r="G148" t="inlineStr">
        <is>
          <t>Servicio de afiliaciones al régimen subsidiado del Sistema General de Seguridad Social</t>
        </is>
      </c>
      <c r="H148"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148" t="inlineStr">
        <is>
          <t>2024258990026</t>
        </is>
      </c>
      <c r="J148" s="99">
        <v>477106644704</v>
      </c>
      <c r="K148" s="99">
        <v>51931745152</v>
      </c>
      <c r="L148" s="99">
        <v>100716822900</v>
      </c>
      <c r="M148" s="99">
        <v>162229038326</v>
      </c>
      <c r="N148" s="99">
        <v>162229038326</v>
      </c>
      <c r="O148" s="99">
        <v>26618467423</v>
      </c>
      <c r="P148" s="99">
        <v>26618467423</v>
      </c>
      <c r="Q148" s="99">
        <v>26618467423</v>
      </c>
      <c r="R148" s="100">
        <v>0.512566395469475</v>
      </c>
      <c r="S148" t="inlineStr">
        <is>
          <t>Lo obligado está por debajo de lo programado en la vigencia</t>
        </is>
      </c>
      <c r="T148" s="101" t="inlineStr">
        <is>
          <t xml:space="preserve"> </t>
        </is>
      </c>
      <c r="U148" s="101" t="inlineStr">
        <is>
          <t xml:space="preserve"> </t>
        </is>
      </c>
      <c r="V148" s="101" t="inlineStr">
        <is>
          <t xml:space="preserve"> </t>
        </is>
      </c>
      <c r="W148" s="102" t="inlineStr">
        <is>
          <t xml:space="preserve"> </t>
        </is>
      </c>
      <c r="X148" t="inlineStr">
        <is>
          <t>No se encontró ejecución en CUIPO</t>
        </is>
      </c>
    </row>
    <row r="149">
      <c r="A149" t="inlineStr">
        <is>
          <t>IP-298, IP-99</t>
        </is>
      </c>
      <c r="B149" t="inlineStr">
        <is>
          <t>19</t>
        </is>
      </c>
      <c r="C149" t="inlineStr">
        <is>
          <t>Salud y protección social</t>
        </is>
      </c>
      <c r="D149" t="inlineStr">
        <is>
          <t>1905</t>
        </is>
      </c>
      <c r="E149" t="inlineStr">
        <is>
          <t>Salud pública</t>
        </is>
      </c>
      <c r="F149" t="inlineStr">
        <is>
          <t>1905015</t>
        </is>
      </c>
      <c r="G149" t="inlineStr">
        <is>
          <t>Documentos de planeación</t>
        </is>
      </c>
      <c r="H149" t="inlineStr">
        <is>
          <t>Documentos cuyo objetivo es plasmar una visión de futuro a nivel país, entidad territorial, comunidad, sector, región, entidad o cualquier nivel de desagregación que se requiera. Incluye objetivos, estrategias, metas e indicadores.</t>
        </is>
      </c>
      <c r="I149" t="inlineStr">
        <is>
          <t>2024258990025</t>
        </is>
      </c>
      <c r="J149" s="99">
        <v>2029014032</v>
      </c>
      <c r="K149" s="99">
        <v>72200000</v>
      </c>
      <c r="L149" s="99">
        <v>186925200</v>
      </c>
      <c r="M149" s="99">
        <v>442472208</v>
      </c>
      <c r="N149" s="99">
        <v>1327416624</v>
      </c>
      <c r="O149" s="99">
        <v>31594000</v>
      </c>
      <c r="P149" s="99">
        <v>31594000</v>
      </c>
      <c r="Q149" s="99">
        <v>31594000</v>
      </c>
      <c r="R149" s="100">
        <v>0.437590027700831</v>
      </c>
      <c r="S149" t="inlineStr">
        <is>
          <t>Lo obligado está por debajo de lo programado en la vigencia</t>
        </is>
      </c>
      <c r="T149" s="101">
        <v>2847742550</v>
      </c>
      <c r="U149" s="101">
        <v>1609427350</v>
      </c>
      <c r="V149" s="101">
        <v>1609427350</v>
      </c>
      <c r="W149" s="102">
        <v>8.61000737193273</v>
      </c>
      <c r="X149" t="inlineStr">
        <is>
          <t>Hubo ejecución por encima de lo programado en SisPT</t>
        </is>
      </c>
    </row>
    <row r="150">
      <c r="J150" s="99"/>
      <c r="K150" s="99"/>
      <c r="L150" s="99"/>
      <c r="M150" s="99"/>
      <c r="N150" s="99"/>
      <c r="O150" s="99"/>
      <c r="P150" s="99"/>
      <c r="Q150" s="99"/>
      <c r="R150" s="100"/>
      <c r="T150" s="101"/>
      <c r="U150" s="101"/>
      <c r="V150" s="101"/>
      <c r="W150"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180"/>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IP-2, IP-200, IP-202, IP-4</t>
        </is>
      </c>
      <c r="B8" t="inlineStr">
        <is>
          <t>45</t>
        </is>
      </c>
      <c r="C8" t="inlineStr">
        <is>
          <t>Gobierno Territorial</t>
        </is>
      </c>
      <c r="D8" t="inlineStr">
        <is>
          <t>4599</t>
        </is>
      </c>
      <c r="E8" t="inlineStr">
        <is>
          <t>Fortalecimiento a la gestión y dirección de la administración pública territorial</t>
        </is>
      </c>
      <c r="F8" t="inlineStr">
        <is>
          <t>4599002</t>
        </is>
      </c>
      <c r="G8" t="inlineStr">
        <is>
          <t>Servicio de saneamiento fiscal y financiero</t>
        </is>
      </c>
      <c r="H8" t="inlineStr">
        <is>
          <t>459900200</t>
        </is>
      </c>
      <c r="I8" t="inlineStr">
        <is>
          <t>Programa de sanemiento fiscal y financiero ejecutado</t>
        </is>
      </c>
      <c r="J8" t="inlineStr">
        <is>
          <t>2024258990055</t>
        </is>
      </c>
      <c r="K8" t="inlineStr">
        <is>
          <t>No</t>
        </is>
      </c>
      <c r="L8" t="inlineStr">
        <is>
          <t>Porcentaje</t>
        </is>
      </c>
      <c r="M8">
        <v>12000.7</v>
      </c>
      <c r="N8">
        <v>2000.3</v>
      </c>
      <c r="O8">
        <v>4000.14</v>
      </c>
      <c r="P8">
        <v>3000.14</v>
      </c>
      <c r="Q8">
        <v>3000.12</v>
      </c>
      <c r="R8">
        <v>0</v>
      </c>
      <c r="S8" s="103">
        <v>0</v>
      </c>
      <c r="T8" t="inlineStr">
        <is>
          <t>No se ejecutó en la vigencia</t>
        </is>
      </c>
      <c r="U8">
        <v>10</v>
      </c>
      <c r="V8" s="104">
        <v>0.00249991250306239</v>
      </c>
      <c r="W8" t="inlineStr">
        <is>
          <t>Lo ejecutado está por debajo de lo programado en la vigencia</t>
        </is>
      </c>
    </row>
    <row r="9">
      <c r="A9" t="inlineStr">
        <is>
          <t>IP-10, IP-208</t>
        </is>
      </c>
      <c r="B9" t="inlineStr">
        <is>
          <t>45</t>
        </is>
      </c>
      <c r="C9" t="inlineStr">
        <is>
          <t>Gobierno Territorial</t>
        </is>
      </c>
      <c r="D9" t="inlineStr">
        <is>
          <t>4599</t>
        </is>
      </c>
      <c r="E9" t="inlineStr">
        <is>
          <t>Fortalecimiento a la gestión y dirección de la administración pública territorial</t>
        </is>
      </c>
      <c r="F9" t="inlineStr">
        <is>
          <t>4599019</t>
        </is>
      </c>
      <c r="G9" t="inlineStr">
        <is>
          <t>Documentos de planeación</t>
        </is>
      </c>
      <c r="H9" t="inlineStr">
        <is>
          <t>459901900</t>
        </is>
      </c>
      <c r="I9" t="inlineStr">
        <is>
          <t>Documentos de planeación realizados</t>
        </is>
      </c>
      <c r="J9" t="inlineStr">
        <is>
          <t>2024258990005</t>
        </is>
      </c>
      <c r="K9" t="inlineStr">
        <is>
          <t>Si</t>
        </is>
      </c>
      <c r="L9" t="inlineStr">
        <is>
          <t>Número</t>
        </is>
      </c>
      <c r="M9">
        <v>2</v>
      </c>
      <c r="N9">
        <v>2</v>
      </c>
      <c r="O9">
        <v>2</v>
      </c>
      <c r="P9">
        <v>2</v>
      </c>
      <c r="Q9">
        <v>2</v>
      </c>
      <c r="R9" t="inlineStr">
        <is>
          <t xml:space="preserve"> </t>
        </is>
      </c>
      <c r="S9" s="103" t="inlineStr">
        <is>
          <t xml:space="preserve"> </t>
        </is>
      </c>
      <c r="T9" t="inlineStr">
        <is>
          <t>No se encontró ejecución en PIIP</t>
        </is>
      </c>
      <c r="U9" t="inlineStr">
        <is>
          <t xml:space="preserve"> </t>
        </is>
      </c>
      <c r="V9" s="104" t="inlineStr">
        <is>
          <t xml:space="preserve"> </t>
        </is>
      </c>
      <c r="W9" t="inlineStr">
        <is>
          <t>No se encontró ejecución en PIIP</t>
        </is>
      </c>
    </row>
    <row r="10">
      <c r="A10" t="inlineStr">
        <is>
          <t>IP-11, IP-209</t>
        </is>
      </c>
      <c r="B10" t="inlineStr">
        <is>
          <t>45</t>
        </is>
      </c>
      <c r="C10" t="inlineStr">
        <is>
          <t>Gobierno Territorial</t>
        </is>
      </c>
      <c r="D10" t="inlineStr">
        <is>
          <t>4502</t>
        </is>
      </c>
      <c r="E10" t="inlineStr">
        <is>
          <t>Fortalecimiento del buen gobierno para el respeto y garantía de los derechos humanos.</t>
        </is>
      </c>
      <c r="F10" t="inlineStr">
        <is>
          <t>4502022</t>
        </is>
      </c>
      <c r="G10" t="inlineStr">
        <is>
          <t>Servicio de asistencia técnica</t>
        </is>
      </c>
      <c r="H10" t="inlineStr">
        <is>
          <t>450202207</t>
        </is>
      </c>
      <c r="I10" t="inlineStr">
        <is>
          <t>Entidades asistidas técnicamente</t>
        </is>
      </c>
      <c r="J10" t="inlineStr">
        <is>
          <t>2024258990052</t>
        </is>
      </c>
      <c r="K10" t="inlineStr">
        <is>
          <t>No</t>
        </is>
      </c>
      <c r="L10" t="inlineStr">
        <is>
          <t>Número</t>
        </is>
      </c>
      <c r="M10">
        <v>14</v>
      </c>
      <c r="N10">
        <v>2</v>
      </c>
      <c r="O10">
        <v>4</v>
      </c>
      <c r="P10">
        <v>4</v>
      </c>
      <c r="Q10">
        <v>4</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IP-12, IP-210</t>
        </is>
      </c>
      <c r="B11" t="inlineStr">
        <is>
          <t>45</t>
        </is>
      </c>
      <c r="C11" t="inlineStr">
        <is>
          <t>Gobierno Territorial</t>
        </is>
      </c>
      <c r="D11" t="inlineStr">
        <is>
          <t>4599</t>
        </is>
      </c>
      <c r="E11" t="inlineStr">
        <is>
          <t>Fortalecimiento a la gestión y dirección de la administración pública territorial</t>
        </is>
      </c>
      <c r="F11" t="inlineStr">
        <is>
          <t>4599023</t>
        </is>
      </c>
      <c r="G11" t="inlineStr">
        <is>
          <t>Servicio de Implementación Sistemas de Gestión</t>
        </is>
      </c>
      <c r="H11" t="inlineStr">
        <is>
          <t>459902301</t>
        </is>
      </c>
      <c r="I11" t="inlineStr">
        <is>
          <t>Metodologías aplicadas</t>
        </is>
      </c>
      <c r="J11" t="inlineStr">
        <is>
          <t>2024258990053</t>
        </is>
      </c>
      <c r="K11" t="inlineStr">
        <is>
          <t>Si</t>
        </is>
      </c>
      <c r="L11" t="inlineStr">
        <is>
          <t>Número</t>
        </is>
      </c>
      <c r="M11">
        <v>380</v>
      </c>
      <c r="N11">
        <v>380</v>
      </c>
      <c r="O11">
        <v>380</v>
      </c>
      <c r="P11">
        <v>380</v>
      </c>
      <c r="Q11">
        <v>380</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IP-13, IP-211</t>
        </is>
      </c>
      <c r="B12" t="inlineStr">
        <is>
          <t>45</t>
        </is>
      </c>
      <c r="C12" t="inlineStr">
        <is>
          <t>Gobierno Territorial</t>
        </is>
      </c>
      <c r="D12" t="inlineStr">
        <is>
          <t>4502</t>
        </is>
      </c>
      <c r="E12" t="inlineStr">
        <is>
          <t>Fortalecimiento del buen gobierno para el respeto y garantía de los derechos humanos.</t>
        </is>
      </c>
      <c r="F12" t="inlineStr">
        <is>
          <t>4502026</t>
        </is>
      </c>
      <c r="G12" t="inlineStr">
        <is>
          <t>Documentos normativos</t>
        </is>
      </c>
      <c r="H12" t="inlineStr">
        <is>
          <t>450202600</t>
        </is>
      </c>
      <c r="I12" t="inlineStr">
        <is>
          <t>Documentos normativos realizados</t>
        </is>
      </c>
      <c r="J12" t="inlineStr">
        <is>
          <t>2024258990052</t>
        </is>
      </c>
      <c r="K12" t="inlineStr">
        <is>
          <t>Si</t>
        </is>
      </c>
      <c r="L12" t="inlineStr">
        <is>
          <t>Número</t>
        </is>
      </c>
      <c r="M12">
        <v>2</v>
      </c>
      <c r="N12">
        <v>0</v>
      </c>
      <c r="O12">
        <v>2</v>
      </c>
      <c r="P12">
        <v>0</v>
      </c>
      <c r="Q12">
        <v>0</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IP-14, IP-212</t>
        </is>
      </c>
      <c r="B13" t="inlineStr">
        <is>
          <t>45</t>
        </is>
      </c>
      <c r="C13" t="inlineStr">
        <is>
          <t>Gobierno Territorial</t>
        </is>
      </c>
      <c r="D13" t="inlineStr">
        <is>
          <t>4599</t>
        </is>
      </c>
      <c r="E13" t="inlineStr">
        <is>
          <t>Fortalecimiento a la gestión y dirección de la administración pública territorial</t>
        </is>
      </c>
      <c r="F13" t="inlineStr">
        <is>
          <t>4599025</t>
        </is>
      </c>
      <c r="G13" t="inlineStr">
        <is>
          <t>Servicios de información implementados</t>
        </is>
      </c>
      <c r="H13" t="inlineStr">
        <is>
          <t>459902500</t>
        </is>
      </c>
      <c r="I13" t="inlineStr">
        <is>
          <t>Sistemas de información implementados</t>
        </is>
      </c>
      <c r="J13" t="inlineStr">
        <is>
          <t>2024258990053</t>
        </is>
      </c>
      <c r="K13" t="inlineStr">
        <is>
          <t>Si</t>
        </is>
      </c>
      <c r="L13" t="inlineStr">
        <is>
          <t>Número</t>
        </is>
      </c>
      <c r="M13">
        <v>2</v>
      </c>
      <c r="N13">
        <v>0</v>
      </c>
      <c r="O13">
        <v>2</v>
      </c>
      <c r="P13">
        <v>2</v>
      </c>
      <c r="Q13">
        <v>2</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IP-15, IP-213</t>
        </is>
      </c>
      <c r="B14" t="inlineStr">
        <is>
          <t>45</t>
        </is>
      </c>
      <c r="C14" t="inlineStr">
        <is>
          <t>Gobierno Territorial</t>
        </is>
      </c>
      <c r="D14" t="inlineStr">
        <is>
          <t>4599</t>
        </is>
      </c>
      <c r="E14" t="inlineStr">
        <is>
          <t>Fortalecimiento a la gestión y dirección de la administración pública territorial</t>
        </is>
      </c>
      <c r="F14" t="inlineStr">
        <is>
          <t>4599018</t>
        </is>
      </c>
      <c r="G14" t="inlineStr">
        <is>
          <t>Documentos de lineamientos técnicos</t>
        </is>
      </c>
      <c r="H14" t="inlineStr">
        <is>
          <t>459901800</t>
        </is>
      </c>
      <c r="I14" t="inlineStr">
        <is>
          <t>Documentos de lineamientos técnicos realizados</t>
        </is>
      </c>
      <c r="J14" t="inlineStr">
        <is>
          <t>2024258990010</t>
        </is>
      </c>
      <c r="K14" t="inlineStr">
        <is>
          <t>No</t>
        </is>
      </c>
      <c r="L14" t="inlineStr">
        <is>
          <t>Número</t>
        </is>
      </c>
      <c r="M14">
        <v>2</v>
      </c>
      <c r="N14">
        <v>0</v>
      </c>
      <c r="O14">
        <v>2</v>
      </c>
      <c r="P14">
        <v>0</v>
      </c>
      <c r="Q14">
        <v>0</v>
      </c>
      <c r="R14">
        <v>0</v>
      </c>
      <c r="S14" s="103" t="inlineStr">
        <is>
          <t xml:space="preserve"> </t>
        </is>
      </c>
      <c r="T14" t="inlineStr">
        <is>
          <t>No se programó ni ejecutó en la vigencia</t>
        </is>
      </c>
      <c r="U14" t="inlineStr">
        <is>
          <t xml:space="preserve"> </t>
        </is>
      </c>
      <c r="V14" s="104" t="inlineStr">
        <is>
          <t xml:space="preserve"> </t>
        </is>
      </c>
      <c r="W14" t="inlineStr">
        <is>
          <t>No se encontró ejecución en PIIP</t>
        </is>
      </c>
    </row>
    <row r="15">
      <c r="A15" t="inlineStr">
        <is>
          <t>IP-16, IP-214</t>
        </is>
      </c>
      <c r="B15" t="inlineStr">
        <is>
          <t>45</t>
        </is>
      </c>
      <c r="C15" t="inlineStr">
        <is>
          <t>Gobierno Territorial</t>
        </is>
      </c>
      <c r="D15" t="inlineStr">
        <is>
          <t>4599</t>
        </is>
      </c>
      <c r="E15" t="inlineStr">
        <is>
          <t>Fortalecimiento a la gestión y dirección de la administración pública territorial</t>
        </is>
      </c>
      <c r="F15" t="inlineStr">
        <is>
          <t>4599011</t>
        </is>
      </c>
      <c r="G15" t="inlineStr">
        <is>
          <t>Sedes adecuadas</t>
        </is>
      </c>
      <c r="H15" t="inlineStr">
        <is>
          <t>459901101</t>
        </is>
      </c>
      <c r="I15" t="inlineStr">
        <is>
          <t>Áreas físicas adecuadas</t>
        </is>
      </c>
      <c r="J15" t="inlineStr">
        <is>
          <t>2024258990010</t>
        </is>
      </c>
      <c r="K15" t="inlineStr">
        <is>
          <t>No</t>
        </is>
      </c>
      <c r="L15" t="inlineStr">
        <is>
          <t>Metros cuadrados</t>
        </is>
      </c>
      <c r="M15">
        <v>320</v>
      </c>
      <c r="N15">
        <v>2</v>
      </c>
      <c r="O15">
        <v>106</v>
      </c>
      <c r="P15">
        <v>108</v>
      </c>
      <c r="Q15">
        <v>104</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IP-17, IP-215</t>
        </is>
      </c>
      <c r="B16" t="inlineStr">
        <is>
          <t>45</t>
        </is>
      </c>
      <c r="C16" t="inlineStr">
        <is>
          <t>Gobierno Territorial</t>
        </is>
      </c>
      <c r="D16" t="inlineStr">
        <is>
          <t>4599</t>
        </is>
      </c>
      <c r="E16" t="inlineStr">
        <is>
          <t>Fortalecimiento a la gestión y dirección de la administración pública territorial</t>
        </is>
      </c>
      <c r="F16" t="inlineStr">
        <is>
          <t>4599021</t>
        </is>
      </c>
      <c r="G16" t="inlineStr">
        <is>
          <t>Documentos normativos</t>
        </is>
      </c>
      <c r="H16" t="inlineStr">
        <is>
          <t>459902100</t>
        </is>
      </c>
      <c r="I16" t="inlineStr">
        <is>
          <t>Documentos normativos realizados</t>
        </is>
      </c>
      <c r="J16" t="inlineStr">
        <is>
          <t>2024258990010</t>
        </is>
      </c>
      <c r="K16" t="inlineStr">
        <is>
          <t>No</t>
        </is>
      </c>
      <c r="L16" t="inlineStr">
        <is>
          <t>Número</t>
        </is>
      </c>
      <c r="M16">
        <v>2</v>
      </c>
      <c r="N16">
        <v>0</v>
      </c>
      <c r="O16">
        <v>1.6</v>
      </c>
      <c r="P16">
        <v>0.4</v>
      </c>
      <c r="Q16">
        <v>0</v>
      </c>
      <c r="R16">
        <v>0</v>
      </c>
      <c r="S16" s="103" t="inlineStr">
        <is>
          <t xml:space="preserve"> </t>
        </is>
      </c>
      <c r="T16" t="inlineStr">
        <is>
          <t>No se programó ni ejecutó en la vigencia</t>
        </is>
      </c>
      <c r="U16">
        <v>2</v>
      </c>
      <c r="V16" s="104">
        <v>1.25</v>
      </c>
      <c r="W16" t="inlineStr">
        <is>
          <t>Hubo ejecución por encima de lo programado en SisPT</t>
        </is>
      </c>
    </row>
    <row r="17">
      <c r="A17" t="inlineStr">
        <is>
          <t>IP-18, IP-216</t>
        </is>
      </c>
      <c r="B17" t="inlineStr">
        <is>
          <t>45</t>
        </is>
      </c>
      <c r="C17" t="inlineStr">
        <is>
          <t>Gobierno Territorial</t>
        </is>
      </c>
      <c r="D17" t="inlineStr">
        <is>
          <t>4599</t>
        </is>
      </c>
      <c r="E17" t="inlineStr">
        <is>
          <t>Fortalecimiento a la gestión y dirección de la administración pública territorial</t>
        </is>
      </c>
      <c r="F17" t="inlineStr">
        <is>
          <t>4599036</t>
        </is>
      </c>
      <c r="G17" t="inlineStr">
        <is>
          <t>Servicio de gestión documental actualizado</t>
        </is>
      </c>
      <c r="H17" t="inlineStr">
        <is>
          <t>459903600</t>
        </is>
      </c>
      <c r="I17" t="inlineStr">
        <is>
          <t>Sistema de gestión documental actualizado</t>
        </is>
      </c>
      <c r="J17" t="inlineStr">
        <is>
          <t>2024258990010</t>
        </is>
      </c>
      <c r="K17" t="inlineStr">
        <is>
          <t>No</t>
        </is>
      </c>
      <c r="L17" t="inlineStr">
        <is>
          <t>Número</t>
        </is>
      </c>
      <c r="M17">
        <v>2</v>
      </c>
      <c r="N17">
        <v>0</v>
      </c>
      <c r="O17">
        <v>0.66</v>
      </c>
      <c r="P17">
        <v>0.66</v>
      </c>
      <c r="Q17">
        <v>0.68</v>
      </c>
      <c r="R17">
        <v>0</v>
      </c>
      <c r="S17" s="103" t="inlineStr">
        <is>
          <t xml:space="preserve"> </t>
        </is>
      </c>
      <c r="T17" t="inlineStr">
        <is>
          <t>No se programó ni ejecutó en la vigencia</t>
        </is>
      </c>
      <c r="U17">
        <v>0.5</v>
      </c>
      <c r="V17" s="104">
        <v>0.757575757575758</v>
      </c>
      <c r="W17" t="inlineStr">
        <is>
          <t>Lo ejecutado está por debajo de lo programado en la vigencia</t>
        </is>
      </c>
    </row>
    <row r="18">
      <c r="A18" t="inlineStr">
        <is>
          <t>IP-19, IP-217</t>
        </is>
      </c>
      <c r="B18" t="inlineStr">
        <is>
          <t>45</t>
        </is>
      </c>
      <c r="C18" t="inlineStr">
        <is>
          <t>Gobierno Territorial</t>
        </is>
      </c>
      <c r="D18" t="inlineStr">
        <is>
          <t>4599</t>
        </is>
      </c>
      <c r="E18" t="inlineStr">
        <is>
          <t>Fortalecimiento a la gestión y dirección de la administración pública territorial</t>
        </is>
      </c>
      <c r="F18" t="inlineStr">
        <is>
          <t>4599029</t>
        </is>
      </c>
      <c r="G18" t="inlineStr">
        <is>
          <t>Servicio de integración de la oferta pública</t>
        </is>
      </c>
      <c r="H18" t="inlineStr">
        <is>
          <t>459902900</t>
        </is>
      </c>
      <c r="I18" t="inlineStr">
        <is>
          <t>Espacios de integración de oferta pública generados</t>
        </is>
      </c>
      <c r="J18" t="inlineStr">
        <is>
          <t>2024258990010</t>
        </is>
      </c>
      <c r="K18" t="inlineStr">
        <is>
          <t>No</t>
        </is>
      </c>
      <c r="L18" t="inlineStr">
        <is>
          <t>Número</t>
        </is>
      </c>
      <c r="M18">
        <v>96</v>
      </c>
      <c r="N18">
        <v>0</v>
      </c>
      <c r="O18">
        <v>40</v>
      </c>
      <c r="P18">
        <v>28</v>
      </c>
      <c r="Q18">
        <v>28</v>
      </c>
      <c r="R18">
        <v>0</v>
      </c>
      <c r="S18" s="103" t="inlineStr">
        <is>
          <t xml:space="preserve"> </t>
        </is>
      </c>
      <c r="T18" t="inlineStr">
        <is>
          <t>No se programó ni ejecutó en la vigencia</t>
        </is>
      </c>
      <c r="U18" t="inlineStr">
        <is>
          <t xml:space="preserve"> </t>
        </is>
      </c>
      <c r="V18" s="104" t="inlineStr">
        <is>
          <t xml:space="preserve"> </t>
        </is>
      </c>
      <c r="W18" t="inlineStr">
        <is>
          <t>No se encontró ejecución en PIIP</t>
        </is>
      </c>
    </row>
    <row r="19">
      <c r="A19" t="inlineStr">
        <is>
          <t>IP-20, IP-218</t>
        </is>
      </c>
      <c r="B19" t="inlineStr">
        <is>
          <t>45</t>
        </is>
      </c>
      <c r="C19" t="inlineStr">
        <is>
          <t>Gobierno Territorial</t>
        </is>
      </c>
      <c r="D19" t="inlineStr">
        <is>
          <t>4599</t>
        </is>
      </c>
      <c r="E19" t="inlineStr">
        <is>
          <t>Fortalecimiento a la gestión y dirección de la administración pública territorial</t>
        </is>
      </c>
      <c r="F19" t="inlineStr">
        <is>
          <t>4599030</t>
        </is>
      </c>
      <c r="G19" t="inlineStr">
        <is>
          <t xml:space="preserve">Servicio de educación informal </t>
        </is>
      </c>
      <c r="H19" t="inlineStr">
        <is>
          <t>459903001</t>
        </is>
      </c>
      <c r="I19" t="inlineStr">
        <is>
          <t>Capacitaciones realizadas</t>
        </is>
      </c>
      <c r="J19" t="inlineStr">
        <is>
          <t>2024258990010</t>
        </is>
      </c>
      <c r="K19" t="inlineStr">
        <is>
          <t>No</t>
        </is>
      </c>
      <c r="L19" t="inlineStr">
        <is>
          <t>Número</t>
        </is>
      </c>
      <c r="M19">
        <v>8</v>
      </c>
      <c r="N19">
        <v>2</v>
      </c>
      <c r="O19">
        <v>2</v>
      </c>
      <c r="P19">
        <v>2</v>
      </c>
      <c r="Q19">
        <v>2</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IP-21, IP-219</t>
        </is>
      </c>
      <c r="B20" t="inlineStr">
        <is>
          <t>45</t>
        </is>
      </c>
      <c r="C20" t="inlineStr">
        <is>
          <t>Gobierno Territorial</t>
        </is>
      </c>
      <c r="D20" t="inlineStr">
        <is>
          <t>4599</t>
        </is>
      </c>
      <c r="E20" t="inlineStr">
        <is>
          <t>Fortalecimiento a la gestión y dirección de la administración pública territorial</t>
        </is>
      </c>
      <c r="F20" t="inlineStr">
        <is>
          <t>4599016</t>
        </is>
      </c>
      <c r="G20" t="inlineStr">
        <is>
          <t>Sedes mantenidas</t>
        </is>
      </c>
      <c r="H20" t="inlineStr">
        <is>
          <t>459901600</t>
        </is>
      </c>
      <c r="I20" t="inlineStr">
        <is>
          <t>Sedes mantenidas</t>
        </is>
      </c>
      <c r="J20" t="inlineStr">
        <is>
          <t>2024258990010</t>
        </is>
      </c>
      <c r="K20" t="inlineStr">
        <is>
          <t>Si</t>
        </is>
      </c>
      <c r="L20" t="inlineStr">
        <is>
          <t>Número</t>
        </is>
      </c>
      <c r="M20">
        <v>12</v>
      </c>
      <c r="N20">
        <v>12</v>
      </c>
      <c r="O20">
        <v>12</v>
      </c>
      <c r="P20">
        <v>12</v>
      </c>
      <c r="Q20">
        <v>12</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IP-22, IP-220</t>
        </is>
      </c>
      <c r="B21" t="inlineStr">
        <is>
          <t>45</t>
        </is>
      </c>
      <c r="C21" t="inlineStr">
        <is>
          <t>Gobierno Territorial</t>
        </is>
      </c>
      <c r="D21" t="inlineStr">
        <is>
          <t>4599</t>
        </is>
      </c>
      <c r="E21" t="inlineStr">
        <is>
          <t>Fortalecimiento a la gestión y dirección de la administración pública territorial</t>
        </is>
      </c>
      <c r="F21" t="inlineStr">
        <is>
          <t>4599023</t>
        </is>
      </c>
      <c r="G21" t="inlineStr">
        <is>
          <t>Servicio de Implementación Sistemas de Gestión</t>
        </is>
      </c>
      <c r="H21" t="inlineStr">
        <is>
          <t>459902304</t>
        </is>
      </c>
      <c r="I21" t="inlineStr">
        <is>
          <t>Herramientas implementadas</t>
        </is>
      </c>
      <c r="J21" t="inlineStr">
        <is>
          <t>2024258990010</t>
        </is>
      </c>
      <c r="K21" t="inlineStr">
        <is>
          <t>No</t>
        </is>
      </c>
      <c r="L21" t="inlineStr">
        <is>
          <t>Número</t>
        </is>
      </c>
      <c r="M21">
        <v>2</v>
      </c>
      <c r="N21">
        <v>0.38</v>
      </c>
      <c r="O21">
        <v>0.54</v>
      </c>
      <c r="P21">
        <v>0.54</v>
      </c>
      <c r="Q21">
        <v>0.54</v>
      </c>
      <c r="R21" t="inlineStr">
        <is>
          <t xml:space="preserve"> </t>
        </is>
      </c>
      <c r="S21" s="103" t="inlineStr">
        <is>
          <t xml:space="preserve"> </t>
        </is>
      </c>
      <c r="T21" t="inlineStr">
        <is>
          <t>No se encontró ejecución en PIIP</t>
        </is>
      </c>
      <c r="U21" t="inlineStr">
        <is>
          <t xml:space="preserve"> </t>
        </is>
      </c>
      <c r="V21" s="104" t="inlineStr">
        <is>
          <t xml:space="preserve"> </t>
        </is>
      </c>
      <c r="W21" t="inlineStr">
        <is>
          <t>No se encontró ejecución en PIIP</t>
        </is>
      </c>
    </row>
    <row r="22">
      <c r="A22" t="inlineStr">
        <is>
          <t>IP-100, IP-299</t>
        </is>
      </c>
      <c r="B22" t="inlineStr">
        <is>
          <t>19</t>
        </is>
      </c>
      <c r="C22" t="inlineStr">
        <is>
          <t>Salud y protección social</t>
        </is>
      </c>
      <c r="D22" t="inlineStr">
        <is>
          <t>1905</t>
        </is>
      </c>
      <c r="E22" t="inlineStr">
        <is>
          <t>Salud pública</t>
        </is>
      </c>
      <c r="F22" t="inlineStr">
        <is>
          <t>1905049</t>
        </is>
      </c>
      <c r="G22" t="inlineStr">
        <is>
          <t>Servicio de promoción de la participación social en salud</t>
        </is>
      </c>
      <c r="H22" t="inlineStr">
        <is>
          <t>190504901</t>
        </is>
      </c>
      <c r="I22" t="inlineStr">
        <is>
          <t>Personas que participan en estrategias de promoción de la participación social en Salud</t>
        </is>
      </c>
      <c r="J22" t="inlineStr">
        <is>
          <t>2024258990025</t>
        </is>
      </c>
      <c r="K22" t="inlineStr">
        <is>
          <t>Si</t>
        </is>
      </c>
      <c r="L22" t="inlineStr">
        <is>
          <t>Número</t>
        </is>
      </c>
      <c r="M22">
        <v>2</v>
      </c>
      <c r="N22">
        <v>0.2</v>
      </c>
      <c r="O22">
        <v>0.8</v>
      </c>
      <c r="P22">
        <v>1.4</v>
      </c>
      <c r="Q22">
        <v>2</v>
      </c>
      <c r="R22" t="inlineStr">
        <is>
          <t xml:space="preserve"> </t>
        </is>
      </c>
      <c r="S22" s="103" t="inlineStr">
        <is>
          <t xml:space="preserve"> </t>
        </is>
      </c>
      <c r="T22" t="inlineStr">
        <is>
          <t>No se encontró ejecución en PIIP</t>
        </is>
      </c>
      <c r="U22" t="inlineStr">
        <is>
          <t xml:space="preserve"> </t>
        </is>
      </c>
      <c r="V22" s="104" t="inlineStr">
        <is>
          <t xml:space="preserve"> </t>
        </is>
      </c>
      <c r="W22" t="inlineStr">
        <is>
          <t>No se encontró ejecución en PIIP</t>
        </is>
      </c>
    </row>
    <row r="23">
      <c r="A23" t="inlineStr">
        <is>
          <t>IP-101, IP-300</t>
        </is>
      </c>
      <c r="B23" t="inlineStr">
        <is>
          <t>19</t>
        </is>
      </c>
      <c r="C23" t="inlineStr">
        <is>
          <t>Salud y protección social</t>
        </is>
      </c>
      <c r="D23" t="inlineStr">
        <is>
          <t>1905</t>
        </is>
      </c>
      <c r="E23" t="inlineStr">
        <is>
          <t>Salud pública</t>
        </is>
      </c>
      <c r="F23" t="inlineStr">
        <is>
          <t>1905037</t>
        </is>
      </c>
      <c r="G23" t="inlineStr">
        <is>
          <t>Documentos de investigación</t>
        </is>
      </c>
      <c r="H23" t="inlineStr">
        <is>
          <t>190503701</t>
        </is>
      </c>
      <c r="I23" t="inlineStr">
        <is>
          <t>Documentos de análisis de salud pública elaborados</t>
        </is>
      </c>
      <c r="J23" t="inlineStr">
        <is>
          <t>2024258990025</t>
        </is>
      </c>
      <c r="K23" t="inlineStr">
        <is>
          <t>No</t>
        </is>
      </c>
      <c r="L23" t="inlineStr">
        <is>
          <t>Número</t>
        </is>
      </c>
      <c r="M23">
        <v>6</v>
      </c>
      <c r="N23">
        <v>0</v>
      </c>
      <c r="O23">
        <v>2</v>
      </c>
      <c r="P23">
        <v>2</v>
      </c>
      <c r="Q23">
        <v>2</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IP-102, IP-301</t>
        </is>
      </c>
      <c r="B24" t="inlineStr">
        <is>
          <t>19</t>
        </is>
      </c>
      <c r="C24" t="inlineStr">
        <is>
          <t>Salud y protección social</t>
        </is>
      </c>
      <c r="D24" t="inlineStr">
        <is>
          <t>1905</t>
        </is>
      </c>
      <c r="E24" t="inlineStr">
        <is>
          <t>Salud pública</t>
        </is>
      </c>
      <c r="F24" t="inlineStr">
        <is>
          <t>1905049</t>
        </is>
      </c>
      <c r="G24" t="inlineStr">
        <is>
          <t>Servicio de promoción de la participación social en salud</t>
        </is>
      </c>
      <c r="H24" t="inlineStr">
        <is>
          <t>190504900</t>
        </is>
      </c>
      <c r="I24" t="inlineStr">
        <is>
          <t>Estrategias de promoción de la participación social en salud implementadas</t>
        </is>
      </c>
      <c r="J24" t="inlineStr">
        <is>
          <t>2024258990025</t>
        </is>
      </c>
      <c r="K24" t="inlineStr">
        <is>
          <t>Si</t>
        </is>
      </c>
      <c r="L24" t="inlineStr">
        <is>
          <t>Número</t>
        </is>
      </c>
      <c r="M24">
        <v>2</v>
      </c>
      <c r="N24">
        <v>0.2</v>
      </c>
      <c r="O24">
        <v>0.8</v>
      </c>
      <c r="P24">
        <v>1.4</v>
      </c>
      <c r="Q24">
        <v>2</v>
      </c>
      <c r="R24" t="inlineStr">
        <is>
          <t xml:space="preserve"> </t>
        </is>
      </c>
      <c r="S24" s="103" t="inlineStr">
        <is>
          <t xml:space="preserve"> </t>
        </is>
      </c>
      <c r="T24" t="inlineStr">
        <is>
          <t>No se encontró ejecución en PIIP</t>
        </is>
      </c>
      <c r="U24" t="inlineStr">
        <is>
          <t xml:space="preserve"> </t>
        </is>
      </c>
      <c r="V24" s="104" t="inlineStr">
        <is>
          <t xml:space="preserve"> </t>
        </is>
      </c>
      <c r="W24" t="inlineStr">
        <is>
          <t>No se encontró ejecución en PIIP</t>
        </is>
      </c>
    </row>
    <row r="25">
      <c r="A25" t="inlineStr">
        <is>
          <t>IP-103, IP-302</t>
        </is>
      </c>
      <c r="B25" t="inlineStr">
        <is>
          <t>12</t>
        </is>
      </c>
      <c r="C25" t="inlineStr">
        <is>
          <t>Justicia y del derecho</t>
        </is>
      </c>
      <c r="D25" t="inlineStr">
        <is>
          <t>1203</t>
        </is>
      </c>
      <c r="E25" t="inlineStr">
        <is>
          <t>Promoción de los métodos de resolución de conflictos</t>
        </is>
      </c>
      <c r="F25" t="inlineStr">
        <is>
          <t>1203011</t>
        </is>
      </c>
      <c r="G25" t="inlineStr">
        <is>
          <t>Servicio de asistencia técnica para la implementación de los métodos de solución de conflictos</t>
        </is>
      </c>
      <c r="H25" t="inlineStr">
        <is>
          <t>120301100</t>
        </is>
      </c>
      <c r="I25" t="inlineStr">
        <is>
          <t>Asistencias técnicas realizadas</t>
        </is>
      </c>
      <c r="J25" t="inlineStr">
        <is>
          <t>2024258990021</t>
        </is>
      </c>
      <c r="K25" t="inlineStr">
        <is>
          <t>Si</t>
        </is>
      </c>
      <c r="L25" t="inlineStr">
        <is>
          <t>Número</t>
        </is>
      </c>
      <c r="M25">
        <v>16</v>
      </c>
      <c r="N25">
        <v>7</v>
      </c>
      <c r="O25">
        <v>16</v>
      </c>
      <c r="P25">
        <v>16</v>
      </c>
      <c r="Q25">
        <v>16</v>
      </c>
      <c r="R25" t="inlineStr">
        <is>
          <t xml:space="preserve"> </t>
        </is>
      </c>
      <c r="S25" s="103" t="inlineStr">
        <is>
          <t xml:space="preserve"> </t>
        </is>
      </c>
      <c r="T25" t="inlineStr">
        <is>
          <t>No se encontró ejecución en PIIP</t>
        </is>
      </c>
      <c r="U25" t="inlineStr">
        <is>
          <t xml:space="preserve"> </t>
        </is>
      </c>
      <c r="V25" s="104" t="inlineStr">
        <is>
          <t xml:space="preserve"> </t>
        </is>
      </c>
      <c r="W25" t="inlineStr">
        <is>
          <t>No se encontró ejecución en PIIP</t>
        </is>
      </c>
    </row>
    <row r="26">
      <c r="A26" t="inlineStr">
        <is>
          <t>IP-104, IP-303</t>
        </is>
      </c>
      <c r="B26" t="inlineStr">
        <is>
          <t>12</t>
        </is>
      </c>
      <c r="C26" t="inlineStr">
        <is>
          <t>Justicia y del derecho</t>
        </is>
      </c>
      <c r="D26" t="inlineStr">
        <is>
          <t>1203</t>
        </is>
      </c>
      <c r="E26" t="inlineStr">
        <is>
          <t>Promoción de los métodos de resolución de conflictos</t>
        </is>
      </c>
      <c r="F26" t="inlineStr">
        <is>
          <t>1203004</t>
        </is>
      </c>
      <c r="G26" t="inlineStr">
        <is>
          <t>Documentos de planeación</t>
        </is>
      </c>
      <c r="H26" t="inlineStr">
        <is>
          <t>120300400</t>
        </is>
      </c>
      <c r="I26" t="inlineStr">
        <is>
          <t>Documentos de planeación realizados</t>
        </is>
      </c>
      <c r="J26" t="inlineStr">
        <is>
          <t>2024258990021</t>
        </is>
      </c>
      <c r="K26" t="inlineStr">
        <is>
          <t>Si</t>
        </is>
      </c>
      <c r="L26" t="inlineStr">
        <is>
          <t>Número</t>
        </is>
      </c>
      <c r="M26">
        <v>2</v>
      </c>
      <c r="N26">
        <v>2</v>
      </c>
      <c r="O26">
        <v>2</v>
      </c>
      <c r="P26">
        <v>2</v>
      </c>
      <c r="Q26">
        <v>2</v>
      </c>
      <c r="R26" t="inlineStr">
        <is>
          <t xml:space="preserve"> </t>
        </is>
      </c>
      <c r="S26" s="103" t="inlineStr">
        <is>
          <t xml:space="preserve"> </t>
        </is>
      </c>
      <c r="T26" t="inlineStr">
        <is>
          <t>No se encontró ejecución en PIIP</t>
        </is>
      </c>
      <c r="U26" t="inlineStr">
        <is>
          <t xml:space="preserve"> </t>
        </is>
      </c>
      <c r="V26" s="104" t="inlineStr">
        <is>
          <t xml:space="preserve"> </t>
        </is>
      </c>
      <c r="W26" t="inlineStr">
        <is>
          <t>No se encontró ejecución en PIIP</t>
        </is>
      </c>
    </row>
    <row r="27">
      <c r="A27" t="inlineStr">
        <is>
          <t>IP-105, IP-304</t>
        </is>
      </c>
      <c r="B27" t="inlineStr">
        <is>
          <t>12</t>
        </is>
      </c>
      <c r="C27" t="inlineStr">
        <is>
          <t>Justicia y del derecho</t>
        </is>
      </c>
      <c r="D27" t="inlineStr">
        <is>
          <t>1203</t>
        </is>
      </c>
      <c r="E27" t="inlineStr">
        <is>
          <t>Promoción de los métodos de resolución de conflictos</t>
        </is>
      </c>
      <c r="F27" t="inlineStr">
        <is>
          <t>1203005</t>
        </is>
      </c>
      <c r="G27" t="inlineStr">
        <is>
          <t>Documentos de investigación</t>
        </is>
      </c>
      <c r="H27" t="inlineStr">
        <is>
          <t>120300500</t>
        </is>
      </c>
      <c r="I27" t="inlineStr">
        <is>
          <t>Documentos de investigación realizados</t>
        </is>
      </c>
      <c r="J27" t="inlineStr">
        <is>
          <t>2024258990021</t>
        </is>
      </c>
      <c r="K27" t="inlineStr">
        <is>
          <t>No</t>
        </is>
      </c>
      <c r="L27" t="inlineStr">
        <is>
          <t>Número</t>
        </is>
      </c>
      <c r="M27">
        <v>144</v>
      </c>
      <c r="N27">
        <v>36</v>
      </c>
      <c r="O27">
        <v>36</v>
      </c>
      <c r="P27">
        <v>36</v>
      </c>
      <c r="Q27">
        <v>36</v>
      </c>
      <c r="R27">
        <v>0</v>
      </c>
      <c r="S27" s="103">
        <v>0</v>
      </c>
      <c r="T27" t="inlineStr">
        <is>
          <t>No se ejecutó en la vigencia</t>
        </is>
      </c>
      <c r="U27" t="inlineStr">
        <is>
          <t xml:space="preserve"> </t>
        </is>
      </c>
      <c r="V27" s="104" t="inlineStr">
        <is>
          <t xml:space="preserve"> </t>
        </is>
      </c>
      <c r="W27" t="inlineStr">
        <is>
          <t>No se encontró ejecución en PIIP</t>
        </is>
      </c>
    </row>
    <row r="28">
      <c r="A28" t="inlineStr">
        <is>
          <t>IP-106, IP-305</t>
        </is>
      </c>
      <c r="B28" t="inlineStr">
        <is>
          <t>12</t>
        </is>
      </c>
      <c r="C28" t="inlineStr">
        <is>
          <t>Justicia y del derecho</t>
        </is>
      </c>
      <c r="D28" t="inlineStr">
        <is>
          <t>1202</t>
        </is>
      </c>
      <c r="E28" t="inlineStr">
        <is>
          <t>Promoción al acceso a la justicia</t>
        </is>
      </c>
      <c r="F28" t="inlineStr">
        <is>
          <t>1202019</t>
        </is>
      </c>
      <c r="G28" t="inlineStr">
        <is>
          <t>Servicio de promoción del acceso a la justicia</t>
        </is>
      </c>
      <c r="H28" t="inlineStr">
        <is>
          <t>120201900</t>
        </is>
      </c>
      <c r="I28" t="inlineStr">
        <is>
          <t>Estrategias de acceso a la justicia desarrolladas</t>
        </is>
      </c>
      <c r="J28" t="inlineStr">
        <is>
          <t>2024258990020</t>
        </is>
      </c>
      <c r="K28" t="inlineStr">
        <is>
          <t>Si</t>
        </is>
      </c>
      <c r="L28" t="inlineStr">
        <is>
          <t>Número</t>
        </is>
      </c>
      <c r="M28">
        <v>2</v>
      </c>
      <c r="N28">
        <v>2</v>
      </c>
      <c r="O28">
        <v>2</v>
      </c>
      <c r="P28">
        <v>2</v>
      </c>
      <c r="Q28">
        <v>2</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IP-107, IP-306</t>
        </is>
      </c>
      <c r="B29" t="inlineStr">
        <is>
          <t>12</t>
        </is>
      </c>
      <c r="C29" t="inlineStr">
        <is>
          <t>Justicia y del derecho</t>
        </is>
      </c>
      <c r="D29" t="inlineStr">
        <is>
          <t>1202</t>
        </is>
      </c>
      <c r="E29" t="inlineStr">
        <is>
          <t>Promoción al acceso a la justicia</t>
        </is>
      </c>
      <c r="F29" t="inlineStr">
        <is>
          <t>1202032</t>
        </is>
      </c>
      <c r="G29" t="inlineStr">
        <is>
          <t>Servicio de articulación entre la Rama Ejecutiva y la Rama Judicial</t>
        </is>
      </c>
      <c r="H29" t="inlineStr">
        <is>
          <t>120203201</t>
        </is>
      </c>
      <c r="I29" t="inlineStr">
        <is>
          <t>Espacios establecidos</t>
        </is>
      </c>
      <c r="J29" t="inlineStr">
        <is>
          <t>2024258990020</t>
        </is>
      </c>
      <c r="K29" t="inlineStr">
        <is>
          <t>Si</t>
        </is>
      </c>
      <c r="L29" t="inlineStr">
        <is>
          <t>Número</t>
        </is>
      </c>
      <c r="M29">
        <v>20</v>
      </c>
      <c r="N29">
        <v>14</v>
      </c>
      <c r="O29">
        <v>18</v>
      </c>
      <c r="P29">
        <v>20</v>
      </c>
      <c r="Q29">
        <v>20</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IP-108, IP-307</t>
        </is>
      </c>
      <c r="B30" t="inlineStr">
        <is>
          <t>12</t>
        </is>
      </c>
      <c r="C30" t="inlineStr">
        <is>
          <t>Justicia y del derecho</t>
        </is>
      </c>
      <c r="D30" t="inlineStr">
        <is>
          <t>1202</t>
        </is>
      </c>
      <c r="E30" t="inlineStr">
        <is>
          <t>Promoción al acceso a la justicia</t>
        </is>
      </c>
      <c r="F30" t="inlineStr">
        <is>
          <t>1202032</t>
        </is>
      </c>
      <c r="G30" t="inlineStr">
        <is>
          <t>Servicio de articulación entre la Rama Ejecutiva y la Rama Judicial</t>
        </is>
      </c>
      <c r="H30" t="inlineStr">
        <is>
          <t>120203201</t>
        </is>
      </c>
      <c r="I30" t="inlineStr">
        <is>
          <t>Espacios establecidos</t>
        </is>
      </c>
      <c r="J30" t="inlineStr">
        <is>
          <t>2024258990020</t>
        </is>
      </c>
      <c r="K30" t="inlineStr">
        <is>
          <t>No</t>
        </is>
      </c>
      <c r="L30" t="inlineStr">
        <is>
          <t>Número</t>
        </is>
      </c>
      <c r="M30">
        <v>96</v>
      </c>
      <c r="N30">
        <v>24</v>
      </c>
      <c r="O30">
        <v>24</v>
      </c>
      <c r="P30">
        <v>24</v>
      </c>
      <c r="Q30">
        <v>24</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IP-109, IP-308</t>
        </is>
      </c>
      <c r="B31" t="inlineStr">
        <is>
          <t>12</t>
        </is>
      </c>
      <c r="C31" t="inlineStr">
        <is>
          <t>Justicia y del derecho</t>
        </is>
      </c>
      <c r="D31" t="inlineStr">
        <is>
          <t>1203</t>
        </is>
      </c>
      <c r="E31" t="inlineStr">
        <is>
          <t>Promoción de los métodos de resolución de conflictos</t>
        </is>
      </c>
      <c r="F31" t="inlineStr">
        <is>
          <t>1203013</t>
        </is>
      </c>
      <c r="G31" t="inlineStr">
        <is>
          <t>Servicio de información actualizado</t>
        </is>
      </c>
      <c r="H31" t="inlineStr">
        <is>
          <t>120301300</t>
        </is>
      </c>
      <c r="I31" t="inlineStr">
        <is>
          <t>Sistemas de información actualizados</t>
        </is>
      </c>
      <c r="J31" t="inlineStr">
        <is>
          <t>2024258990021</t>
        </is>
      </c>
      <c r="K31" t="inlineStr">
        <is>
          <t>Si</t>
        </is>
      </c>
      <c r="L31" t="inlineStr">
        <is>
          <t>Número</t>
        </is>
      </c>
      <c r="M31">
        <v>20</v>
      </c>
      <c r="N31">
        <v>6</v>
      </c>
      <c r="O31">
        <v>12</v>
      </c>
      <c r="P31">
        <v>18</v>
      </c>
      <c r="Q31">
        <v>20</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IP-110, IP-309</t>
        </is>
      </c>
      <c r="B32" t="inlineStr">
        <is>
          <t>45</t>
        </is>
      </c>
      <c r="C32" t="inlineStr">
        <is>
          <t>Gobierno Territorial</t>
        </is>
      </c>
      <c r="D32" t="inlineStr">
        <is>
          <t>4501</t>
        </is>
      </c>
      <c r="E32" t="inlineStr">
        <is>
          <t>Fortalecimiento de la convivencia y la seguridad ciudadana</t>
        </is>
      </c>
      <c r="F32" t="inlineStr">
        <is>
          <t>4501056</t>
        </is>
      </c>
      <c r="G32" t="inlineStr">
        <is>
          <t>Servicio de apoyo financiero para la justicia y seguridad</t>
        </is>
      </c>
      <c r="H32" t="inlineStr">
        <is>
          <t>450105600</t>
        </is>
      </c>
      <c r="I32" t="inlineStr">
        <is>
          <t>Recompensas entregadas a la ciudadanía</t>
        </is>
      </c>
      <c r="J32" t="inlineStr">
        <is>
          <t>2024258990022</t>
        </is>
      </c>
      <c r="K32" t="inlineStr">
        <is>
          <t>No</t>
        </is>
      </c>
      <c r="L32" t="inlineStr">
        <is>
          <t>Número</t>
        </is>
      </c>
      <c r="M32">
        <v>200000000</v>
      </c>
      <c r="N32">
        <v>0</v>
      </c>
      <c r="O32">
        <v>66666666</v>
      </c>
      <c r="P32">
        <v>66666666</v>
      </c>
      <c r="Q32">
        <v>66666666</v>
      </c>
      <c r="R32">
        <v>0</v>
      </c>
      <c r="S32" s="103" t="inlineStr">
        <is>
          <t xml:space="preserve"> </t>
        </is>
      </c>
      <c r="T32" t="inlineStr">
        <is>
          <t>No se programó ni ejecutó en la vigencia</t>
        </is>
      </c>
      <c r="U32" t="inlineStr">
        <is>
          <t xml:space="preserve"> </t>
        </is>
      </c>
      <c r="V32" s="104" t="inlineStr">
        <is>
          <t xml:space="preserve"> </t>
        </is>
      </c>
      <c r="W32" t="inlineStr">
        <is>
          <t>No se encontró ejecución en PIIP</t>
        </is>
      </c>
    </row>
    <row r="33">
      <c r="A33" t="inlineStr">
        <is>
          <t>IP-111, IP-310</t>
        </is>
      </c>
      <c r="B33" t="inlineStr">
        <is>
          <t>45</t>
        </is>
      </c>
      <c r="C33" t="inlineStr">
        <is>
          <t>Gobierno Territorial</t>
        </is>
      </c>
      <c r="D33" t="inlineStr">
        <is>
          <t>4501</t>
        </is>
      </c>
      <c r="E33" t="inlineStr">
        <is>
          <t>Fortalecimiento de la convivencia y la seguridad ciudadana</t>
        </is>
      </c>
      <c r="F33" t="inlineStr">
        <is>
          <t>4501057</t>
        </is>
      </c>
      <c r="G33" t="inlineStr">
        <is>
          <t>Servicio de apoyo financiero para dotar a miembros de la fuerza publica</t>
        </is>
      </c>
      <c r="H33" t="inlineStr">
        <is>
          <t>450105700</t>
        </is>
      </c>
      <c r="I33" t="inlineStr">
        <is>
          <t>Miembros de la fuerza publica apoyados</t>
        </is>
      </c>
      <c r="J33" t="inlineStr">
        <is>
          <t>2024258990022</t>
        </is>
      </c>
      <c r="K33" t="inlineStr">
        <is>
          <t>Si</t>
        </is>
      </c>
      <c r="L33" t="inlineStr">
        <is>
          <t>Número</t>
        </is>
      </c>
      <c r="M33">
        <v>16</v>
      </c>
      <c r="N33">
        <v>6</v>
      </c>
      <c r="O33">
        <v>10</v>
      </c>
      <c r="P33">
        <v>14</v>
      </c>
      <c r="Q33">
        <v>16</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IP-112, IP-311</t>
        </is>
      </c>
      <c r="B34" t="inlineStr">
        <is>
          <t>12</t>
        </is>
      </c>
      <c r="C34" t="inlineStr">
        <is>
          <t>Justicia y del derecho</t>
        </is>
      </c>
      <c r="D34" t="inlineStr">
        <is>
          <t>1202</t>
        </is>
      </c>
      <c r="E34" t="inlineStr">
        <is>
          <t>Promoción al acceso a la justicia</t>
        </is>
      </c>
      <c r="F34" t="inlineStr">
        <is>
          <t>1202003</t>
        </is>
      </c>
      <c r="G34" t="inlineStr">
        <is>
          <t>Centros de Convivencia Ciudadana en operación</t>
        </is>
      </c>
      <c r="H34" t="inlineStr">
        <is>
          <t>120200300</t>
        </is>
      </c>
      <c r="I34" t="inlineStr">
        <is>
          <t>Centros de Convivencia Ciudadana en operación</t>
        </is>
      </c>
      <c r="J34" t="inlineStr">
        <is>
          <t>2024258990020</t>
        </is>
      </c>
      <c r="K34" t="inlineStr">
        <is>
          <t>Si</t>
        </is>
      </c>
      <c r="L34" t="inlineStr">
        <is>
          <t>Número</t>
        </is>
      </c>
      <c r="M34">
        <v>2</v>
      </c>
      <c r="N34">
        <v>2</v>
      </c>
      <c r="O34">
        <v>2</v>
      </c>
      <c r="P34">
        <v>2</v>
      </c>
      <c r="Q34">
        <v>2</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IP-113, IP-312</t>
        </is>
      </c>
      <c r="B35" t="inlineStr">
        <is>
          <t>12</t>
        </is>
      </c>
      <c r="C35" t="inlineStr">
        <is>
          <t>Justicia y del derecho</t>
        </is>
      </c>
      <c r="D35" t="inlineStr">
        <is>
          <t>1202</t>
        </is>
      </c>
      <c r="E35" t="inlineStr">
        <is>
          <t>Promoción al acceso a la justicia</t>
        </is>
      </c>
      <c r="F35" t="inlineStr">
        <is>
          <t>1202003</t>
        </is>
      </c>
      <c r="G35" t="inlineStr">
        <is>
          <t>Centros de Convivencia Ciudadana en operación</t>
        </is>
      </c>
      <c r="H35" t="inlineStr">
        <is>
          <t>120200300</t>
        </is>
      </c>
      <c r="I35" t="inlineStr">
        <is>
          <t>Centros de Convivencia Ciudadana en operación</t>
        </is>
      </c>
      <c r="J35" t="inlineStr">
        <is>
          <t>2024258990020</t>
        </is>
      </c>
      <c r="K35" t="inlineStr">
        <is>
          <t>No</t>
        </is>
      </c>
      <c r="L35" t="inlineStr">
        <is>
          <t>Número</t>
        </is>
      </c>
      <c r="M35">
        <v>12000</v>
      </c>
      <c r="N35">
        <v>3000</v>
      </c>
      <c r="O35">
        <v>3000</v>
      </c>
      <c r="P35">
        <v>3000</v>
      </c>
      <c r="Q35">
        <v>3000</v>
      </c>
      <c r="R35">
        <v>0</v>
      </c>
      <c r="S35" s="103">
        <v>0</v>
      </c>
      <c r="T35" t="inlineStr">
        <is>
          <t>No se ejecutó en la vigencia</t>
        </is>
      </c>
      <c r="U35" t="inlineStr">
        <is>
          <t xml:space="preserve"> </t>
        </is>
      </c>
      <c r="V35" s="104" t="inlineStr">
        <is>
          <t xml:space="preserve"> </t>
        </is>
      </c>
      <c r="W35" t="inlineStr">
        <is>
          <t>No se encontró ejecución en PIIP</t>
        </is>
      </c>
    </row>
    <row r="36">
      <c r="A36" t="inlineStr">
        <is>
          <t>IP-114, IP-313</t>
        </is>
      </c>
      <c r="B36" t="inlineStr">
        <is>
          <t>45</t>
        </is>
      </c>
      <c r="C36" t="inlineStr">
        <is>
          <t>Gobierno Territorial</t>
        </is>
      </c>
      <c r="D36" t="inlineStr">
        <is>
          <t>4503</t>
        </is>
      </c>
      <c r="E36" t="inlineStr">
        <is>
          <t>Gestión del riesgo de desastres y emergencias</t>
        </is>
      </c>
      <c r="F36" t="inlineStr">
        <is>
          <t>4503017</t>
        </is>
      </c>
      <c r="G36" t="inlineStr">
        <is>
          <t>Estudios de riesgo de desastres</t>
        </is>
      </c>
      <c r="H36" t="inlineStr">
        <is>
          <t>450301700</t>
        </is>
      </c>
      <c r="I36" t="inlineStr">
        <is>
          <t>Estudios de riesgo de desastres elaborados</t>
        </is>
      </c>
      <c r="J36" t="inlineStr">
        <is>
          <t>2024258990023</t>
        </is>
      </c>
      <c r="K36" t="inlineStr">
        <is>
          <t>No</t>
        </is>
      </c>
      <c r="L36" t="inlineStr">
        <is>
          <t>Número</t>
        </is>
      </c>
      <c r="M36">
        <v>8</v>
      </c>
      <c r="N36">
        <v>2</v>
      </c>
      <c r="O36">
        <v>4</v>
      </c>
      <c r="P36">
        <v>2</v>
      </c>
      <c r="Q36">
        <v>0</v>
      </c>
      <c r="R36">
        <v>0</v>
      </c>
      <c r="S36" s="103">
        <v>0</v>
      </c>
      <c r="T36" t="inlineStr">
        <is>
          <t>No se ejecutó en la vigencia</t>
        </is>
      </c>
      <c r="U36" t="inlineStr">
        <is>
          <t xml:space="preserve"> </t>
        </is>
      </c>
      <c r="V36" s="104" t="inlineStr">
        <is>
          <t xml:space="preserve"> </t>
        </is>
      </c>
      <c r="W36" t="inlineStr">
        <is>
          <t>No se encontró ejecución en PIIP</t>
        </is>
      </c>
    </row>
    <row r="37">
      <c r="A37" t="inlineStr">
        <is>
          <t>IP-115, IP-314</t>
        </is>
      </c>
      <c r="B37" t="inlineStr">
        <is>
          <t>45</t>
        </is>
      </c>
      <c r="C37" t="inlineStr">
        <is>
          <t>Gobierno Territorial</t>
        </is>
      </c>
      <c r="D37" t="inlineStr">
        <is>
          <t>4503</t>
        </is>
      </c>
      <c r="E37" t="inlineStr">
        <is>
          <t>Gestión del riesgo de desastres y emergencias</t>
        </is>
      </c>
      <c r="F37" t="inlineStr">
        <is>
          <t>4503022</t>
        </is>
      </c>
      <c r="G37" t="inlineStr">
        <is>
          <t>Obras de infraestructura para la reducción del riesgo de desastres</t>
        </is>
      </c>
      <c r="H37" t="inlineStr">
        <is>
          <t>450302200</t>
        </is>
      </c>
      <c r="I37" t="inlineStr">
        <is>
          <t>Obras de infraestructura para la reducción del riesgo de desastres realizadas</t>
        </is>
      </c>
      <c r="J37" t="inlineStr">
        <is>
          <t>2024258990023</t>
        </is>
      </c>
      <c r="K37" t="inlineStr">
        <is>
          <t>No</t>
        </is>
      </c>
      <c r="L37" t="inlineStr">
        <is>
          <t>Número</t>
        </is>
      </c>
      <c r="M37">
        <v>10</v>
      </c>
      <c r="N37">
        <v>0</v>
      </c>
      <c r="O37">
        <v>4</v>
      </c>
      <c r="P37">
        <v>4</v>
      </c>
      <c r="Q37">
        <v>2</v>
      </c>
      <c r="R37">
        <v>0</v>
      </c>
      <c r="S37" s="103" t="inlineStr">
        <is>
          <t xml:space="preserve"> </t>
        </is>
      </c>
      <c r="T37" t="inlineStr">
        <is>
          <t>No se programó ni ejecutó en la vigencia</t>
        </is>
      </c>
      <c r="U37" t="inlineStr">
        <is>
          <t xml:space="preserve"> </t>
        </is>
      </c>
      <c r="V37" s="104" t="inlineStr">
        <is>
          <t xml:space="preserve"> </t>
        </is>
      </c>
      <c r="W37" t="inlineStr">
        <is>
          <t>No se encontró ejecución en PIIP</t>
        </is>
      </c>
    </row>
    <row r="38">
      <c r="A38" t="inlineStr">
        <is>
          <t>IP-116, IP-315</t>
        </is>
      </c>
      <c r="B38" t="inlineStr">
        <is>
          <t>45</t>
        </is>
      </c>
      <c r="C38" t="inlineStr">
        <is>
          <t>Gobierno Territorial</t>
        </is>
      </c>
      <c r="D38" t="inlineStr">
        <is>
          <t>4503</t>
        </is>
      </c>
      <c r="E38" t="inlineStr">
        <is>
          <t>Gestión del riesgo de desastres y emergencias</t>
        </is>
      </c>
      <c r="F38" t="inlineStr">
        <is>
          <t>4503016</t>
        </is>
      </c>
      <c r="G38" t="inlineStr">
        <is>
          <t>Servicio de fortalecimiento a las salas de crisis territorial</t>
        </is>
      </c>
      <c r="H38" t="inlineStr">
        <is>
          <t>450301600</t>
        </is>
      </c>
      <c r="I38" t="inlineStr">
        <is>
          <t>Organismos de atención de emergencias fortalecidos</t>
        </is>
      </c>
      <c r="J38" t="inlineStr">
        <is>
          <t>2024258990023</t>
        </is>
      </c>
      <c r="K38" t="inlineStr">
        <is>
          <t>Si</t>
        </is>
      </c>
      <c r="L38" t="inlineStr">
        <is>
          <t>Número</t>
        </is>
      </c>
      <c r="M38">
        <v>4</v>
      </c>
      <c r="N38">
        <v>4</v>
      </c>
      <c r="O38">
        <v>4</v>
      </c>
      <c r="P38">
        <v>4</v>
      </c>
      <c r="Q38">
        <v>4</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IP-117, IP-316</t>
        </is>
      </c>
      <c r="B39" t="inlineStr">
        <is>
          <t>45</t>
        </is>
      </c>
      <c r="C39" t="inlineStr">
        <is>
          <t>Gobierno Territorial</t>
        </is>
      </c>
      <c r="D39" t="inlineStr">
        <is>
          <t>4503</t>
        </is>
      </c>
      <c r="E39" t="inlineStr">
        <is>
          <t>Gestión del riesgo de desastres y emergencias</t>
        </is>
      </c>
      <c r="F39" t="inlineStr">
        <is>
          <t>4503023</t>
        </is>
      </c>
      <c r="G39" t="inlineStr">
        <is>
          <t>Documentos de planeación</t>
        </is>
      </c>
      <c r="H39" t="inlineStr">
        <is>
          <t>450302303</t>
        </is>
      </c>
      <c r="I39" t="inlineStr">
        <is>
          <t>Estrategia para la respuesta a emergencias formulada</t>
        </is>
      </c>
      <c r="J39" t="inlineStr">
        <is>
          <t>2024258990023</t>
        </is>
      </c>
      <c r="K39" t="inlineStr">
        <is>
          <t>Si</t>
        </is>
      </c>
      <c r="L39" t="inlineStr">
        <is>
          <t>Número</t>
        </is>
      </c>
      <c r="M39">
        <v>8</v>
      </c>
      <c r="N39">
        <v>2</v>
      </c>
      <c r="O39">
        <v>4</v>
      </c>
      <c r="P39">
        <v>8</v>
      </c>
      <c r="Q39">
        <v>8</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IP-118, IP-317</t>
        </is>
      </c>
      <c r="B40" t="inlineStr">
        <is>
          <t>45</t>
        </is>
      </c>
      <c r="C40" t="inlineStr">
        <is>
          <t>Gobierno Territorial</t>
        </is>
      </c>
      <c r="D40" t="inlineStr">
        <is>
          <t>4503</t>
        </is>
      </c>
      <c r="E40" t="inlineStr">
        <is>
          <t>Gestión del riesgo de desastres y emergencias</t>
        </is>
      </c>
      <c r="F40" t="inlineStr">
        <is>
          <t>4503023</t>
        </is>
      </c>
      <c r="G40" t="inlineStr">
        <is>
          <t>Documentos de planeación</t>
        </is>
      </c>
      <c r="H40" t="inlineStr">
        <is>
          <t>450302300</t>
        </is>
      </c>
      <c r="I40" t="inlineStr">
        <is>
          <t>Documentos de planeación elaborados</t>
        </is>
      </c>
      <c r="J40" t="inlineStr">
        <is>
          <t>2024258990023</t>
        </is>
      </c>
      <c r="K40" t="inlineStr">
        <is>
          <t>No</t>
        </is>
      </c>
      <c r="L40" t="inlineStr">
        <is>
          <t>Número</t>
        </is>
      </c>
      <c r="M40">
        <v>10</v>
      </c>
      <c r="N40">
        <v>0</v>
      </c>
      <c r="O40">
        <v>4</v>
      </c>
      <c r="P40">
        <v>4</v>
      </c>
      <c r="Q40">
        <v>2</v>
      </c>
      <c r="R40">
        <v>0</v>
      </c>
      <c r="S40" s="103" t="inlineStr">
        <is>
          <t xml:space="preserve"> </t>
        </is>
      </c>
      <c r="T40" t="inlineStr">
        <is>
          <t>No se programó ni ejecutó en la vigencia</t>
        </is>
      </c>
      <c r="U40" t="inlineStr">
        <is>
          <t xml:space="preserve"> </t>
        </is>
      </c>
      <c r="V40" s="104" t="inlineStr">
        <is>
          <t xml:space="preserve"> </t>
        </is>
      </c>
      <c r="W40" t="inlineStr">
        <is>
          <t>No se encontró ejecución en PIIP</t>
        </is>
      </c>
    </row>
    <row r="41">
      <c r="A41" t="inlineStr">
        <is>
          <t>IP-119, IP-318</t>
        </is>
      </c>
      <c r="B41" t="inlineStr">
        <is>
          <t>32</t>
        </is>
      </c>
      <c r="C41" t="inlineStr">
        <is>
          <t>Ambiente y desarrollo sostenible</t>
        </is>
      </c>
      <c r="D41" t="inlineStr">
        <is>
          <t>3202</t>
        </is>
      </c>
      <c r="E41" t="inlineStr">
        <is>
          <t>Conservación de la biodiversidad y sus servicios ecosistémicos</t>
        </is>
      </c>
      <c r="F41" t="inlineStr">
        <is>
          <t>3202002</t>
        </is>
      </c>
      <c r="G41" t="inlineStr">
        <is>
          <t>Documentos de planeación para la conservación de la biodiversidad y sus servicios eco sistémicos</t>
        </is>
      </c>
      <c r="H41" t="inlineStr">
        <is>
          <t>320200202</t>
        </is>
      </c>
      <c r="I41" t="inlineStr">
        <is>
          <t xml:space="preserve">Documentos de planeación para el uso y manejo de reservas forestales protectoras formulados </t>
        </is>
      </c>
      <c r="J41" t="inlineStr">
        <is>
          <t>2024258990035</t>
        </is>
      </c>
      <c r="K41" t="inlineStr">
        <is>
          <t>No</t>
        </is>
      </c>
      <c r="L41" t="inlineStr">
        <is>
          <t>Número</t>
        </is>
      </c>
      <c r="M41">
        <v>6</v>
      </c>
      <c r="N41">
        <v>2</v>
      </c>
      <c r="O41">
        <v>2</v>
      </c>
      <c r="P41">
        <v>2</v>
      </c>
      <c r="Q41">
        <v>0</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IP-120, IP-319</t>
        </is>
      </c>
      <c r="B42" t="inlineStr">
        <is>
          <t>32</t>
        </is>
      </c>
      <c r="C42" t="inlineStr">
        <is>
          <t>Ambiente y desarrollo sostenible</t>
        </is>
      </c>
      <c r="D42" t="inlineStr">
        <is>
          <t>3202</t>
        </is>
      </c>
      <c r="E42" t="inlineStr">
        <is>
          <t>Conservación de la biodiversidad y sus servicios ecosistémicos</t>
        </is>
      </c>
      <c r="F42" t="inlineStr">
        <is>
          <t>3202002</t>
        </is>
      </c>
      <c r="G42" t="inlineStr">
        <is>
          <t>Documentos de planeación para la conservación de la biodiversidad y sus servicios eco sistémicos</t>
        </is>
      </c>
      <c r="H42" t="inlineStr">
        <is>
          <t>320200202</t>
        </is>
      </c>
      <c r="I42" t="inlineStr">
        <is>
          <t xml:space="preserve">Documentos de planeación para el uso y manejo de reservas forestales protectoras formulados </t>
        </is>
      </c>
      <c r="J42" t="inlineStr">
        <is>
          <t>2024258990035</t>
        </is>
      </c>
      <c r="K42" t="inlineStr">
        <is>
          <t>Si</t>
        </is>
      </c>
      <c r="L42" t="inlineStr">
        <is>
          <t>Número</t>
        </is>
      </c>
      <c r="M42">
        <v>2</v>
      </c>
      <c r="N42">
        <v>0</v>
      </c>
      <c r="O42">
        <v>2</v>
      </c>
      <c r="P42">
        <v>2</v>
      </c>
      <c r="Q42">
        <v>2</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IP-121, IP-320</t>
        </is>
      </c>
      <c r="B43" t="inlineStr">
        <is>
          <t>32</t>
        </is>
      </c>
      <c r="C43" t="inlineStr">
        <is>
          <t>Ambiente y desarrollo sostenible</t>
        </is>
      </c>
      <c r="D43" t="inlineStr">
        <is>
          <t>3202</t>
        </is>
      </c>
      <c r="E43" t="inlineStr">
        <is>
          <t>Conservación de la biodiversidad y sus servicios ecosistémicos</t>
        </is>
      </c>
      <c r="F43" t="inlineStr">
        <is>
          <t>3202002</t>
        </is>
      </c>
      <c r="G43" t="inlineStr">
        <is>
          <t>Documentos de planeación para la conservación de la biodiversidad y sus servicios eco sistémicos</t>
        </is>
      </c>
      <c r="H43" t="inlineStr">
        <is>
          <t>320200201</t>
        </is>
      </c>
      <c r="I43" t="inlineStr">
        <is>
          <t xml:space="preserve">Documentos de planeación de biodiversidad y sus Servicio ecosistemicos formulados </t>
        </is>
      </c>
      <c r="J43" t="inlineStr">
        <is>
          <t>2024258990035</t>
        </is>
      </c>
      <c r="K43" t="inlineStr">
        <is>
          <t>No</t>
        </is>
      </c>
      <c r="L43" t="inlineStr">
        <is>
          <t>Número</t>
        </is>
      </c>
      <c r="M43">
        <v>2</v>
      </c>
      <c r="N43">
        <v>0.5</v>
      </c>
      <c r="O43">
        <v>0.5</v>
      </c>
      <c r="P43">
        <v>0.5</v>
      </c>
      <c r="Q43">
        <v>0.5</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IP-122, IP-321</t>
        </is>
      </c>
      <c r="B44" t="inlineStr">
        <is>
          <t>32</t>
        </is>
      </c>
      <c r="C44" t="inlineStr">
        <is>
          <t>Ambiente y desarrollo sostenible</t>
        </is>
      </c>
      <c r="D44" t="inlineStr">
        <is>
          <t>3202</t>
        </is>
      </c>
      <c r="E44" t="inlineStr">
        <is>
          <t>Conservación de la biodiversidad y sus servicios ecosistémicos</t>
        </is>
      </c>
      <c r="F44" t="inlineStr">
        <is>
          <t>3202026</t>
        </is>
      </c>
      <c r="G44" t="inlineStr">
        <is>
          <t>Centro de Atención y Valoración de flora silvestre construido y dotado</t>
        </is>
      </c>
      <c r="H44" t="inlineStr">
        <is>
          <t>320202600</t>
        </is>
      </c>
      <c r="I44" t="inlineStr">
        <is>
          <t>Centro de Atención y Valoración de flora silvestre construido y dotado</t>
        </is>
      </c>
      <c r="J44" t="inlineStr">
        <is>
          <t>2024258990035</t>
        </is>
      </c>
      <c r="K44" t="inlineStr">
        <is>
          <t>No</t>
        </is>
      </c>
      <c r="L44" t="inlineStr">
        <is>
          <t>Número</t>
        </is>
      </c>
      <c r="M44">
        <v>4</v>
      </c>
      <c r="N44">
        <v>0</v>
      </c>
      <c r="O44">
        <v>2</v>
      </c>
      <c r="P44">
        <v>2</v>
      </c>
      <c r="Q44">
        <v>0</v>
      </c>
      <c r="R44">
        <v>0</v>
      </c>
      <c r="S44" s="103" t="inlineStr">
        <is>
          <t xml:space="preserve"> </t>
        </is>
      </c>
      <c r="T44" t="inlineStr">
        <is>
          <t>No se programó ni ejecutó en la vigencia</t>
        </is>
      </c>
      <c r="U44">
        <v>0.2</v>
      </c>
      <c r="V44" s="104">
        <v>0.1</v>
      </c>
      <c r="W44" t="inlineStr">
        <is>
          <t>Lo ejecutado está por debajo de lo programado en la vigencia</t>
        </is>
      </c>
    </row>
    <row r="45">
      <c r="A45" t="inlineStr">
        <is>
          <t>IP-123, IP-322</t>
        </is>
      </c>
      <c r="B45" t="inlineStr">
        <is>
          <t>32</t>
        </is>
      </c>
      <c r="C45" t="inlineStr">
        <is>
          <t>Ambiente y desarrollo sostenible</t>
        </is>
      </c>
      <c r="D45" t="inlineStr">
        <is>
          <t>3202</t>
        </is>
      </c>
      <c r="E45" t="inlineStr">
        <is>
          <t>Conservación de la biodiversidad y sus servicios ecosistémicos</t>
        </is>
      </c>
      <c r="F45" t="inlineStr">
        <is>
          <t>3202033</t>
        </is>
      </c>
      <c r="G45" t="inlineStr">
        <is>
          <t>Infraestructura ecoturística construida</t>
        </is>
      </c>
      <c r="H45" t="inlineStr">
        <is>
          <t>320203302</t>
        </is>
      </c>
      <c r="I45" t="inlineStr">
        <is>
          <t>Infraestructura construida para el desarrollo de experiencias de los visitantes en las áreas protegidas</t>
        </is>
      </c>
      <c r="J45" t="inlineStr">
        <is>
          <t>2024258990035</t>
        </is>
      </c>
      <c r="K45" t="inlineStr">
        <is>
          <t>Si</t>
        </is>
      </c>
      <c r="L45" t="inlineStr">
        <is>
          <t>Número</t>
        </is>
      </c>
      <c r="M45">
        <v>2</v>
      </c>
      <c r="N45">
        <v>0</v>
      </c>
      <c r="O45">
        <v>0.8</v>
      </c>
      <c r="P45">
        <v>0.8</v>
      </c>
      <c r="Q45">
        <v>0.4</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IP-124, IP-323</t>
        </is>
      </c>
      <c r="B46" t="inlineStr">
        <is>
          <t>32</t>
        </is>
      </c>
      <c r="C46" t="inlineStr">
        <is>
          <t>Ambiente y desarrollo sostenible</t>
        </is>
      </c>
      <c r="D46" t="inlineStr">
        <is>
          <t>3202</t>
        </is>
      </c>
      <c r="E46" t="inlineStr">
        <is>
          <t>Conservación de la biodiversidad y sus servicios ecosistémicos</t>
        </is>
      </c>
      <c r="F46" t="inlineStr">
        <is>
          <t>3202043</t>
        </is>
      </c>
      <c r="G46" t="inlineStr">
        <is>
          <t>Servicio apoyo financiero para la implementación de esquemas de pago por Servicio ambientales</t>
        </is>
      </c>
      <c r="H46" t="inlineStr">
        <is>
          <t>320204300</t>
        </is>
      </c>
      <c r="I46" t="inlineStr">
        <is>
          <t>Áreas con esquemas de Pago por Servicios Ambientales implementados</t>
        </is>
      </c>
      <c r="J46" t="inlineStr">
        <is>
          <t>2024258990035</t>
        </is>
      </c>
      <c r="K46" t="inlineStr">
        <is>
          <t>No</t>
        </is>
      </c>
      <c r="L46" t="inlineStr">
        <is>
          <t>Hectáreas</t>
        </is>
      </c>
      <c r="M46">
        <v>100</v>
      </c>
      <c r="N46">
        <v>20</v>
      </c>
      <c r="O46">
        <v>30</v>
      </c>
      <c r="P46">
        <v>30</v>
      </c>
      <c r="Q46">
        <v>20</v>
      </c>
      <c r="R46">
        <v>50</v>
      </c>
      <c r="S46" s="103">
        <v>2.5</v>
      </c>
      <c r="T46" t="inlineStr">
        <is>
          <t>Hubo ejecución por encima de lo programado en SisPT</t>
        </is>
      </c>
      <c r="U46">
        <v>10</v>
      </c>
      <c r="V46" s="104">
        <v>0.333333333333333</v>
      </c>
      <c r="W46" t="inlineStr">
        <is>
          <t>Lo ejecutado está por debajo de lo programado en la vigencia</t>
        </is>
      </c>
    </row>
    <row r="47">
      <c r="A47" t="inlineStr">
        <is>
          <t>IP-125, IP-324</t>
        </is>
      </c>
      <c r="B47" t="inlineStr">
        <is>
          <t>32</t>
        </is>
      </c>
      <c r="C47" t="inlineStr">
        <is>
          <t>Ambiente y desarrollo sostenible</t>
        </is>
      </c>
      <c r="D47" t="inlineStr">
        <is>
          <t>3202</t>
        </is>
      </c>
      <c r="E47" t="inlineStr">
        <is>
          <t>Conservación de la biodiversidad y sus servicios ecosistémicos</t>
        </is>
      </c>
      <c r="F47" t="inlineStr">
        <is>
          <t>3202005</t>
        </is>
      </c>
      <c r="G47" t="inlineStr">
        <is>
          <t>Servicio de restauración de ecosistemas</t>
        </is>
      </c>
      <c r="H47" t="inlineStr">
        <is>
          <t>320200504</t>
        </is>
      </c>
      <c r="I47" t="inlineStr">
        <is>
          <t>Árboles nativos sembrados</t>
        </is>
      </c>
      <c r="J47" t="inlineStr">
        <is>
          <t>2024258990035</t>
        </is>
      </c>
      <c r="K47" t="inlineStr">
        <is>
          <t>No</t>
        </is>
      </c>
      <c r="L47" t="inlineStr">
        <is>
          <t>Número</t>
        </is>
      </c>
      <c r="M47">
        <v>400000</v>
      </c>
      <c r="N47">
        <v>82000</v>
      </c>
      <c r="O47">
        <v>118000</v>
      </c>
      <c r="P47">
        <v>120000</v>
      </c>
      <c r="Q47">
        <v>80000</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IP-126, IP-325</t>
        </is>
      </c>
      <c r="B48" t="inlineStr">
        <is>
          <t>32</t>
        </is>
      </c>
      <c r="C48" t="inlineStr">
        <is>
          <t>Ambiente y desarrollo sostenible</t>
        </is>
      </c>
      <c r="D48" t="inlineStr">
        <is>
          <t>3203</t>
        </is>
      </c>
      <c r="E48" t="inlineStr">
        <is>
          <t>Gestión integral del recurso hídrico</t>
        </is>
      </c>
      <c r="F48" t="inlineStr">
        <is>
          <t>3203050</t>
        </is>
      </c>
      <c r="G48" t="inlineStr">
        <is>
          <t>Servicio de protección del recurso hídrico</t>
        </is>
      </c>
      <c r="H48" t="inlineStr">
        <is>
          <t>320305000</t>
        </is>
      </c>
      <c r="I48" t="inlineStr">
        <is>
          <t>Áreas protegidas</t>
        </is>
      </c>
      <c r="J48" t="inlineStr">
        <is>
          <t>2024258990036</t>
        </is>
      </c>
      <c r="K48" t="inlineStr">
        <is>
          <t>No</t>
        </is>
      </c>
      <c r="L48" t="inlineStr">
        <is>
          <t>Hectáreas</t>
        </is>
      </c>
      <c r="M48">
        <v>106</v>
      </c>
      <c r="N48">
        <v>6</v>
      </c>
      <c r="O48">
        <v>48</v>
      </c>
      <c r="P48">
        <v>34</v>
      </c>
      <c r="Q48">
        <v>18</v>
      </c>
      <c r="R48">
        <v>53</v>
      </c>
      <c r="S48" s="103">
        <v>8.83333333333333</v>
      </c>
      <c r="T48" t="inlineStr">
        <is>
          <t>Hubo ejecución por encima de lo programado en SisPT</t>
        </is>
      </c>
      <c r="U48">
        <v>10</v>
      </c>
      <c r="V48" s="104">
        <v>0.208333333333333</v>
      </c>
      <c r="W48" t="inlineStr">
        <is>
          <t>Lo ejecutado está por debajo de lo programado en la vigencia</t>
        </is>
      </c>
    </row>
    <row r="49">
      <c r="A49" t="inlineStr">
        <is>
          <t>IP-127, IP-326</t>
        </is>
      </c>
      <c r="B49" t="inlineStr">
        <is>
          <t>32</t>
        </is>
      </c>
      <c r="C49" t="inlineStr">
        <is>
          <t>Ambiente y desarrollo sostenible</t>
        </is>
      </c>
      <c r="D49" t="inlineStr">
        <is>
          <t>3203</t>
        </is>
      </c>
      <c r="E49" t="inlineStr">
        <is>
          <t>Gestión integral del recurso hídrico</t>
        </is>
      </c>
      <c r="F49" t="inlineStr">
        <is>
          <t>3203033</t>
        </is>
      </c>
      <c r="G49" t="inlineStr">
        <is>
          <t>Servicio de asistencia técnica para la promoción del uso eficiente y ahorro del agua</t>
        </is>
      </c>
      <c r="H49" t="inlineStr">
        <is>
          <t>320303300</t>
        </is>
      </c>
      <c r="I49" t="inlineStr">
        <is>
          <t xml:space="preserve">Proyectos para la promoción del uso eficiente y ahorro del agua formulados  </t>
        </is>
      </c>
      <c r="J49" t="inlineStr">
        <is>
          <t>2024258990036</t>
        </is>
      </c>
      <c r="K49" t="inlineStr">
        <is>
          <t>Si</t>
        </is>
      </c>
      <c r="L49" t="inlineStr">
        <is>
          <t>Número</t>
        </is>
      </c>
      <c r="M49">
        <v>40</v>
      </c>
      <c r="N49">
        <v>28</v>
      </c>
      <c r="O49">
        <v>32</v>
      </c>
      <c r="P49">
        <v>36</v>
      </c>
      <c r="Q49">
        <v>40</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IP-128, IP-129, IP-327, IP-328</t>
        </is>
      </c>
      <c r="B50" t="inlineStr">
        <is>
          <t>32</t>
        </is>
      </c>
      <c r="C50" t="inlineStr">
        <is>
          <t>Ambiente y desarrollo sostenible</t>
        </is>
      </c>
      <c r="D50" t="inlineStr">
        <is>
          <t>3208</t>
        </is>
      </c>
      <c r="E50" t="inlineStr">
        <is>
          <t xml:space="preserve">Educación Ambiental </t>
        </is>
      </c>
      <c r="F50" t="inlineStr">
        <is>
          <t>3208010</t>
        </is>
      </c>
      <c r="G50" t="inlineStr">
        <is>
          <t>Servicio de educación informal ambiental</t>
        </is>
      </c>
      <c r="H50" t="inlineStr">
        <is>
          <t>320801000</t>
        </is>
      </c>
      <c r="I50" t="inlineStr">
        <is>
          <t>Personas capacitadas</t>
        </is>
      </c>
      <c r="J50" t="inlineStr">
        <is>
          <t>2024258990038</t>
        </is>
      </c>
      <c r="K50" t="inlineStr">
        <is>
          <t>No</t>
        </is>
      </c>
      <c r="L50" t="inlineStr">
        <is>
          <t>Número</t>
        </is>
      </c>
      <c r="M50">
        <v>170</v>
      </c>
      <c r="N50">
        <v>41</v>
      </c>
      <c r="O50">
        <v>45</v>
      </c>
      <c r="P50">
        <v>42</v>
      </c>
      <c r="Q50">
        <v>42</v>
      </c>
      <c r="R50">
        <v>85</v>
      </c>
      <c r="S50" s="103">
        <v>2.07317073170732</v>
      </c>
      <c r="T50" t="inlineStr">
        <is>
          <t>Hubo ejecución por encima de lo programado en SisPT</t>
        </is>
      </c>
      <c r="U50">
        <v>20</v>
      </c>
      <c r="V50" s="104">
        <v>0.444444444444444</v>
      </c>
      <c r="W50" t="inlineStr">
        <is>
          <t>Lo ejecutado está por debajo de lo programado en la vigencia</t>
        </is>
      </c>
    </row>
    <row r="51">
      <c r="A51" t="inlineStr">
        <is>
          <t>IP-130, IP-144, IP-329, IP-343</t>
        </is>
      </c>
      <c r="B51" t="inlineStr">
        <is>
          <t>32</t>
        </is>
      </c>
      <c r="C51" t="inlineStr">
        <is>
          <t>Ambiente y desarrollo sostenible</t>
        </is>
      </c>
      <c r="D51" t="inlineStr">
        <is>
          <t>3208</t>
        </is>
      </c>
      <c r="E51" t="inlineStr">
        <is>
          <t xml:space="preserve">Educación Ambiental </t>
        </is>
      </c>
      <c r="F51" t="inlineStr">
        <is>
          <t>3208006</t>
        </is>
      </c>
      <c r="G51" t="inlineStr">
        <is>
          <t>Servicio de asistencia técnica para la implementación de lasestrategias educativo ambientales y de participación</t>
        </is>
      </c>
      <c r="H51" t="inlineStr">
        <is>
          <t>320800600</t>
        </is>
      </c>
      <c r="I51" t="inlineStr">
        <is>
          <t xml:space="preserve">Estrategias educativo ambientales y de participación implementadas </t>
        </is>
      </c>
      <c r="J51" t="inlineStr">
        <is>
          <t>2024258990038</t>
        </is>
      </c>
      <c r="K51" t="inlineStr">
        <is>
          <t>No</t>
        </is>
      </c>
      <c r="L51" t="inlineStr">
        <is>
          <t>Número</t>
        </is>
      </c>
      <c r="M51">
        <v>408</v>
      </c>
      <c r="N51">
        <v>102</v>
      </c>
      <c r="O51">
        <v>132</v>
      </c>
      <c r="P51">
        <v>132</v>
      </c>
      <c r="Q51">
        <v>42</v>
      </c>
      <c r="R51">
        <v>204</v>
      </c>
      <c r="S51" s="103">
        <v>2</v>
      </c>
      <c r="T51" t="inlineStr">
        <is>
          <t>Hubo ejecución por encima de lo programado en SisPT</t>
        </is>
      </c>
      <c r="U51">
        <v>30</v>
      </c>
      <c r="V51" s="104">
        <v>0.227272727272727</v>
      </c>
      <c r="W51" t="inlineStr">
        <is>
          <t>Lo ejecutado está por debajo de lo programado en la vigencia</t>
        </is>
      </c>
    </row>
    <row r="52">
      <c r="A52" t="inlineStr">
        <is>
          <t>IP-131, IP-330</t>
        </is>
      </c>
      <c r="B52" t="inlineStr">
        <is>
          <t>32</t>
        </is>
      </c>
      <c r="C52" t="inlineStr">
        <is>
          <t>Ambiente y desarrollo sostenible</t>
        </is>
      </c>
      <c r="D52" t="inlineStr">
        <is>
          <t>3208</t>
        </is>
      </c>
      <c r="E52" t="inlineStr">
        <is>
          <t xml:space="preserve">Educación Ambiental </t>
        </is>
      </c>
      <c r="F52" t="inlineStr">
        <is>
          <t>3208008</t>
        </is>
      </c>
      <c r="G52" t="inlineStr">
        <is>
          <t>Servicio de divulgación de la información de la política nacional de educación ambiental y participación</t>
        </is>
      </c>
      <c r="H52" t="inlineStr">
        <is>
          <t>320800802</t>
        </is>
      </c>
      <c r="I52" t="inlineStr">
        <is>
          <t>Eventos de educación y participación realizados</t>
        </is>
      </c>
      <c r="J52" t="inlineStr">
        <is>
          <t>2024258990038</t>
        </is>
      </c>
      <c r="K52" t="inlineStr">
        <is>
          <t>No</t>
        </is>
      </c>
      <c r="L52" t="inlineStr">
        <is>
          <t>Número</t>
        </is>
      </c>
      <c r="M52">
        <v>600</v>
      </c>
      <c r="N52">
        <v>150</v>
      </c>
      <c r="O52">
        <v>150</v>
      </c>
      <c r="P52">
        <v>150</v>
      </c>
      <c r="Q52">
        <v>150</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IP-132, IP-331</t>
        </is>
      </c>
      <c r="B53" t="inlineStr">
        <is>
          <t>32</t>
        </is>
      </c>
      <c r="C53" t="inlineStr">
        <is>
          <t>Ambiente y desarrollo sostenible</t>
        </is>
      </c>
      <c r="D53" t="inlineStr">
        <is>
          <t>3203</t>
        </is>
      </c>
      <c r="E53" t="inlineStr">
        <is>
          <t>Gestión integral del recurso hídrico</t>
        </is>
      </c>
      <c r="F53" t="inlineStr">
        <is>
          <t>3203002</t>
        </is>
      </c>
      <c r="G53" t="inlineStr">
        <is>
          <t>Documentos de planeación para la gestión integral del recurso hídrico</t>
        </is>
      </c>
      <c r="H53" t="inlineStr">
        <is>
          <t>320300207</t>
        </is>
      </c>
      <c r="I53" t="inlineStr">
        <is>
          <t>Documentos de planeación del plan de ordenación y manejo ambiental de cuenca hidrográfica elaborados</t>
        </is>
      </c>
      <c r="J53" t="inlineStr">
        <is>
          <t>2024258990036</t>
        </is>
      </c>
      <c r="K53" t="inlineStr">
        <is>
          <t>No</t>
        </is>
      </c>
      <c r="L53" t="inlineStr">
        <is>
          <t>Número</t>
        </is>
      </c>
      <c r="M53">
        <v>8</v>
      </c>
      <c r="N53">
        <v>0</v>
      </c>
      <c r="O53">
        <v>4</v>
      </c>
      <c r="P53">
        <v>2</v>
      </c>
      <c r="Q53">
        <v>2</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IP-133, IP-332</t>
        </is>
      </c>
      <c r="B54" t="inlineStr">
        <is>
          <t>40</t>
        </is>
      </c>
      <c r="C54" t="inlineStr">
        <is>
          <t>Vivienda, ciudad y territorio</t>
        </is>
      </c>
      <c r="D54" t="inlineStr">
        <is>
          <t>4003</t>
        </is>
      </c>
      <c r="E54" t="inlineStr">
        <is>
          <t>Acceso de la población a los servicios de agua potable y saneamiento básico</t>
        </is>
      </c>
      <c r="F54" t="inlineStr">
        <is>
          <t>4003023</t>
        </is>
      </c>
      <c r="G54" t="inlineStr">
        <is>
          <t>Servicios de seguimiento al Plan de Gestión Integral de Residuos Solidos PGIRS</t>
        </is>
      </c>
      <c r="H54" t="inlineStr">
        <is>
          <t>400302300</t>
        </is>
      </c>
      <c r="I54" t="inlineStr">
        <is>
          <t>Plan de Gestión Integral de Residuos Solidos con seguimiento</t>
        </is>
      </c>
      <c r="J54" t="inlineStr">
        <is>
          <t>2024258990039</t>
        </is>
      </c>
      <c r="K54" t="inlineStr">
        <is>
          <t>Si</t>
        </is>
      </c>
      <c r="L54" t="inlineStr">
        <is>
          <t>Número</t>
        </is>
      </c>
      <c r="M54">
        <v>24</v>
      </c>
      <c r="N54">
        <v>24</v>
      </c>
      <c r="O54">
        <v>24</v>
      </c>
      <c r="P54">
        <v>24</v>
      </c>
      <c r="Q54">
        <v>24</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IP-134, IP-333</t>
        </is>
      </c>
      <c r="B55" t="inlineStr">
        <is>
          <t>32</t>
        </is>
      </c>
      <c r="C55" t="inlineStr">
        <is>
          <t>Ambiente y desarrollo sostenible</t>
        </is>
      </c>
      <c r="D55" t="inlineStr">
        <is>
          <t>3206</t>
        </is>
      </c>
      <c r="E55" t="inlineStr">
        <is>
          <t>Gestión del cambio climático para un desarrollo bajo en carbono y resiliente al clima</t>
        </is>
      </c>
      <c r="F55" t="inlineStr">
        <is>
          <t>3206003</t>
        </is>
      </c>
      <c r="G55" t="inlineStr">
        <is>
          <t>Servicio de apoyo técnico para la implementación de acciones de mitigación y adaptación al cambio climático</t>
        </is>
      </c>
      <c r="H55" t="inlineStr">
        <is>
          <t>320600300</t>
        </is>
      </c>
      <c r="I55" t="inlineStr">
        <is>
          <t>Pilotos con acciones de mitigación y adaptación al cambio climático desarrollados</t>
        </is>
      </c>
      <c r="J55" t="inlineStr">
        <is>
          <t>2024258990037</t>
        </is>
      </c>
      <c r="K55" t="inlineStr">
        <is>
          <t>No</t>
        </is>
      </c>
      <c r="L55" t="inlineStr">
        <is>
          <t>Número</t>
        </is>
      </c>
      <c r="M55">
        <v>20</v>
      </c>
      <c r="N55">
        <v>2</v>
      </c>
      <c r="O55">
        <v>8</v>
      </c>
      <c r="P55">
        <v>8</v>
      </c>
      <c r="Q55">
        <v>2</v>
      </c>
      <c r="R55">
        <v>10</v>
      </c>
      <c r="S55" s="103">
        <v>5</v>
      </c>
      <c r="T55" t="inlineStr">
        <is>
          <t>Hubo ejecución por encima de lo programado en SisPT</t>
        </is>
      </c>
      <c r="U55">
        <v>2</v>
      </c>
      <c r="V55" s="104">
        <v>0.25</v>
      </c>
      <c r="W55" t="inlineStr">
        <is>
          <t>Lo ejecutado está por debajo de lo programado en la vigencia</t>
        </is>
      </c>
    </row>
    <row r="56">
      <c r="A56" t="inlineStr">
        <is>
          <t>IP-135, IP-334</t>
        </is>
      </c>
      <c r="B56" t="inlineStr">
        <is>
          <t>21</t>
        </is>
      </c>
      <c r="C56" t="inlineStr">
        <is>
          <t>Minas y Energía</t>
        </is>
      </c>
      <c r="D56" t="inlineStr">
        <is>
          <t>2104</t>
        </is>
      </c>
      <c r="E56" t="inlineStr">
        <is>
          <t>Consolidación productiva del sector minero</t>
        </is>
      </c>
      <c r="F56" t="inlineStr">
        <is>
          <t>2104012</t>
        </is>
      </c>
      <c r="G56" t="inlineStr">
        <is>
          <t>Servicio de inspección y control de la actividad minera</t>
        </is>
      </c>
      <c r="H56" t="inlineStr">
        <is>
          <t>210401202</t>
        </is>
      </c>
      <c r="I56" t="inlineStr">
        <is>
          <t>Áreas de minería controladas</t>
        </is>
      </c>
      <c r="J56" t="inlineStr">
        <is>
          <t>2024258990033</t>
        </is>
      </c>
      <c r="K56" t="inlineStr">
        <is>
          <t>Si</t>
        </is>
      </c>
      <c r="L56" t="inlineStr">
        <is>
          <t>Hectáreas</t>
        </is>
      </c>
      <c r="M56">
        <v>168</v>
      </c>
      <c r="N56">
        <v>168</v>
      </c>
      <c r="O56">
        <v>168</v>
      </c>
      <c r="P56">
        <v>168</v>
      </c>
      <c r="Q56">
        <v>168</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IP-136, IP-335</t>
        </is>
      </c>
      <c r="B57" t="inlineStr">
        <is>
          <t>32</t>
        </is>
      </c>
      <c r="C57" t="inlineStr">
        <is>
          <t>Ambiente y desarrollo sostenible</t>
        </is>
      </c>
      <c r="D57" t="inlineStr">
        <is>
          <t>3203</t>
        </is>
      </c>
      <c r="E57" t="inlineStr">
        <is>
          <t>Gestión integral del recurso hídrico</t>
        </is>
      </c>
      <c r="F57" t="inlineStr">
        <is>
          <t>3203033</t>
        </is>
      </c>
      <c r="G57" t="inlineStr">
        <is>
          <t>Servicio de asistencia técnica para la promoción del uso eficiente y ahorro del agua</t>
        </is>
      </c>
      <c r="H57" t="inlineStr">
        <is>
          <t>320303300</t>
        </is>
      </c>
      <c r="I57" t="inlineStr">
        <is>
          <t xml:space="preserve">Proyectos para la promoción del uso eficiente y ahorro del agua formulados  </t>
        </is>
      </c>
      <c r="J57" t="inlineStr">
        <is>
          <t>2024258990036</t>
        </is>
      </c>
      <c r="K57" t="inlineStr">
        <is>
          <t>No</t>
        </is>
      </c>
      <c r="L57" t="inlineStr">
        <is>
          <t>Número</t>
        </is>
      </c>
      <c r="M57">
        <v>40</v>
      </c>
      <c r="N57">
        <v>2</v>
      </c>
      <c r="O57">
        <v>14</v>
      </c>
      <c r="P57">
        <v>16</v>
      </c>
      <c r="Q57">
        <v>8</v>
      </c>
      <c r="R57">
        <v>40</v>
      </c>
      <c r="S57" s="103">
        <v>20</v>
      </c>
      <c r="T57" t="inlineStr">
        <is>
          <t>Hubo ejecución por encima de lo programado en SisPT</t>
        </is>
      </c>
      <c r="U57">
        <v>5</v>
      </c>
      <c r="V57" s="104">
        <v>0.357142857142857</v>
      </c>
      <c r="W57" t="inlineStr">
        <is>
          <t>Lo ejecutado está por debajo de lo programado en la vigencia</t>
        </is>
      </c>
    </row>
    <row r="58">
      <c r="A58" t="inlineStr">
        <is>
          <t>IP-137, IP-138, IP-336, IP-337</t>
        </is>
      </c>
      <c r="B58" t="inlineStr">
        <is>
          <t>32</t>
        </is>
      </c>
      <c r="C58" t="inlineStr">
        <is>
          <t>Ambiente y desarrollo sostenible</t>
        </is>
      </c>
      <c r="D58" t="inlineStr">
        <is>
          <t>3203</t>
        </is>
      </c>
      <c r="E58" t="inlineStr">
        <is>
          <t>Gestión integral del recurso hídrico</t>
        </is>
      </c>
      <c r="F58" t="inlineStr">
        <is>
          <t>3203002</t>
        </is>
      </c>
      <c r="G58" t="inlineStr">
        <is>
          <t>Documentos de planeación para la gestión integral del recurso hídrico</t>
        </is>
      </c>
      <c r="H58" t="inlineStr">
        <is>
          <t>320300211</t>
        </is>
      </c>
      <c r="I58" t="inlineStr">
        <is>
          <t>Documento con plan de manejo de microcuencas formulados</t>
        </is>
      </c>
      <c r="J58" t="inlineStr">
        <is>
          <t>2024258990036</t>
        </is>
      </c>
      <c r="K58" t="inlineStr">
        <is>
          <t>Si</t>
        </is>
      </c>
      <c r="L58" t="inlineStr">
        <is>
          <t>Número</t>
        </is>
      </c>
      <c r="M58">
        <v>4</v>
      </c>
      <c r="N58">
        <v>0</v>
      </c>
      <c r="O58">
        <v>1.4</v>
      </c>
      <c r="P58">
        <v>4</v>
      </c>
      <c r="Q58">
        <v>4</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IP-139, IP-338</t>
        </is>
      </c>
      <c r="B59" t="inlineStr">
        <is>
          <t>32</t>
        </is>
      </c>
      <c r="C59" t="inlineStr">
        <is>
          <t>Ambiente y desarrollo sostenible</t>
        </is>
      </c>
      <c r="D59" t="inlineStr">
        <is>
          <t>3202</t>
        </is>
      </c>
      <c r="E59" t="inlineStr">
        <is>
          <t>Conservación de la biodiversidad y sus servicios ecosistémicos</t>
        </is>
      </c>
      <c r="F59" t="inlineStr">
        <is>
          <t>3202037</t>
        </is>
      </c>
      <c r="G59" t="inlineStr">
        <is>
          <t>Servicio de recuperación de cuerpos de agua lénticos y lóticos</t>
        </is>
      </c>
      <c r="H59" t="inlineStr">
        <is>
          <t>320203701</t>
        </is>
      </c>
      <c r="I59" t="inlineStr">
        <is>
          <t xml:space="preserve">Cuerpos de agua recuperados </t>
        </is>
      </c>
      <c r="J59" t="inlineStr">
        <is>
          <t>2024258990035</t>
        </is>
      </c>
      <c r="K59" t="inlineStr">
        <is>
          <t>No</t>
        </is>
      </c>
      <c r="L59" t="inlineStr">
        <is>
          <t>Número</t>
        </is>
      </c>
      <c r="M59">
        <v>24</v>
      </c>
      <c r="N59">
        <v>8</v>
      </c>
      <c r="O59">
        <v>6</v>
      </c>
      <c r="P59">
        <v>6</v>
      </c>
      <c r="Q59">
        <v>4</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IP-140, IP-339</t>
        </is>
      </c>
      <c r="B60" t="inlineStr">
        <is>
          <t>17</t>
        </is>
      </c>
      <c r="C60" t="inlineStr">
        <is>
          <t xml:space="preserve">Agricultura y desarrollo rural
</t>
        </is>
      </c>
      <c r="D60" t="inlineStr">
        <is>
          <t>1702</t>
        </is>
      </c>
      <c r="E60" t="inlineStr">
        <is>
          <t>Inclusión productiva de pequeños productores rurales</t>
        </is>
      </c>
      <c r="F60" t="inlineStr">
        <is>
          <t>1702012</t>
        </is>
      </c>
      <c r="G60" t="inlineStr">
        <is>
          <t>Servicio de educación informal en temas administrativos y de gestión financiera a pequeños productores</t>
        </is>
      </c>
      <c r="H60" t="inlineStr">
        <is>
          <t>170201200</t>
        </is>
      </c>
      <c r="I60" t="inlineStr">
        <is>
          <t xml:space="preserve">Formas organizativas capacitadas </t>
        </is>
      </c>
      <c r="J60" t="inlineStr">
        <is>
          <t>2024258990029</t>
        </is>
      </c>
      <c r="K60" t="inlineStr">
        <is>
          <t>Si</t>
        </is>
      </c>
      <c r="L60" t="inlineStr">
        <is>
          <t>Número</t>
        </is>
      </c>
      <c r="M60">
        <v>30</v>
      </c>
      <c r="N60">
        <v>30</v>
      </c>
      <c r="O60">
        <v>30</v>
      </c>
      <c r="P60">
        <v>30</v>
      </c>
      <c r="Q60">
        <v>30</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IP-141, IP-340</t>
        </is>
      </c>
      <c r="B61" t="inlineStr">
        <is>
          <t>17</t>
        </is>
      </c>
      <c r="C61" t="inlineStr">
        <is>
          <t xml:space="preserve">Agricultura y desarrollo rural
</t>
        </is>
      </c>
      <c r="D61" t="inlineStr">
        <is>
          <t>1702</t>
        </is>
      </c>
      <c r="E61" t="inlineStr">
        <is>
          <t>Inclusión productiva de pequeños productores rurales</t>
        </is>
      </c>
      <c r="F61" t="inlineStr">
        <is>
          <t>1702007</t>
        </is>
      </c>
      <c r="G61" t="inlineStr">
        <is>
          <t>Servicio de apoyo financiero para proyectos productivos</t>
        </is>
      </c>
      <c r="H61" t="inlineStr">
        <is>
          <t>170200700</t>
        </is>
      </c>
      <c r="I61" t="inlineStr">
        <is>
          <t>Proyectos productivos cofinanciados</t>
        </is>
      </c>
      <c r="J61" t="inlineStr">
        <is>
          <t>2024258990029</t>
        </is>
      </c>
      <c r="K61" t="inlineStr">
        <is>
          <t>No</t>
        </is>
      </c>
      <c r="L61" t="inlineStr">
        <is>
          <t>Número</t>
        </is>
      </c>
      <c r="M61">
        <v>16</v>
      </c>
      <c r="N61">
        <v>2</v>
      </c>
      <c r="O61">
        <v>6</v>
      </c>
      <c r="P61">
        <v>6</v>
      </c>
      <c r="Q61">
        <v>2</v>
      </c>
      <c r="R61">
        <v>18</v>
      </c>
      <c r="S61" s="103">
        <v>9</v>
      </c>
      <c r="T61" t="inlineStr">
        <is>
          <t>Hubo ejecución por encima de lo programado en SisPT</t>
        </is>
      </c>
      <c r="U61">
        <v>0</v>
      </c>
      <c r="V61" s="104">
        <v>0</v>
      </c>
      <c r="W61" t="inlineStr">
        <is>
          <t>No se ejecutó en la vigencia</t>
        </is>
      </c>
    </row>
    <row r="62">
      <c r="A62" t="inlineStr">
        <is>
          <t>IP-142, IP-341</t>
        </is>
      </c>
      <c r="B62" t="inlineStr">
        <is>
          <t>17</t>
        </is>
      </c>
      <c r="C62" t="inlineStr">
        <is>
          <t xml:space="preserve">Agricultura y desarrollo rural
</t>
        </is>
      </c>
      <c r="D62" t="inlineStr">
        <is>
          <t>1702</t>
        </is>
      </c>
      <c r="E62" t="inlineStr">
        <is>
          <t>Inclusión productiva de pequeños productores rurales</t>
        </is>
      </c>
      <c r="F62" t="inlineStr">
        <is>
          <t>1702035</t>
        </is>
      </c>
      <c r="G62" t="inlineStr">
        <is>
          <t>Servicio de educación informal en Buenas Prácticas Agrícolas y producción sostenible</t>
        </is>
      </c>
      <c r="H62" t="inlineStr">
        <is>
          <t>170203500</t>
        </is>
      </c>
      <c r="I62" t="inlineStr">
        <is>
          <t>Personas capacitadas</t>
        </is>
      </c>
      <c r="J62" t="inlineStr">
        <is>
          <t>2024258990029</t>
        </is>
      </c>
      <c r="K62" t="inlineStr">
        <is>
          <t>No</t>
        </is>
      </c>
      <c r="L62" t="inlineStr">
        <is>
          <t>Número</t>
        </is>
      </c>
      <c r="M62">
        <v>480</v>
      </c>
      <c r="N62">
        <v>60</v>
      </c>
      <c r="O62">
        <v>160</v>
      </c>
      <c r="P62">
        <v>160</v>
      </c>
      <c r="Q62">
        <v>100</v>
      </c>
      <c r="R62">
        <v>440</v>
      </c>
      <c r="S62" s="103">
        <v>7.33333333333333</v>
      </c>
      <c r="T62" t="inlineStr">
        <is>
          <t>Hubo ejecución por encima de lo programado en SisPT</t>
        </is>
      </c>
      <c r="U62">
        <v>259</v>
      </c>
      <c r="V62" s="104">
        <v>1.61875</v>
      </c>
      <c r="W62" t="inlineStr">
        <is>
          <t>Hubo ejecución por encima de lo programado en SisPT</t>
        </is>
      </c>
    </row>
    <row r="63">
      <c r="A63" t="inlineStr">
        <is>
          <t>IP-143, IP-342</t>
        </is>
      </c>
      <c r="B63" t="inlineStr">
        <is>
          <t>17</t>
        </is>
      </c>
      <c r="C63" t="inlineStr">
        <is>
          <t xml:space="preserve">Agricultura y desarrollo rural
</t>
        </is>
      </c>
      <c r="D63" t="inlineStr">
        <is>
          <t>1707</t>
        </is>
      </c>
      <c r="E63" t="inlineStr">
        <is>
          <t>Sanidad agropecuaria e inocuidad agroalimentaria</t>
        </is>
      </c>
      <c r="F63" t="inlineStr">
        <is>
          <t>1707079</t>
        </is>
      </c>
      <c r="G63" t="inlineStr">
        <is>
          <t>Centros para la atención de animales de producción agropecuaria construidos y dotados</t>
        </is>
      </c>
      <c r="H63" t="inlineStr">
        <is>
          <t>170707900</t>
        </is>
      </c>
      <c r="I63" t="inlineStr">
        <is>
          <t>Centros para la atención de animales de producción agropecuaria construidos y dotados</t>
        </is>
      </c>
      <c r="J63" t="inlineStr">
        <is>
          <t>2024258990031</t>
        </is>
      </c>
      <c r="K63" t="inlineStr">
        <is>
          <t>Si</t>
        </is>
      </c>
      <c r="L63" t="inlineStr">
        <is>
          <t>Número</t>
        </is>
      </c>
      <c r="M63">
        <v>2</v>
      </c>
      <c r="N63">
        <v>0.4</v>
      </c>
      <c r="O63">
        <v>1</v>
      </c>
      <c r="P63">
        <v>2</v>
      </c>
      <c r="Q63">
        <v>2</v>
      </c>
      <c r="R63" t="inlineStr">
        <is>
          <t xml:space="preserve"> </t>
        </is>
      </c>
      <c r="S63" s="103" t="inlineStr">
        <is>
          <t xml:space="preserve"> </t>
        </is>
      </c>
      <c r="T63" t="inlineStr">
        <is>
          <t>No se encontró ejecución en PIIP</t>
        </is>
      </c>
      <c r="U63" t="inlineStr">
        <is>
          <t xml:space="preserve"> </t>
        </is>
      </c>
      <c r="V63" s="104" t="inlineStr">
        <is>
          <t xml:space="preserve"> </t>
        </is>
      </c>
      <c r="W63" t="inlineStr">
        <is>
          <t>No se encontró ejecución en PIIP</t>
        </is>
      </c>
    </row>
    <row r="64">
      <c r="A64" t="inlineStr">
        <is>
          <t>IP-145, IP-146, IP-344, IP-345</t>
        </is>
      </c>
      <c r="B64" t="inlineStr">
        <is>
          <t>17</t>
        </is>
      </c>
      <c r="C64" t="inlineStr">
        <is>
          <t xml:space="preserve">Agricultura y desarrollo rural
</t>
        </is>
      </c>
      <c r="D64" t="inlineStr">
        <is>
          <t>1707</t>
        </is>
      </c>
      <c r="E64" t="inlineStr">
        <is>
          <t>Sanidad agropecuaria e inocuidad agroalimentaria</t>
        </is>
      </c>
      <c r="F64" t="inlineStr">
        <is>
          <t>1707043</t>
        </is>
      </c>
      <c r="G64" t="inlineStr">
        <is>
          <t>Servicios de control de parásitos para especies de interés agropecuario</t>
        </is>
      </c>
      <c r="H64" t="inlineStr">
        <is>
          <t>170704300</t>
        </is>
      </c>
      <c r="I64" t="inlineStr">
        <is>
          <t>Animales atendidos</t>
        </is>
      </c>
      <c r="J64" t="inlineStr">
        <is>
          <t>2024258990031</t>
        </is>
      </c>
      <c r="K64" t="inlineStr">
        <is>
          <t>No</t>
        </is>
      </c>
      <c r="L64" t="inlineStr">
        <is>
          <t>Número</t>
        </is>
      </c>
      <c r="M64">
        <v>17400</v>
      </c>
      <c r="N64">
        <v>3250</v>
      </c>
      <c r="O64">
        <v>5000</v>
      </c>
      <c r="P64">
        <v>5000</v>
      </c>
      <c r="Q64">
        <v>4150</v>
      </c>
      <c r="R64">
        <v>1384</v>
      </c>
      <c r="S64" s="103">
        <v>0.425846153846154</v>
      </c>
      <c r="T64" t="inlineStr">
        <is>
          <t>Lo ejecutado está por debajo de lo programado en la vigencia</t>
        </is>
      </c>
      <c r="U64">
        <v>2222</v>
      </c>
      <c r="V64" s="104">
        <v>0.4444</v>
      </c>
      <c r="W64" t="inlineStr">
        <is>
          <t>Lo ejecutado está por debajo de lo programado en la vigencia</t>
        </is>
      </c>
    </row>
    <row r="65">
      <c r="A65" t="inlineStr">
        <is>
          <t>IP-147, IP-346</t>
        </is>
      </c>
      <c r="B65" t="inlineStr">
        <is>
          <t>17</t>
        </is>
      </c>
      <c r="C65" t="inlineStr">
        <is>
          <t xml:space="preserve">Agricultura y desarrollo rural
</t>
        </is>
      </c>
      <c r="D65" t="inlineStr">
        <is>
          <t>1707</t>
        </is>
      </c>
      <c r="E65" t="inlineStr">
        <is>
          <t>Sanidad agropecuaria e inocuidad agroalimentaria</t>
        </is>
      </c>
      <c r="F65" t="inlineStr">
        <is>
          <t>1707070</t>
        </is>
      </c>
      <c r="G65" t="inlineStr">
        <is>
          <t>Documentos de política</t>
        </is>
      </c>
      <c r="H65" t="inlineStr">
        <is>
          <t>170707000</t>
        </is>
      </c>
      <c r="I65" t="inlineStr">
        <is>
          <t>Documentos de política elaborados</t>
        </is>
      </c>
      <c r="J65" t="inlineStr">
        <is>
          <t>2024258990031</t>
        </is>
      </c>
      <c r="K65" t="inlineStr">
        <is>
          <t>Si</t>
        </is>
      </c>
      <c r="L65" t="inlineStr">
        <is>
          <t>Número</t>
        </is>
      </c>
      <c r="M65">
        <v>2</v>
      </c>
      <c r="N65">
        <v>0</v>
      </c>
      <c r="O65">
        <v>2</v>
      </c>
      <c r="P65">
        <v>2</v>
      </c>
      <c r="Q65">
        <v>2</v>
      </c>
      <c r="R65" t="inlineStr">
        <is>
          <t xml:space="preserve"> </t>
        </is>
      </c>
      <c r="S65" s="103" t="inlineStr">
        <is>
          <t xml:space="preserve"> </t>
        </is>
      </c>
      <c r="T65" t="inlineStr">
        <is>
          <t>No se encontró ejecución en PIIP</t>
        </is>
      </c>
      <c r="U65" t="inlineStr">
        <is>
          <t xml:space="preserve"> </t>
        </is>
      </c>
      <c r="V65" s="104" t="inlineStr">
        <is>
          <t xml:space="preserve"> </t>
        </is>
      </c>
      <c r="W65" t="inlineStr">
        <is>
          <t>No se encontró ejecución en PIIP</t>
        </is>
      </c>
    </row>
    <row r="66">
      <c r="A66" t="inlineStr">
        <is>
          <t>IP-148, IP-347</t>
        </is>
      </c>
      <c r="B66" t="inlineStr">
        <is>
          <t>04</t>
        </is>
      </c>
      <c r="C66" t="inlineStr">
        <is>
          <t>Información Estadística</t>
        </is>
      </c>
      <c r="D66" t="inlineStr">
        <is>
          <t>0406</t>
        </is>
      </c>
      <c r="E66" t="inlineStr">
        <is>
          <t>Generación de la información geográfica del territorio nacional</t>
        </is>
      </c>
      <c r="F66" t="inlineStr">
        <is>
          <t>0406005</t>
        </is>
      </c>
      <c r="G66" t="inlineStr">
        <is>
          <t>Servicios de asistencia técnica</t>
        </is>
      </c>
      <c r="H66" t="inlineStr">
        <is>
          <t>040600500</t>
        </is>
      </c>
      <c r="I66" t="inlineStr">
        <is>
          <t>Entidades asistidas técnicamente</t>
        </is>
      </c>
      <c r="J66" t="inlineStr">
        <is>
          <t>2024258990064</t>
        </is>
      </c>
      <c r="K66" t="inlineStr">
        <is>
          <t>Si</t>
        </is>
      </c>
      <c r="L66" t="inlineStr">
        <is>
          <t>Número</t>
        </is>
      </c>
      <c r="M66">
        <v>12</v>
      </c>
      <c r="N66">
        <v>2</v>
      </c>
      <c r="O66">
        <v>6</v>
      </c>
      <c r="P66">
        <v>10</v>
      </c>
      <c r="Q66">
        <v>12</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IP-149, IP-348</t>
        </is>
      </c>
      <c r="B67" t="inlineStr">
        <is>
          <t>04</t>
        </is>
      </c>
      <c r="C67" t="inlineStr">
        <is>
          <t>Información Estadística</t>
        </is>
      </c>
      <c r="D67" t="inlineStr">
        <is>
          <t>0406</t>
        </is>
      </c>
      <c r="E67" t="inlineStr">
        <is>
          <t>Generación de la información geográfica del territorio nacional</t>
        </is>
      </c>
      <c r="F67" t="inlineStr">
        <is>
          <t>0406003</t>
        </is>
      </c>
      <c r="G67" t="inlineStr">
        <is>
          <t>Servicio de conservación catastral</t>
        </is>
      </c>
      <c r="H67" t="inlineStr">
        <is>
          <t>040600300</t>
        </is>
      </c>
      <c r="I67" t="inlineStr">
        <is>
          <t>Trámites de conservación catastral realizados</t>
        </is>
      </c>
      <c r="J67" t="inlineStr">
        <is>
          <t>2024258990064</t>
        </is>
      </c>
      <c r="K67" t="inlineStr">
        <is>
          <t>Si</t>
        </is>
      </c>
      <c r="L67" t="inlineStr">
        <is>
          <t>Número</t>
        </is>
      </c>
      <c r="M67">
        <v>10</v>
      </c>
      <c r="N67">
        <v>4</v>
      </c>
      <c r="O67">
        <v>6</v>
      </c>
      <c r="P67">
        <v>8</v>
      </c>
      <c r="Q67">
        <v>10</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IP-150, IP-349</t>
        </is>
      </c>
      <c r="B68" t="inlineStr">
        <is>
          <t>36</t>
        </is>
      </c>
      <c r="C68" t="inlineStr">
        <is>
          <t>Trabajo</t>
        </is>
      </c>
      <c r="D68" t="inlineStr">
        <is>
          <t>3605</t>
        </is>
      </c>
      <c r="E68" t="inlineStr">
        <is>
          <t>Fomento de la investigación, desarrollo tecnológico e innovación del sector trabajo</t>
        </is>
      </c>
      <c r="F68" t="inlineStr">
        <is>
          <t>3605008</t>
        </is>
      </c>
      <c r="G68" t="inlineStr">
        <is>
          <t>Servicio de educación informal para el talento humano</t>
        </is>
      </c>
      <c r="H68" t="inlineStr">
        <is>
          <t>360500800</t>
        </is>
      </c>
      <c r="I68" t="inlineStr">
        <is>
          <t>Personas capacitadas</t>
        </is>
      </c>
      <c r="J68" t="inlineStr">
        <is>
          <t>2024258990064</t>
        </is>
      </c>
      <c r="K68" t="inlineStr">
        <is>
          <t>No</t>
        </is>
      </c>
      <c r="L68" t="inlineStr">
        <is>
          <t>Número</t>
        </is>
      </c>
      <c r="M68">
        <v>1200</v>
      </c>
      <c r="N68">
        <v>0</v>
      </c>
      <c r="O68">
        <v>1200</v>
      </c>
      <c r="P68">
        <v>0</v>
      </c>
      <c r="Q68">
        <v>0</v>
      </c>
      <c r="R68" t="inlineStr">
        <is>
          <t xml:space="preserve"> </t>
        </is>
      </c>
      <c r="S68" s="103" t="inlineStr">
        <is>
          <t xml:space="preserve"> </t>
        </is>
      </c>
      <c r="T68" t="inlineStr">
        <is>
          <t>No se encontró ejecución en PIIP</t>
        </is>
      </c>
      <c r="U68" t="inlineStr">
        <is>
          <t xml:space="preserve"> </t>
        </is>
      </c>
      <c r="V68" s="104" t="inlineStr">
        <is>
          <t xml:space="preserve"> </t>
        </is>
      </c>
      <c r="W68" t="inlineStr">
        <is>
          <t>No se encontró ejecución en PIIP</t>
        </is>
      </c>
    </row>
    <row r="69">
      <c r="A69" t="inlineStr">
        <is>
          <t>IP-151, IP-350</t>
        </is>
      </c>
      <c r="B69" t="inlineStr">
        <is>
          <t>04</t>
        </is>
      </c>
      <c r="C69" t="inlineStr">
        <is>
          <t>Información Estadística</t>
        </is>
      </c>
      <c r="D69" t="inlineStr">
        <is>
          <t>0406</t>
        </is>
      </c>
      <c r="E69" t="inlineStr">
        <is>
          <t>Generación de la información geográfica del territorio nacional</t>
        </is>
      </c>
      <c r="F69" t="inlineStr">
        <is>
          <t>0406004</t>
        </is>
      </c>
      <c r="G69" t="inlineStr">
        <is>
          <t>Servicio de información catastral actualizado</t>
        </is>
      </c>
      <c r="H69" t="inlineStr">
        <is>
          <t>040600400</t>
        </is>
      </c>
      <c r="I69" t="inlineStr">
        <is>
          <t>Sistema de Información catastral actualizado</t>
        </is>
      </c>
      <c r="J69" t="inlineStr">
        <is>
          <t>2024258990064</t>
        </is>
      </c>
      <c r="K69" t="inlineStr">
        <is>
          <t>Si</t>
        </is>
      </c>
      <c r="L69" t="inlineStr">
        <is>
          <t>Número</t>
        </is>
      </c>
      <c r="M69">
        <v>10</v>
      </c>
      <c r="N69">
        <v>6</v>
      </c>
      <c r="O69">
        <v>10</v>
      </c>
      <c r="P69">
        <v>10</v>
      </c>
      <c r="Q69">
        <v>10</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IP-152, IP-351</t>
        </is>
      </c>
      <c r="B70" t="inlineStr">
        <is>
          <t>04</t>
        </is>
      </c>
      <c r="C70" t="inlineStr">
        <is>
          <t>Información Estadística</t>
        </is>
      </c>
      <c r="D70" t="inlineStr">
        <is>
          <t>0406</t>
        </is>
      </c>
      <c r="E70" t="inlineStr">
        <is>
          <t>Generación de la información geográfica del territorio nacional</t>
        </is>
      </c>
      <c r="F70" t="inlineStr">
        <is>
          <t>0406001</t>
        </is>
      </c>
      <c r="G70" t="inlineStr">
        <is>
          <t>Servicio de información geográfica, geodésica y cartográfica actualizado</t>
        </is>
      </c>
      <c r="H70" t="inlineStr">
        <is>
          <t>040600100</t>
        </is>
      </c>
      <c r="I70" t="inlineStr">
        <is>
          <t>Sistema de información actualizado</t>
        </is>
      </c>
      <c r="J70" t="inlineStr">
        <is>
          <t>2024258990064</t>
        </is>
      </c>
      <c r="K70" t="inlineStr">
        <is>
          <t>Si</t>
        </is>
      </c>
      <c r="L70" t="inlineStr">
        <is>
          <t>Número</t>
        </is>
      </c>
      <c r="M70">
        <v>12</v>
      </c>
      <c r="N70">
        <v>4</v>
      </c>
      <c r="O70">
        <v>10</v>
      </c>
      <c r="P70">
        <v>12</v>
      </c>
      <c r="Q70">
        <v>12</v>
      </c>
      <c r="R70" t="inlineStr">
        <is>
          <t xml:space="preserve"> </t>
        </is>
      </c>
      <c r="S70" s="103" t="inlineStr">
        <is>
          <t xml:space="preserve"> </t>
        </is>
      </c>
      <c r="T70" t="inlineStr">
        <is>
          <t>No se encontró ejecución en PIIP</t>
        </is>
      </c>
      <c r="U70" t="inlineStr">
        <is>
          <t xml:space="preserve"> </t>
        </is>
      </c>
      <c r="V70" s="104" t="inlineStr">
        <is>
          <t xml:space="preserve"> </t>
        </is>
      </c>
      <c r="W70" t="inlineStr">
        <is>
          <t>No se encontró ejecución en PIIP</t>
        </is>
      </c>
    </row>
    <row r="71">
      <c r="A71" t="inlineStr">
        <is>
          <t>IP-153, IP-352</t>
        </is>
      </c>
      <c r="B71" t="inlineStr">
        <is>
          <t>23</t>
        </is>
      </c>
      <c r="C71" t="inlineStr">
        <is>
          <t>Tecnologías de la información y las comunicaciones</t>
        </is>
      </c>
      <c r="D71" t="inlineStr">
        <is>
          <t>2301</t>
        </is>
      </c>
      <c r="E71" t="inlineStr">
        <is>
          <t>Facilitar el acceso y uso de las Tecnologías de la Información y las Comunicaciones (TIC) en todo el territorio nacional</t>
        </is>
      </c>
      <c r="F71" t="inlineStr">
        <is>
          <t>2301027</t>
        </is>
      </c>
      <c r="G71" t="inlineStr">
        <is>
          <t>Servicio de conexiones a redes de acceso</t>
        </is>
      </c>
      <c r="H71" t="inlineStr">
        <is>
          <t>230102701</t>
        </is>
      </c>
      <c r="I71" t="inlineStr">
        <is>
          <t>Conexiones a Internet fijo</t>
        </is>
      </c>
      <c r="J71" t="inlineStr">
        <is>
          <t>2024258990063</t>
        </is>
      </c>
      <c r="K71" t="inlineStr">
        <is>
          <t>No</t>
        </is>
      </c>
      <c r="L71" t="inlineStr">
        <is>
          <t>Número</t>
        </is>
      </c>
      <c r="M71">
        <v>2</v>
      </c>
      <c r="N71">
        <v>0</v>
      </c>
      <c r="O71">
        <v>1</v>
      </c>
      <c r="P71">
        <v>1</v>
      </c>
      <c r="Q71">
        <v>0</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IP-154, IP-155, IP-156, IP-157, IP-353, IP-354, IP-355, IP-356</t>
        </is>
      </c>
      <c r="B72" t="inlineStr">
        <is>
          <t>21</t>
        </is>
      </c>
      <c r="C72" t="inlineStr">
        <is>
          <t>Minas y Energía</t>
        </is>
      </c>
      <c r="D72" t="inlineStr">
        <is>
          <t>2102</t>
        </is>
      </c>
      <c r="E72" t="inlineStr">
        <is>
          <t>Consolidación productiva del sector de energía eléctrica</t>
        </is>
      </c>
      <c r="F72" t="inlineStr">
        <is>
          <t>2102069</t>
        </is>
      </c>
      <c r="G72" t="inlineStr">
        <is>
          <t>Servicio de alumbrado público</t>
        </is>
      </c>
      <c r="H72" t="inlineStr">
        <is>
          <t>210206900</t>
        </is>
      </c>
      <c r="I72" t="inlineStr">
        <is>
          <t>Lámparas de alumbrado público en funcionamiento</t>
        </is>
      </c>
      <c r="J72" t="inlineStr">
        <is>
          <t>2024258990063</t>
        </is>
      </c>
      <c r="K72" t="inlineStr">
        <is>
          <t>No</t>
        </is>
      </c>
      <c r="L72" t="inlineStr">
        <is>
          <t>Número</t>
        </is>
      </c>
      <c r="M72">
        <v>18606</v>
      </c>
      <c r="N72">
        <v>20</v>
      </c>
      <c r="O72">
        <v>420</v>
      </c>
      <c r="P72">
        <v>540</v>
      </c>
      <c r="Q72">
        <v>520</v>
      </c>
      <c r="R72">
        <v>0</v>
      </c>
      <c r="S72" s="103">
        <v>0</v>
      </c>
      <c r="T72" t="inlineStr">
        <is>
          <t>No se ejecutó en la vigencia</t>
        </is>
      </c>
      <c r="U72" t="inlineStr">
        <is>
          <t xml:space="preserve"> </t>
        </is>
      </c>
      <c r="V72" s="104" t="inlineStr">
        <is>
          <t xml:space="preserve"> </t>
        </is>
      </c>
      <c r="W72" t="inlineStr">
        <is>
          <t>No se encontró ejecución en PIIP</t>
        </is>
      </c>
    </row>
    <row r="73">
      <c r="A73" t="inlineStr">
        <is>
          <t>IP-158, IP-357</t>
        </is>
      </c>
      <c r="B73" t="inlineStr">
        <is>
          <t>21</t>
        </is>
      </c>
      <c r="C73" t="inlineStr">
        <is>
          <t>Minas y Energía</t>
        </is>
      </c>
      <c r="D73" t="inlineStr">
        <is>
          <t>2102</t>
        </is>
      </c>
      <c r="E73" t="inlineStr">
        <is>
          <t>Consolidación productiva del sector de energía eléctrica</t>
        </is>
      </c>
      <c r="F73" t="inlineStr">
        <is>
          <t>2102011</t>
        </is>
      </c>
      <c r="G73" t="inlineStr">
        <is>
          <t>Redes de alumbrado público con mantenimiento</t>
        </is>
      </c>
      <c r="H73" t="inlineStr">
        <is>
          <t>210201100</t>
        </is>
      </c>
      <c r="I73" t="inlineStr">
        <is>
          <t>Redes de alumbrado público con mantenimiento</t>
        </is>
      </c>
      <c r="J73" t="inlineStr">
        <is>
          <t>2024258990063</t>
        </is>
      </c>
      <c r="K73" t="inlineStr">
        <is>
          <t>Si</t>
        </is>
      </c>
      <c r="L73" t="inlineStr">
        <is>
          <t xml:space="preserve">Metros </t>
        </is>
      </c>
      <c r="M73">
        <v>2</v>
      </c>
      <c r="N73">
        <v>2</v>
      </c>
      <c r="O73">
        <v>2</v>
      </c>
      <c r="P73">
        <v>2</v>
      </c>
      <c r="Q73">
        <v>2</v>
      </c>
      <c r="R73" t="inlineStr">
        <is>
          <t xml:space="preserve"> </t>
        </is>
      </c>
      <c r="S73" s="103" t="inlineStr">
        <is>
          <t xml:space="preserve"> </t>
        </is>
      </c>
      <c r="T73" t="inlineStr">
        <is>
          <t>No se encontró ejecución en PIIP</t>
        </is>
      </c>
      <c r="U73" t="inlineStr">
        <is>
          <t xml:space="preserve"> </t>
        </is>
      </c>
      <c r="V73" s="104" t="inlineStr">
        <is>
          <t xml:space="preserve"> </t>
        </is>
      </c>
      <c r="W73" t="inlineStr">
        <is>
          <t>No se encontró ejecución en PIIP</t>
        </is>
      </c>
    </row>
    <row r="74">
      <c r="A74" t="inlineStr">
        <is>
          <t>IP-159, IP-358</t>
        </is>
      </c>
      <c r="B74" t="inlineStr">
        <is>
          <t>21</t>
        </is>
      </c>
      <c r="C74" t="inlineStr">
        <is>
          <t>Minas y Energía</t>
        </is>
      </c>
      <c r="D74" t="inlineStr">
        <is>
          <t>2102</t>
        </is>
      </c>
      <c r="E74" t="inlineStr">
        <is>
          <t>Consolidación productiva del sector de energía eléctrica</t>
        </is>
      </c>
      <c r="F74" t="inlineStr">
        <is>
          <t>2102058</t>
        </is>
      </c>
      <c r="G74" t="inlineStr">
        <is>
          <t>Unidades de generación fotovoltaica de energía eléctrica instaladas</t>
        </is>
      </c>
      <c r="H74" t="inlineStr">
        <is>
          <t>210205800</t>
        </is>
      </c>
      <c r="I74" t="inlineStr">
        <is>
          <t>Unidades de generación fotovoltaica de energía eléctrica instaladas</t>
        </is>
      </c>
      <c r="J74" t="inlineStr">
        <is>
          <t>2024258990063</t>
        </is>
      </c>
      <c r="K74" t="inlineStr">
        <is>
          <t>No</t>
        </is>
      </c>
      <c r="L74" t="inlineStr">
        <is>
          <t>Número</t>
        </is>
      </c>
      <c r="M74">
        <v>2</v>
      </c>
      <c r="N74">
        <v>0</v>
      </c>
      <c r="O74">
        <v>1</v>
      </c>
      <c r="P74">
        <v>1</v>
      </c>
      <c r="Q74">
        <v>0</v>
      </c>
      <c r="R74">
        <v>0</v>
      </c>
      <c r="S74" s="103" t="inlineStr">
        <is>
          <t xml:space="preserve"> </t>
        </is>
      </c>
      <c r="T74" t="inlineStr">
        <is>
          <t>No se programó ni ejecutó en la vigencia</t>
        </is>
      </c>
      <c r="U74" t="inlineStr">
        <is>
          <t xml:space="preserve"> </t>
        </is>
      </c>
      <c r="V74" s="104" t="inlineStr">
        <is>
          <t xml:space="preserve"> </t>
        </is>
      </c>
      <c r="W74" t="inlineStr">
        <is>
          <t>No se encontró ejecución en PIIP</t>
        </is>
      </c>
    </row>
    <row r="75">
      <c r="A75" t="inlineStr">
        <is>
          <t>IP-160, IP-359</t>
        </is>
      </c>
      <c r="B75" t="inlineStr">
        <is>
          <t>40</t>
        </is>
      </c>
      <c r="C75" t="inlineStr">
        <is>
          <t>Vivienda, ciudad y territorio</t>
        </is>
      </c>
      <c r="D75" t="inlineStr">
        <is>
          <t>4003</t>
        </is>
      </c>
      <c r="E75" t="inlineStr">
        <is>
          <t>Acceso de la población a los servicios de agua potable y saneamiento básico</t>
        </is>
      </c>
      <c r="F75" t="inlineStr">
        <is>
          <t>4003016</t>
        </is>
      </c>
      <c r="G75" t="inlineStr">
        <is>
          <t>Acueductos ampliados</t>
        </is>
      </c>
      <c r="H75" t="inlineStr">
        <is>
          <t>400301605</t>
        </is>
      </c>
      <c r="I75" t="inlineStr">
        <is>
          <t>Tanques de almacenamiento instalados</t>
        </is>
      </c>
      <c r="J75" t="inlineStr">
        <is>
          <t>2024258990065</t>
        </is>
      </c>
      <c r="K75" t="inlineStr">
        <is>
          <t>No</t>
        </is>
      </c>
      <c r="L75" t="inlineStr">
        <is>
          <t>Número</t>
        </is>
      </c>
      <c r="M75">
        <v>2</v>
      </c>
      <c r="N75">
        <v>0.2</v>
      </c>
      <c r="O75">
        <v>0.4</v>
      </c>
      <c r="P75">
        <v>0.7</v>
      </c>
      <c r="Q75">
        <v>0.7</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IP-161, IP-360</t>
        </is>
      </c>
      <c r="B76" t="inlineStr">
        <is>
          <t>40</t>
        </is>
      </c>
      <c r="C76" t="inlineStr">
        <is>
          <t>Vivienda, ciudad y territorio</t>
        </is>
      </c>
      <c r="D76" t="inlineStr">
        <is>
          <t>4003</t>
        </is>
      </c>
      <c r="E76" t="inlineStr">
        <is>
          <t>Acceso de la población a los servicios de agua potable y saneamiento básico</t>
        </is>
      </c>
      <c r="F76" t="inlineStr">
        <is>
          <t>4003016</t>
        </is>
      </c>
      <c r="G76" t="inlineStr">
        <is>
          <t>Acueductos ampliados</t>
        </is>
      </c>
      <c r="H76" t="inlineStr">
        <is>
          <t>400301603</t>
        </is>
      </c>
      <c r="I76" t="inlineStr">
        <is>
          <t>Red de distribución ampliada</t>
        </is>
      </c>
      <c r="J76" t="inlineStr">
        <is>
          <t>2024258990065</t>
        </is>
      </c>
      <c r="K76" t="inlineStr">
        <is>
          <t>No</t>
        </is>
      </c>
      <c r="L76" t="inlineStr">
        <is>
          <t xml:space="preserve">Metros </t>
        </is>
      </c>
      <c r="M76">
        <v>2</v>
      </c>
      <c r="N76">
        <v>0</v>
      </c>
      <c r="O76">
        <v>0.4</v>
      </c>
      <c r="P76">
        <v>0.8</v>
      </c>
      <c r="Q76">
        <v>0.8</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IP-162, IP-361</t>
        </is>
      </c>
      <c r="B77" t="inlineStr">
        <is>
          <t>40</t>
        </is>
      </c>
      <c r="C77" t="inlineStr">
        <is>
          <t>Vivienda, ciudad y territorio</t>
        </is>
      </c>
      <c r="D77" t="inlineStr">
        <is>
          <t>4003</t>
        </is>
      </c>
      <c r="E77" t="inlineStr">
        <is>
          <t>Acceso de la población a los servicios de agua potable y saneamiento básico</t>
        </is>
      </c>
      <c r="F77" t="inlineStr">
        <is>
          <t>4003006</t>
        </is>
      </c>
      <c r="G77" t="inlineStr">
        <is>
          <t>Documentos de planeación</t>
        </is>
      </c>
      <c r="H77" t="inlineStr">
        <is>
          <t>400300601</t>
        </is>
      </c>
      <c r="I77" t="inlineStr">
        <is>
          <t>Documentos de planeación en políticas de Agua Potable y Saneamiento Básico elaborados</t>
        </is>
      </c>
      <c r="J77" t="inlineStr">
        <is>
          <t>2024258990065</t>
        </is>
      </c>
      <c r="K77" t="inlineStr">
        <is>
          <t>Si</t>
        </is>
      </c>
      <c r="L77" t="inlineStr">
        <is>
          <t>Número</t>
        </is>
      </c>
      <c r="M77">
        <v>2</v>
      </c>
      <c r="N77">
        <v>0.4</v>
      </c>
      <c r="O77">
        <v>1.6</v>
      </c>
      <c r="P77">
        <v>1.8</v>
      </c>
      <c r="Q77">
        <v>2</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IP-163, IP-362</t>
        </is>
      </c>
      <c r="B78" t="inlineStr">
        <is>
          <t>32</t>
        </is>
      </c>
      <c r="C78" t="inlineStr">
        <is>
          <t>Ambiente y desarrollo sostenible</t>
        </is>
      </c>
      <c r="D78" t="inlineStr">
        <is>
          <t>3203</t>
        </is>
      </c>
      <c r="E78" t="inlineStr">
        <is>
          <t>Gestión integral del recurso hídrico</t>
        </is>
      </c>
      <c r="F78" t="inlineStr">
        <is>
          <t>3203010</t>
        </is>
      </c>
      <c r="G78" t="inlineStr">
        <is>
          <t>Servicio de modelación hidráulica</t>
        </is>
      </c>
      <c r="H78" t="inlineStr">
        <is>
          <t>320301000</t>
        </is>
      </c>
      <c r="I78" t="inlineStr">
        <is>
          <t>Modelos hidráulicos implementados</t>
        </is>
      </c>
      <c r="J78" t="inlineStr">
        <is>
          <t>2024258990065</t>
        </is>
      </c>
      <c r="K78" t="inlineStr">
        <is>
          <t>No</t>
        </is>
      </c>
      <c r="L78" t="inlineStr">
        <is>
          <t>Número</t>
        </is>
      </c>
      <c r="M78">
        <v>18</v>
      </c>
      <c r="N78">
        <v>2</v>
      </c>
      <c r="O78">
        <v>4</v>
      </c>
      <c r="P78">
        <v>6</v>
      </c>
      <c r="Q78">
        <v>6</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IP-164, IP-166, IP-179, IP-180, IP-363, IP-365, IP-378, IP-379</t>
        </is>
      </c>
      <c r="B79" t="inlineStr">
        <is>
          <t>40</t>
        </is>
      </c>
      <c r="C79" t="inlineStr">
        <is>
          <t>Vivienda, ciudad y territorio</t>
        </is>
      </c>
      <c r="D79" t="inlineStr">
        <is>
          <t>4003</t>
        </is>
      </c>
      <c r="E79" t="inlineStr">
        <is>
          <t>Acceso de la población a los servicios de agua potable y saneamiento básico</t>
        </is>
      </c>
      <c r="F79" t="inlineStr">
        <is>
          <t>4003042</t>
        </is>
      </c>
      <c r="G79" t="inlineStr">
        <is>
          <t>Estudios de pre inversión e inversión</t>
        </is>
      </c>
      <c r="H79" t="inlineStr">
        <is>
          <t>400304200</t>
        </is>
      </c>
      <c r="I79" t="inlineStr">
        <is>
          <t xml:space="preserve">Estudios o diseños realizados </t>
        </is>
      </c>
      <c r="J79" t="inlineStr">
        <is>
          <t>2024258990065</t>
        </is>
      </c>
      <c r="K79" t="inlineStr">
        <is>
          <t>No</t>
        </is>
      </c>
      <c r="L79" t="inlineStr">
        <is>
          <t>Número</t>
        </is>
      </c>
      <c r="M79">
        <v>18</v>
      </c>
      <c r="N79">
        <v>4</v>
      </c>
      <c r="O79">
        <v>11</v>
      </c>
      <c r="P79">
        <v>2</v>
      </c>
      <c r="Q79">
        <v>1</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IP-165, IP-364</t>
        </is>
      </c>
      <c r="B80" t="inlineStr">
        <is>
          <t>40</t>
        </is>
      </c>
      <c r="C80" t="inlineStr">
        <is>
          <t>Vivienda, ciudad y territorio</t>
        </is>
      </c>
      <c r="D80" t="inlineStr">
        <is>
          <t>4003</t>
        </is>
      </c>
      <c r="E80" t="inlineStr">
        <is>
          <t>Acceso de la población a los servicios de agua potable y saneamiento básico</t>
        </is>
      </c>
      <c r="F80" t="inlineStr">
        <is>
          <t>4003017</t>
        </is>
      </c>
      <c r="G80" t="inlineStr">
        <is>
          <t>Acueductos optimizados</t>
        </is>
      </c>
      <c r="H80" t="inlineStr">
        <is>
          <t>400301703</t>
        </is>
      </c>
      <c r="I80" t="inlineStr">
        <is>
          <t>Red de distribución optimizada</t>
        </is>
      </c>
      <c r="J80" t="inlineStr">
        <is>
          <t>2024258990065</t>
        </is>
      </c>
      <c r="K80" t="inlineStr">
        <is>
          <t>No</t>
        </is>
      </c>
      <c r="L80" t="inlineStr">
        <is>
          <t xml:space="preserve">Metros </t>
        </is>
      </c>
      <c r="M80">
        <v>4000</v>
      </c>
      <c r="N80">
        <v>1000</v>
      </c>
      <c r="O80">
        <v>1000</v>
      </c>
      <c r="P80">
        <v>1000</v>
      </c>
      <c r="Q80">
        <v>1000</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IP-167, IP-168, IP-169, IP-170, IP-177, IP-366, IP-367, IP-368, IP-369, IP-376</t>
        </is>
      </c>
      <c r="B81" t="inlineStr">
        <is>
          <t>40</t>
        </is>
      </c>
      <c r="C81" t="inlineStr">
        <is>
          <t>Vivienda, ciudad y territorio</t>
        </is>
      </c>
      <c r="D81" t="inlineStr">
        <is>
          <t>4003</t>
        </is>
      </c>
      <c r="E81" t="inlineStr">
        <is>
          <t>Acceso de la población a los servicios de agua potable y saneamiento básico</t>
        </is>
      </c>
      <c r="F81" t="inlineStr">
        <is>
          <t>4003017</t>
        </is>
      </c>
      <c r="G81" t="inlineStr">
        <is>
          <t>Acueductos optimizados</t>
        </is>
      </c>
      <c r="H81" t="inlineStr">
        <is>
          <t>400301700</t>
        </is>
      </c>
      <c r="I81" t="inlineStr">
        <is>
          <t>Acueductos optimizados</t>
        </is>
      </c>
      <c r="J81" t="inlineStr">
        <is>
          <t>2024258990065</t>
        </is>
      </c>
      <c r="K81" t="inlineStr">
        <is>
          <t>No</t>
        </is>
      </c>
      <c r="L81" t="inlineStr">
        <is>
          <t>Número</t>
        </is>
      </c>
      <c r="M81">
        <v>20008</v>
      </c>
      <c r="N81">
        <v>1000.1</v>
      </c>
      <c r="O81">
        <v>6336.22</v>
      </c>
      <c r="P81">
        <v>6336.82</v>
      </c>
      <c r="Q81">
        <v>6334.82</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IP-171, IP-370</t>
        </is>
      </c>
      <c r="B82" t="inlineStr">
        <is>
          <t>40</t>
        </is>
      </c>
      <c r="C82" t="inlineStr">
        <is>
          <t>Vivienda, ciudad y territorio</t>
        </is>
      </c>
      <c r="D82" t="inlineStr">
        <is>
          <t>4003</t>
        </is>
      </c>
      <c r="E82" t="inlineStr">
        <is>
          <t>Acceso de la población a los servicios de agua potable y saneamiento básico</t>
        </is>
      </c>
      <c r="F82" t="inlineStr">
        <is>
          <t>4003016</t>
        </is>
      </c>
      <c r="G82" t="inlineStr">
        <is>
          <t>Acueductos ampliados</t>
        </is>
      </c>
      <c r="H82" t="inlineStr">
        <is>
          <t>400301606</t>
        </is>
      </c>
      <c r="I82" t="inlineStr">
        <is>
          <t>Desarenadores construidos</t>
        </is>
      </c>
      <c r="J82" t="inlineStr">
        <is>
          <t>2024258990065</t>
        </is>
      </c>
      <c r="K82" t="inlineStr">
        <is>
          <t>No</t>
        </is>
      </c>
      <c r="L82" t="inlineStr">
        <is>
          <t>Número</t>
        </is>
      </c>
      <c r="M82">
        <v>2</v>
      </c>
      <c r="N82">
        <v>0</v>
      </c>
      <c r="O82">
        <v>1</v>
      </c>
      <c r="P82">
        <v>1</v>
      </c>
      <c r="Q82">
        <v>0</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IP-172, IP-371</t>
        </is>
      </c>
      <c r="B83" t="inlineStr">
        <is>
          <t>40</t>
        </is>
      </c>
      <c r="C83" t="inlineStr">
        <is>
          <t>Vivienda, ciudad y territorio</t>
        </is>
      </c>
      <c r="D83" t="inlineStr">
        <is>
          <t>4003</t>
        </is>
      </c>
      <c r="E83" t="inlineStr">
        <is>
          <t>Acceso de la población a los servicios de agua potable y saneamiento básico</t>
        </is>
      </c>
      <c r="F83" t="inlineStr">
        <is>
          <t>4003017</t>
        </is>
      </c>
      <c r="G83" t="inlineStr">
        <is>
          <t>Acueductos optimizados</t>
        </is>
      </c>
      <c r="H83" t="inlineStr">
        <is>
          <t>400301704</t>
        </is>
      </c>
      <c r="I83" t="inlineStr">
        <is>
          <t>Bocatomas optimizadas</t>
        </is>
      </c>
      <c r="J83" t="inlineStr">
        <is>
          <t>2024258990065</t>
        </is>
      </c>
      <c r="K83" t="inlineStr">
        <is>
          <t>No</t>
        </is>
      </c>
      <c r="L83" t="inlineStr">
        <is>
          <t>Número</t>
        </is>
      </c>
      <c r="M83">
        <v>2</v>
      </c>
      <c r="N83">
        <v>0.4</v>
      </c>
      <c r="O83">
        <v>0.8</v>
      </c>
      <c r="P83">
        <v>0.8</v>
      </c>
      <c r="Q83">
        <v>0</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IP-173, IP-372</t>
        </is>
      </c>
      <c r="B84" t="inlineStr">
        <is>
          <t>40</t>
        </is>
      </c>
      <c r="C84" t="inlineStr">
        <is>
          <t>Vivienda, ciudad y territorio</t>
        </is>
      </c>
      <c r="D84" t="inlineStr">
        <is>
          <t>4003</t>
        </is>
      </c>
      <c r="E84" t="inlineStr">
        <is>
          <t>Acceso de la población a los servicios de agua potable y saneamiento básico</t>
        </is>
      </c>
      <c r="F84" t="inlineStr">
        <is>
          <t>4003017</t>
        </is>
      </c>
      <c r="G84" t="inlineStr">
        <is>
          <t>Acueductos optimizados</t>
        </is>
      </c>
      <c r="H84" t="inlineStr">
        <is>
          <t>400301702</t>
        </is>
      </c>
      <c r="I84" t="inlineStr">
        <is>
          <t>Plantas de tratamiento de agua potable optimizadas</t>
        </is>
      </c>
      <c r="J84" t="inlineStr">
        <is>
          <t>2024258990065</t>
        </is>
      </c>
      <c r="K84" t="inlineStr">
        <is>
          <t>No</t>
        </is>
      </c>
      <c r="L84" t="inlineStr">
        <is>
          <t>Número</t>
        </is>
      </c>
      <c r="M84">
        <v>2</v>
      </c>
      <c r="N84">
        <v>0.4</v>
      </c>
      <c r="O84">
        <v>1.2</v>
      </c>
      <c r="P84">
        <v>0.4</v>
      </c>
      <c r="Q84">
        <v>0</v>
      </c>
      <c r="R84" t="inlineStr">
        <is>
          <t xml:space="preserve"> </t>
        </is>
      </c>
      <c r="S84" s="103" t="inlineStr">
        <is>
          <t xml:space="preserve"> </t>
        </is>
      </c>
      <c r="T84" t="inlineStr">
        <is>
          <t>No se encontró ejecución en PIIP</t>
        </is>
      </c>
      <c r="U84" t="inlineStr">
        <is>
          <t xml:space="preserve"> </t>
        </is>
      </c>
      <c r="V84" s="104" t="inlineStr">
        <is>
          <t xml:space="preserve"> </t>
        </is>
      </c>
      <c r="W84" t="inlineStr">
        <is>
          <t>No se encontró ejecución en PIIP</t>
        </is>
      </c>
    </row>
    <row r="85">
      <c r="A85" t="inlineStr">
        <is>
          <t>IP-174, IP-373</t>
        </is>
      </c>
      <c r="B85" t="inlineStr">
        <is>
          <t>40</t>
        </is>
      </c>
      <c r="C85" t="inlineStr">
        <is>
          <t>Vivienda, ciudad y territorio</t>
        </is>
      </c>
      <c r="D85" t="inlineStr">
        <is>
          <t>4003</t>
        </is>
      </c>
      <c r="E85" t="inlineStr">
        <is>
          <t>Acceso de la población a los servicios de agua potable y saneamiento básico</t>
        </is>
      </c>
      <c r="F85" t="inlineStr">
        <is>
          <t>4003015</t>
        </is>
      </c>
      <c r="G85" t="inlineStr">
        <is>
          <t>Acueductos construidos</t>
        </is>
      </c>
      <c r="H85" t="inlineStr">
        <is>
          <t>400301502</t>
        </is>
      </c>
      <c r="I85" t="inlineStr">
        <is>
          <t>Personas beneficiadas con acceso al servicio de agua potable</t>
        </is>
      </c>
      <c r="J85" t="inlineStr">
        <is>
          <t>2024258990065</t>
        </is>
      </c>
      <c r="K85" t="inlineStr">
        <is>
          <t>Si</t>
        </is>
      </c>
      <c r="L85" t="inlineStr">
        <is>
          <t>Número</t>
        </is>
      </c>
      <c r="M85">
        <v>113392</v>
      </c>
      <c r="N85">
        <v>101692</v>
      </c>
      <c r="O85">
        <v>105592</v>
      </c>
      <c r="P85">
        <v>109492</v>
      </c>
      <c r="Q85">
        <v>113392</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IP-175, IP-374</t>
        </is>
      </c>
      <c r="B86" t="inlineStr">
        <is>
          <t>40</t>
        </is>
      </c>
      <c r="C86" t="inlineStr">
        <is>
          <t>Vivienda, ciudad y territorio</t>
        </is>
      </c>
      <c r="D86" t="inlineStr">
        <is>
          <t>4003</t>
        </is>
      </c>
      <c r="E86" t="inlineStr">
        <is>
          <t>Acceso de la población a los servicios de agua potable y saneamiento básico</t>
        </is>
      </c>
      <c r="F86" t="inlineStr">
        <is>
          <t>4003018</t>
        </is>
      </c>
      <c r="G86" t="inlineStr">
        <is>
          <t>Alcantarillados construidos</t>
        </is>
      </c>
      <c r="H86" t="inlineStr">
        <is>
          <t>400301801</t>
        </is>
      </c>
      <c r="I86" t="inlineStr">
        <is>
          <t>Personas beneficiadas con acceso al servicio de alcantarillado</t>
        </is>
      </c>
      <c r="J86" t="inlineStr">
        <is>
          <t>2024258990065</t>
        </is>
      </c>
      <c r="K86" t="inlineStr">
        <is>
          <t>Si</t>
        </is>
      </c>
      <c r="L86" t="inlineStr">
        <is>
          <t>Número</t>
        </is>
      </c>
      <c r="M86">
        <v>111872</v>
      </c>
      <c r="N86">
        <v>100172</v>
      </c>
      <c r="O86">
        <v>104072</v>
      </c>
      <c r="P86">
        <v>107972</v>
      </c>
      <c r="Q86">
        <v>111872</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IP-176, IP-375</t>
        </is>
      </c>
      <c r="B87" t="inlineStr">
        <is>
          <t>40</t>
        </is>
      </c>
      <c r="C87" t="inlineStr">
        <is>
          <t>Vivienda, ciudad y territorio</t>
        </is>
      </c>
      <c r="D87" t="inlineStr">
        <is>
          <t>4003</t>
        </is>
      </c>
      <c r="E87" t="inlineStr">
        <is>
          <t>Acceso de la población a los servicios de agua potable y saneamiento básico</t>
        </is>
      </c>
      <c r="F87" t="inlineStr">
        <is>
          <t>4003010</t>
        </is>
      </c>
      <c r="G87" t="inlineStr">
        <is>
          <t>Servicio de Aseo</t>
        </is>
      </c>
      <c r="H87" t="inlineStr">
        <is>
          <t>400301000</t>
        </is>
      </c>
      <c r="I87" t="inlineStr">
        <is>
          <t>Usuarios con acceso al servicio de aseo</t>
        </is>
      </c>
      <c r="J87" t="inlineStr">
        <is>
          <t>2024258990065</t>
        </is>
      </c>
      <c r="K87" t="inlineStr">
        <is>
          <t>Si</t>
        </is>
      </c>
      <c r="L87" t="inlineStr">
        <is>
          <t>Número</t>
        </is>
      </c>
      <c r="M87">
        <v>112662</v>
      </c>
      <c r="N87">
        <v>100962</v>
      </c>
      <c r="O87">
        <v>104862</v>
      </c>
      <c r="P87">
        <v>108762</v>
      </c>
      <c r="Q87">
        <v>112662</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IP-178, IP-377</t>
        </is>
      </c>
      <c r="B88" t="inlineStr">
        <is>
          <t>40</t>
        </is>
      </c>
      <c r="C88" t="inlineStr">
        <is>
          <t>Vivienda, ciudad y territorio</t>
        </is>
      </c>
      <c r="D88" t="inlineStr">
        <is>
          <t>4003</t>
        </is>
      </c>
      <c r="E88" t="inlineStr">
        <is>
          <t>Acceso de la población a los servicios de agua potable y saneamiento básico</t>
        </is>
      </c>
      <c r="F88" t="inlineStr">
        <is>
          <t>4003020</t>
        </is>
      </c>
      <c r="G88" t="inlineStr">
        <is>
          <t>Alcantarillados optimizados</t>
        </is>
      </c>
      <c r="H88" t="inlineStr">
        <is>
          <t>400302002</t>
        </is>
      </c>
      <c r="I88" t="inlineStr">
        <is>
          <t>Plantas de tratamiento de aguas residuales optimizadas</t>
        </is>
      </c>
      <c r="J88" t="inlineStr">
        <is>
          <t>2024258990065</t>
        </is>
      </c>
      <c r="K88" t="inlineStr">
        <is>
          <t>No</t>
        </is>
      </c>
      <c r="L88" t="inlineStr">
        <is>
          <t>Número</t>
        </is>
      </c>
      <c r="M88">
        <v>2</v>
      </c>
      <c r="N88">
        <v>0.4</v>
      </c>
      <c r="O88">
        <v>0.8</v>
      </c>
      <c r="P88">
        <v>0.8</v>
      </c>
      <c r="Q88">
        <v>0</v>
      </c>
      <c r="R88" t="inlineStr">
        <is>
          <t xml:space="preserve"> </t>
        </is>
      </c>
      <c r="S88" s="103" t="inlineStr">
        <is>
          <t xml:space="preserve"> </t>
        </is>
      </c>
      <c r="T88" t="inlineStr">
        <is>
          <t>No se encontró ejecución en PIIP</t>
        </is>
      </c>
      <c r="U88" t="inlineStr">
        <is>
          <t xml:space="preserve"> </t>
        </is>
      </c>
      <c r="V88" s="104" t="inlineStr">
        <is>
          <t xml:space="preserve"> </t>
        </is>
      </c>
      <c r="W88" t="inlineStr">
        <is>
          <t>No se encontró ejecución en PIIP</t>
        </is>
      </c>
    </row>
    <row r="89">
      <c r="A89" t="inlineStr">
        <is>
          <t>IP-181, IP-380</t>
        </is>
      </c>
      <c r="B89" t="inlineStr">
        <is>
          <t>40</t>
        </is>
      </c>
      <c r="C89" t="inlineStr">
        <is>
          <t>Vivienda, ciudad y territorio</t>
        </is>
      </c>
      <c r="D89" t="inlineStr">
        <is>
          <t>4003</t>
        </is>
      </c>
      <c r="E89" t="inlineStr">
        <is>
          <t>Acceso de la población a los servicios de agua potable y saneamiento básico</t>
        </is>
      </c>
      <c r="F89" t="inlineStr">
        <is>
          <t>4003018</t>
        </is>
      </c>
      <c r="G89" t="inlineStr">
        <is>
          <t>Alcantarillados construidos</t>
        </is>
      </c>
      <c r="H89" t="inlineStr">
        <is>
          <t>400301800</t>
        </is>
      </c>
      <c r="I89" t="inlineStr">
        <is>
          <t>Alcantarillados construidos</t>
        </is>
      </c>
      <c r="J89" t="inlineStr">
        <is>
          <t>2024258990065</t>
        </is>
      </c>
      <c r="K89" t="inlineStr">
        <is>
          <t>No</t>
        </is>
      </c>
      <c r="L89" t="inlineStr">
        <is>
          <t>Número</t>
        </is>
      </c>
      <c r="M89">
        <v>2</v>
      </c>
      <c r="N89">
        <v>0</v>
      </c>
      <c r="O89">
        <v>1</v>
      </c>
      <c r="P89">
        <v>1</v>
      </c>
      <c r="Q89">
        <v>0</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IP-182, IP-381</t>
        </is>
      </c>
      <c r="B90" t="inlineStr">
        <is>
          <t>40</t>
        </is>
      </c>
      <c r="C90" t="inlineStr">
        <is>
          <t>Vivienda, ciudad y territorio</t>
        </is>
      </c>
      <c r="D90" t="inlineStr">
        <is>
          <t>4003</t>
        </is>
      </c>
      <c r="E90" t="inlineStr">
        <is>
          <t>Acceso de la población a los servicios de agua potable y saneamiento básico</t>
        </is>
      </c>
      <c r="F90" t="inlineStr">
        <is>
          <t>4003018</t>
        </is>
      </c>
      <c r="G90" t="inlineStr">
        <is>
          <t>Alcantarillados construidos</t>
        </is>
      </c>
      <c r="H90" t="inlineStr">
        <is>
          <t>400301804</t>
        </is>
      </c>
      <c r="I90" t="inlineStr">
        <is>
          <t>Colectores instalados</t>
        </is>
      </c>
      <c r="J90" t="inlineStr">
        <is>
          <t>2024258990065</t>
        </is>
      </c>
      <c r="K90" t="inlineStr">
        <is>
          <t>No</t>
        </is>
      </c>
      <c r="L90" t="inlineStr">
        <is>
          <t>Número</t>
        </is>
      </c>
      <c r="M90">
        <v>2</v>
      </c>
      <c r="N90">
        <v>0.6</v>
      </c>
      <c r="O90">
        <v>1.4</v>
      </c>
      <c r="P90">
        <v>0</v>
      </c>
      <c r="Q90">
        <v>0</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IP-183, IP-382</t>
        </is>
      </c>
      <c r="B91" t="inlineStr">
        <is>
          <t>40</t>
        </is>
      </c>
      <c r="C91" t="inlineStr">
        <is>
          <t>Vivienda, ciudad y territorio</t>
        </is>
      </c>
      <c r="D91" t="inlineStr">
        <is>
          <t>4003</t>
        </is>
      </c>
      <c r="E91" t="inlineStr">
        <is>
          <t>Acceso de la población a los servicios de agua potable y saneamiento básico</t>
        </is>
      </c>
      <c r="F91" t="inlineStr">
        <is>
          <t>4003020</t>
        </is>
      </c>
      <c r="G91" t="inlineStr">
        <is>
          <t>Alcantarillados optimizados</t>
        </is>
      </c>
      <c r="H91" t="inlineStr">
        <is>
          <t>400302006</t>
        </is>
      </c>
      <c r="I91" t="inlineStr">
        <is>
          <t>Obras conexas optimizadas</t>
        </is>
      </c>
      <c r="J91" t="inlineStr">
        <is>
          <t>2024258990065</t>
        </is>
      </c>
      <c r="K91" t="inlineStr">
        <is>
          <t>No</t>
        </is>
      </c>
      <c r="L91" t="inlineStr">
        <is>
          <t>Número</t>
        </is>
      </c>
      <c r="M91">
        <v>2</v>
      </c>
      <c r="N91">
        <v>0</v>
      </c>
      <c r="O91">
        <v>0</v>
      </c>
      <c r="P91">
        <v>2</v>
      </c>
      <c r="Q91">
        <v>0</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IP-184, IP-383</t>
        </is>
      </c>
      <c r="B92" t="inlineStr">
        <is>
          <t>40</t>
        </is>
      </c>
      <c r="C92" t="inlineStr">
        <is>
          <t>Vivienda, ciudad y territorio</t>
        </is>
      </c>
      <c r="D92" t="inlineStr">
        <is>
          <t>4003</t>
        </is>
      </c>
      <c r="E92" t="inlineStr">
        <is>
          <t>Acceso de la población a los servicios de agua potable y saneamiento básico</t>
        </is>
      </c>
      <c r="F92" t="inlineStr">
        <is>
          <t>4003020</t>
        </is>
      </c>
      <c r="G92" t="inlineStr">
        <is>
          <t>Alcantarillados optimizados</t>
        </is>
      </c>
      <c r="H92" t="inlineStr">
        <is>
          <t>400302003</t>
        </is>
      </c>
      <c r="I92" t="inlineStr">
        <is>
          <t>Red de alcantarillado optimizada</t>
        </is>
      </c>
      <c r="J92" t="inlineStr">
        <is>
          <t>2024258990065</t>
        </is>
      </c>
      <c r="K92" t="inlineStr">
        <is>
          <t>No</t>
        </is>
      </c>
      <c r="L92" t="inlineStr">
        <is>
          <t xml:space="preserve">Metros </t>
        </is>
      </c>
      <c r="M92">
        <v>4000</v>
      </c>
      <c r="N92">
        <v>352</v>
      </c>
      <c r="O92">
        <v>1216</v>
      </c>
      <c r="P92">
        <v>1216</v>
      </c>
      <c r="Q92">
        <v>1216</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IP-185, IP-189, IP-384, IP-388</t>
        </is>
      </c>
      <c r="B93" t="inlineStr">
        <is>
          <t>40</t>
        </is>
      </c>
      <c r="C93" t="inlineStr">
        <is>
          <t>Vivienda, ciudad y territorio</t>
        </is>
      </c>
      <c r="D93" t="inlineStr">
        <is>
          <t>4003</t>
        </is>
      </c>
      <c r="E93" t="inlineStr">
        <is>
          <t>Acceso de la población a los servicios de agua potable y saneamiento básico</t>
        </is>
      </c>
      <c r="F93" t="inlineStr">
        <is>
          <t>4003012</t>
        </is>
      </c>
      <c r="G93" t="inlineStr">
        <is>
          <t>Soluciones de disposición final de residuos solidos construidas</t>
        </is>
      </c>
      <c r="H93" t="inlineStr">
        <is>
          <t>400301200</t>
        </is>
      </c>
      <c r="I93" t="inlineStr">
        <is>
          <t>Soluciones de disposición final de residuos solidos construidas</t>
        </is>
      </c>
      <c r="J93" t="inlineStr">
        <is>
          <t>2024258990065</t>
        </is>
      </c>
      <c r="K93" t="inlineStr">
        <is>
          <t>No</t>
        </is>
      </c>
      <c r="L93" t="inlineStr">
        <is>
          <t>Número</t>
        </is>
      </c>
      <c r="M93">
        <v>204</v>
      </c>
      <c r="N93">
        <v>0</v>
      </c>
      <c r="O93">
        <v>202</v>
      </c>
      <c r="P93">
        <v>2</v>
      </c>
      <c r="Q93">
        <v>0</v>
      </c>
      <c r="R93" t="inlineStr">
        <is>
          <t xml:space="preserve"> </t>
        </is>
      </c>
      <c r="S93" s="103" t="inlineStr">
        <is>
          <t xml:space="preserve"> </t>
        </is>
      </c>
      <c r="T93" t="inlineStr">
        <is>
          <t>No se encontró ejecución en PIIP</t>
        </is>
      </c>
      <c r="U93" t="inlineStr">
        <is>
          <t xml:space="preserve"> </t>
        </is>
      </c>
      <c r="V93" s="104" t="inlineStr">
        <is>
          <t xml:space="preserve"> </t>
        </is>
      </c>
      <c r="W93" t="inlineStr">
        <is>
          <t>No se encontró ejecución en PIIP</t>
        </is>
      </c>
    </row>
    <row r="94">
      <c r="A94" t="inlineStr">
        <is>
          <t>IP-186, IP-385</t>
        </is>
      </c>
      <c r="B94" t="inlineStr">
        <is>
          <t>40</t>
        </is>
      </c>
      <c r="C94" t="inlineStr">
        <is>
          <t>Vivienda, ciudad y territorio</t>
        </is>
      </c>
      <c r="D94" t="inlineStr">
        <is>
          <t>4003</t>
        </is>
      </c>
      <c r="E94" t="inlineStr">
        <is>
          <t>Acceso de la población a los servicios de agua potable y saneamiento básico</t>
        </is>
      </c>
      <c r="F94" t="inlineStr">
        <is>
          <t>4003010</t>
        </is>
      </c>
      <c r="G94" t="inlineStr">
        <is>
          <t>Servicio de Aseo</t>
        </is>
      </c>
      <c r="H94" t="inlineStr">
        <is>
          <t>400301001</t>
        </is>
      </c>
      <c r="I94" t="inlineStr">
        <is>
          <t>Municipios con vehículos de recolección de residuos solidos</t>
        </is>
      </c>
      <c r="J94" t="inlineStr">
        <is>
          <t>2024258990065</t>
        </is>
      </c>
      <c r="K94" t="inlineStr">
        <is>
          <t>No</t>
        </is>
      </c>
      <c r="L94" t="inlineStr">
        <is>
          <t>Número</t>
        </is>
      </c>
      <c r="M94">
        <v>4</v>
      </c>
      <c r="N94">
        <v>0</v>
      </c>
      <c r="O94">
        <v>0</v>
      </c>
      <c r="P94">
        <v>2</v>
      </c>
      <c r="Q94">
        <v>2</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IP-187, IP-386</t>
        </is>
      </c>
      <c r="B95" t="inlineStr">
        <is>
          <t>40</t>
        </is>
      </c>
      <c r="C95" t="inlineStr">
        <is>
          <t>Vivienda, ciudad y territorio</t>
        </is>
      </c>
      <c r="D95" t="inlineStr">
        <is>
          <t>4003</t>
        </is>
      </c>
      <c r="E95" t="inlineStr">
        <is>
          <t>Acceso de la población a los servicios de agua potable y saneamiento básico</t>
        </is>
      </c>
      <c r="F95" t="inlineStr">
        <is>
          <t>4003031</t>
        </is>
      </c>
      <c r="G95" t="inlineStr">
        <is>
          <t>Estación de clasificación y aprovechamiento de residuos sólidos construida</t>
        </is>
      </c>
      <c r="H95" t="inlineStr">
        <is>
          <t>400303100</t>
        </is>
      </c>
      <c r="I95" t="inlineStr">
        <is>
          <t>Estaciones de clasificación y aprovechamiento de residuos sólidos construidas</t>
        </is>
      </c>
      <c r="J95" t="inlineStr">
        <is>
          <t>2024258990065</t>
        </is>
      </c>
      <c r="K95" t="inlineStr">
        <is>
          <t>No</t>
        </is>
      </c>
      <c r="L95" t="inlineStr">
        <is>
          <t>Número</t>
        </is>
      </c>
      <c r="M95">
        <v>0.7</v>
      </c>
      <c r="N95">
        <v>0</v>
      </c>
      <c r="O95">
        <v>0.5</v>
      </c>
      <c r="P95">
        <v>0.2</v>
      </c>
      <c r="Q95">
        <v>0</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IP-188, IP-387</t>
        </is>
      </c>
      <c r="B96" t="inlineStr">
        <is>
          <t>32</t>
        </is>
      </c>
      <c r="C96" t="inlineStr">
        <is>
          <t>Ambiente y desarrollo sostenible</t>
        </is>
      </c>
      <c r="D96" t="inlineStr">
        <is>
          <t>3202</t>
        </is>
      </c>
      <c r="E96" t="inlineStr">
        <is>
          <t>Conservación de la biodiversidad y sus servicios ecosistémicos</t>
        </is>
      </c>
      <c r="F96" t="inlineStr">
        <is>
          <t>3202025</t>
        </is>
      </c>
      <c r="G96" t="inlineStr">
        <is>
          <t>Centro de Atención y Valoración de flora silvestre construido</t>
        </is>
      </c>
      <c r="H96" t="inlineStr">
        <is>
          <t>320202500</t>
        </is>
      </c>
      <c r="I96" t="inlineStr">
        <is>
          <t xml:space="preserve">Centro de Atención y Valoración de flora silvestre construido </t>
        </is>
      </c>
      <c r="J96" t="inlineStr">
        <is>
          <t>2024258990065</t>
        </is>
      </c>
      <c r="K96" t="inlineStr">
        <is>
          <t>Si</t>
        </is>
      </c>
      <c r="L96" t="inlineStr">
        <is>
          <t>Número</t>
        </is>
      </c>
      <c r="M96">
        <v>2</v>
      </c>
      <c r="N96">
        <v>0</v>
      </c>
      <c r="O96">
        <v>1.6</v>
      </c>
      <c r="P96">
        <v>1.8</v>
      </c>
      <c r="Q96">
        <v>2</v>
      </c>
      <c r="R96" t="inlineStr">
        <is>
          <t xml:space="preserve"> </t>
        </is>
      </c>
      <c r="S96" s="103" t="inlineStr">
        <is>
          <t xml:space="preserve"> </t>
        </is>
      </c>
      <c r="T96" t="inlineStr">
        <is>
          <t>No se encontró ejecución en PIIP</t>
        </is>
      </c>
      <c r="U96" t="inlineStr">
        <is>
          <t xml:space="preserve"> </t>
        </is>
      </c>
      <c r="V96" s="104" t="inlineStr">
        <is>
          <t xml:space="preserve"> </t>
        </is>
      </c>
      <c r="W96" t="inlineStr">
        <is>
          <t>No se encontró ejecución en PIIP</t>
        </is>
      </c>
    </row>
    <row r="97">
      <c r="A97" t="inlineStr">
        <is>
          <t>IP-190, IP-389</t>
        </is>
      </c>
      <c r="B97" t="inlineStr">
        <is>
          <t>32</t>
        </is>
      </c>
      <c r="C97" t="inlineStr">
        <is>
          <t>Ambiente y desarrollo sostenible</t>
        </is>
      </c>
      <c r="D97" t="inlineStr">
        <is>
          <t>3202</t>
        </is>
      </c>
      <c r="E97" t="inlineStr">
        <is>
          <t>Conservación de la biodiversidad y sus servicios ecosistémicos</t>
        </is>
      </c>
      <c r="F97" t="inlineStr">
        <is>
          <t>3202005</t>
        </is>
      </c>
      <c r="G97" t="inlineStr">
        <is>
          <t>Servicio de restauración de ecosistemas</t>
        </is>
      </c>
      <c r="H97" t="inlineStr">
        <is>
          <t>320200504</t>
        </is>
      </c>
      <c r="I97" t="inlineStr">
        <is>
          <t>Árboles nativos sembrados</t>
        </is>
      </c>
      <c r="J97" t="inlineStr">
        <is>
          <t>2024258990065</t>
        </is>
      </c>
      <c r="K97" t="inlineStr">
        <is>
          <t>No</t>
        </is>
      </c>
      <c r="L97" t="inlineStr">
        <is>
          <t>Número</t>
        </is>
      </c>
      <c r="M97">
        <v>20000</v>
      </c>
      <c r="N97">
        <v>2000</v>
      </c>
      <c r="O97">
        <v>6000</v>
      </c>
      <c r="P97">
        <v>6000</v>
      </c>
      <c r="Q97">
        <v>6000</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IP-191, IP-390</t>
        </is>
      </c>
      <c r="B98" t="inlineStr">
        <is>
          <t>17</t>
        </is>
      </c>
      <c r="C98" t="inlineStr">
        <is>
          <t xml:space="preserve">Agricultura y desarrollo rural
</t>
        </is>
      </c>
      <c r="D98" t="inlineStr">
        <is>
          <t>1708</t>
        </is>
      </c>
      <c r="E98" t="inlineStr">
        <is>
          <t>Ciencia, tecnología e innovación agropecuaria</t>
        </is>
      </c>
      <c r="F98" t="inlineStr">
        <is>
          <t>1708056</t>
        </is>
      </c>
      <c r="G98" t="inlineStr">
        <is>
          <t>Servicio de implementación de rutas agroecológicas</t>
        </is>
      </c>
      <c r="H98" t="inlineStr">
        <is>
          <t>170805600</t>
        </is>
      </c>
      <c r="I98" t="inlineStr">
        <is>
          <t>Rutas agroecológicas implementadas</t>
        </is>
      </c>
      <c r="J98" t="inlineStr">
        <is>
          <t>2024258990032</t>
        </is>
      </c>
      <c r="K98" t="inlineStr">
        <is>
          <t>Si</t>
        </is>
      </c>
      <c r="L98" t="inlineStr">
        <is>
          <t>Número</t>
        </is>
      </c>
      <c r="M98">
        <v>2</v>
      </c>
      <c r="N98">
        <v>0</v>
      </c>
      <c r="O98">
        <v>2</v>
      </c>
      <c r="P98">
        <v>2</v>
      </c>
      <c r="Q98">
        <v>2</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IP-192, IP-193, IP-391, IP-392</t>
        </is>
      </c>
      <c r="B99" t="inlineStr">
        <is>
          <t>17</t>
        </is>
      </c>
      <c r="C99" t="inlineStr">
        <is>
          <t xml:space="preserve">Agricultura y desarrollo rural
</t>
        </is>
      </c>
      <c r="D99" t="inlineStr">
        <is>
          <t>1709</t>
        </is>
      </c>
      <c r="E99" t="inlineStr">
        <is>
          <t>Infraestructura productiva y comercialización</t>
        </is>
      </c>
      <c r="F99" t="inlineStr">
        <is>
          <t>1709094</t>
        </is>
      </c>
      <c r="G99" t="inlineStr">
        <is>
          <t>Servicio de beneficio de animales destinados para el consumo humano</t>
        </is>
      </c>
      <c r="H99" t="inlineStr">
        <is>
          <t>170909400</t>
        </is>
      </c>
      <c r="I99" t="inlineStr">
        <is>
          <t>Animales sacrificados</t>
        </is>
      </c>
      <c r="J99" t="inlineStr">
        <is>
          <t>2024258990062</t>
        </is>
      </c>
      <c r="K99" t="inlineStr">
        <is>
          <t>No</t>
        </is>
      </c>
      <c r="L99" t="inlineStr">
        <is>
          <t>Número</t>
        </is>
      </c>
      <c r="M99">
        <v>408000</v>
      </c>
      <c r="N99">
        <v>102000</v>
      </c>
      <c r="O99">
        <v>102000</v>
      </c>
      <c r="P99">
        <v>102000</v>
      </c>
      <c r="Q99">
        <v>102000</v>
      </c>
      <c r="R99" t="inlineStr">
        <is>
          <t xml:space="preserve"> </t>
        </is>
      </c>
      <c r="S99" s="103" t="inlineStr">
        <is>
          <t xml:space="preserve"> </t>
        </is>
      </c>
      <c r="T99" t="inlineStr">
        <is>
          <t>No se encontró ejecución en PIIP</t>
        </is>
      </c>
      <c r="U99">
        <v>5</v>
      </c>
      <c r="V99" s="104">
        <v>0.0000490196078431373</v>
      </c>
      <c r="W99" t="inlineStr">
        <is>
          <t>Lo ejecutado está por debajo de lo programado en la vigencia</t>
        </is>
      </c>
    </row>
    <row r="100">
      <c r="A100" t="inlineStr">
        <is>
          <t>IP-194, IP-393</t>
        </is>
      </c>
      <c r="B100" t="inlineStr">
        <is>
          <t>17</t>
        </is>
      </c>
      <c r="C100" t="inlineStr">
        <is>
          <t xml:space="preserve">Agricultura y desarrollo rural
</t>
        </is>
      </c>
      <c r="D100" t="inlineStr">
        <is>
          <t>1709</t>
        </is>
      </c>
      <c r="E100" t="inlineStr">
        <is>
          <t>Infraestructura productiva y comercialización</t>
        </is>
      </c>
      <c r="F100" t="inlineStr">
        <is>
          <t>1709108</t>
        </is>
      </c>
      <c r="G100" t="inlineStr">
        <is>
          <t>Documentos de política</t>
        </is>
      </c>
      <c r="H100" t="inlineStr">
        <is>
          <t>170910800</t>
        </is>
      </c>
      <c r="I100" t="inlineStr">
        <is>
          <t>Documentos de políticas elaborados</t>
        </is>
      </c>
      <c r="J100" t="inlineStr">
        <is>
          <t>2024258990062</t>
        </is>
      </c>
      <c r="K100" t="inlineStr">
        <is>
          <t>Si</t>
        </is>
      </c>
      <c r="L100" t="inlineStr">
        <is>
          <t>Número</t>
        </is>
      </c>
      <c r="M100">
        <v>4</v>
      </c>
      <c r="N100">
        <v>4</v>
      </c>
      <c r="O100">
        <v>4</v>
      </c>
      <c r="P100">
        <v>4</v>
      </c>
      <c r="Q100">
        <v>4</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IP-195, IP-394</t>
        </is>
      </c>
      <c r="B101" t="inlineStr">
        <is>
          <t>17</t>
        </is>
      </c>
      <c r="C101" t="inlineStr">
        <is>
          <t xml:space="preserve">Agricultura y desarrollo rural
</t>
        </is>
      </c>
      <c r="D101" t="inlineStr">
        <is>
          <t>1709</t>
        </is>
      </c>
      <c r="E101" t="inlineStr">
        <is>
          <t>Infraestructura productiva y comercialización</t>
        </is>
      </c>
      <c r="F101" t="inlineStr">
        <is>
          <t>1709106</t>
        </is>
      </c>
      <c r="G101" t="inlineStr">
        <is>
          <t>Servicio de apoyo a la comercialización de las cadenas agrícolas, forestales, pecuarias, pesqueras y acuícolas</t>
        </is>
      </c>
      <c r="H101" t="inlineStr">
        <is>
          <t>170910601</t>
        </is>
      </c>
      <c r="I101" t="inlineStr">
        <is>
          <t>Productores apoyados</t>
        </is>
      </c>
      <c r="J101" t="inlineStr">
        <is>
          <t>2024258990062</t>
        </is>
      </c>
      <c r="K101" t="inlineStr">
        <is>
          <t>No</t>
        </is>
      </c>
      <c r="L101" t="inlineStr">
        <is>
          <t>Número</t>
        </is>
      </c>
      <c r="M101">
        <v>24</v>
      </c>
      <c r="N101">
        <v>4</v>
      </c>
      <c r="O101">
        <v>8</v>
      </c>
      <c r="P101">
        <v>6</v>
      </c>
      <c r="Q101">
        <v>6</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IP-196, IP-197, IP-395, IP-396</t>
        </is>
      </c>
      <c r="B102" t="inlineStr">
        <is>
          <t>17</t>
        </is>
      </c>
      <c r="C102" t="inlineStr">
        <is>
          <t xml:space="preserve">Agricultura y desarrollo rural
</t>
        </is>
      </c>
      <c r="D102" t="inlineStr">
        <is>
          <t>1709</t>
        </is>
      </c>
      <c r="E102" t="inlineStr">
        <is>
          <t>Infraestructura productiva y comercialización</t>
        </is>
      </c>
      <c r="F102" t="inlineStr">
        <is>
          <t>1709107</t>
        </is>
      </c>
      <c r="G102" t="inlineStr">
        <is>
          <t>Servicio de promoción al consumo</t>
        </is>
      </c>
      <c r="H102" t="inlineStr">
        <is>
          <t>170910700</t>
        </is>
      </c>
      <c r="I102" t="inlineStr">
        <is>
          <t>Cadenas productivas apoyadas con servicio de promoción al consumo</t>
        </is>
      </c>
      <c r="J102" t="inlineStr">
        <is>
          <t>2024258990062</t>
        </is>
      </c>
      <c r="K102" t="inlineStr">
        <is>
          <t>Si</t>
        </is>
      </c>
      <c r="L102" t="inlineStr">
        <is>
          <t>Número</t>
        </is>
      </c>
      <c r="M102">
        <v>6</v>
      </c>
      <c r="N102">
        <v>4</v>
      </c>
      <c r="O102">
        <v>4</v>
      </c>
      <c r="P102">
        <v>6</v>
      </c>
      <c r="Q102">
        <v>6</v>
      </c>
      <c r="R102" t="inlineStr">
        <is>
          <t xml:space="preserve"> </t>
        </is>
      </c>
      <c r="S102" s="103" t="inlineStr">
        <is>
          <t xml:space="preserve"> </t>
        </is>
      </c>
      <c r="T102" t="inlineStr">
        <is>
          <t>No se encontró ejecución en PIIP</t>
        </is>
      </c>
      <c r="U102" t="inlineStr">
        <is>
          <t xml:space="preserve"> </t>
        </is>
      </c>
      <c r="V102" s="104" t="inlineStr">
        <is>
          <t xml:space="preserve"> </t>
        </is>
      </c>
      <c r="W102" t="inlineStr">
        <is>
          <t>No se encontró ejecución en PIIP</t>
        </is>
      </c>
    </row>
    <row r="103">
      <c r="A103" t="inlineStr">
        <is>
          <t>IP-198, IP-397</t>
        </is>
      </c>
      <c r="B103" t="inlineStr">
        <is>
          <t>35</t>
        </is>
      </c>
      <c r="C103" t="inlineStr">
        <is>
          <t>Comercio, industria y turismo</t>
        </is>
      </c>
      <c r="D103" t="inlineStr">
        <is>
          <t>3502</t>
        </is>
      </c>
      <c r="E103" t="inlineStr">
        <is>
          <t>Productividad y competitividad de las empresas colombianas</t>
        </is>
      </c>
      <c r="F103" t="inlineStr">
        <is>
          <t>3502015</t>
        </is>
      </c>
      <c r="G103" t="inlineStr">
        <is>
          <t>Servicio para la formalización empresarial y de productos y/o Servicio</t>
        </is>
      </c>
      <c r="H103" t="inlineStr">
        <is>
          <t>350201500</t>
        </is>
      </c>
      <c r="I103" t="inlineStr">
        <is>
          <t>Empresas asistidas técnicamente en temas de legalidad y/o formalización.</t>
        </is>
      </c>
      <c r="J103" t="inlineStr">
        <is>
          <t>2024258990006</t>
        </is>
      </c>
      <c r="K103" t="inlineStr">
        <is>
          <t>No</t>
        </is>
      </c>
      <c r="L103" t="inlineStr">
        <is>
          <t>Número</t>
        </is>
      </c>
      <c r="M103">
        <v>1600</v>
      </c>
      <c r="N103">
        <v>300</v>
      </c>
      <c r="O103">
        <v>450</v>
      </c>
      <c r="P103">
        <v>450</v>
      </c>
      <c r="Q103">
        <v>400</v>
      </c>
      <c r="R103">
        <v>115</v>
      </c>
      <c r="S103" s="103">
        <v>0.383333333333333</v>
      </c>
      <c r="T103" t="inlineStr">
        <is>
          <t>Lo ejecutado está por debajo de lo programado en la vigencia</t>
        </is>
      </c>
      <c r="U103">
        <v>168</v>
      </c>
      <c r="V103" s="104">
        <v>0.373333333333333</v>
      </c>
      <c r="W103" t="inlineStr">
        <is>
          <t>Lo ejecutado está por debajo de lo programado en la vigencia</t>
        </is>
      </c>
    </row>
    <row r="104">
      <c r="A104" t="inlineStr">
        <is>
          <t>IP-199, IP-398</t>
        </is>
      </c>
      <c r="B104" t="inlineStr">
        <is>
          <t>35</t>
        </is>
      </c>
      <c r="C104" t="inlineStr">
        <is>
          <t>Comercio, industria y turismo</t>
        </is>
      </c>
      <c r="D104" t="inlineStr">
        <is>
          <t>3502</t>
        </is>
      </c>
      <c r="E104" t="inlineStr">
        <is>
          <t>Productividad y competitividad de las empresas colombianas</t>
        </is>
      </c>
      <c r="F104" t="inlineStr">
        <is>
          <t>3502113</t>
        </is>
      </c>
      <c r="G104" t="inlineStr">
        <is>
          <t>Equipamiento turístico construido</t>
        </is>
      </c>
      <c r="H104" t="inlineStr">
        <is>
          <t>350211300</t>
        </is>
      </c>
      <c r="I104" t="inlineStr">
        <is>
          <t>Equipamientos construidos</t>
        </is>
      </c>
      <c r="J104" t="inlineStr">
        <is>
          <t>2024258990008</t>
        </is>
      </c>
      <c r="K104" t="inlineStr">
        <is>
          <t>No</t>
        </is>
      </c>
      <c r="L104" t="inlineStr">
        <is>
          <t>Número</t>
        </is>
      </c>
      <c r="M104">
        <v>8</v>
      </c>
      <c r="N104">
        <v>2</v>
      </c>
      <c r="O104">
        <v>2</v>
      </c>
      <c r="P104">
        <v>2</v>
      </c>
      <c r="Q104">
        <v>2</v>
      </c>
      <c r="R104">
        <v>0</v>
      </c>
      <c r="S104" s="103">
        <v>0</v>
      </c>
      <c r="T104" t="inlineStr">
        <is>
          <t>No se ejecutó en la vigencia</t>
        </is>
      </c>
      <c r="U104" t="inlineStr">
        <is>
          <t xml:space="preserve"> </t>
        </is>
      </c>
      <c r="V104" s="104" t="inlineStr">
        <is>
          <t xml:space="preserve"> </t>
        </is>
      </c>
      <c r="W104" t="inlineStr">
        <is>
          <t>No se encontró ejecución en PIIP</t>
        </is>
      </c>
    </row>
    <row r="105">
      <c r="A105" t="inlineStr">
        <is>
          <t>IP-201, IP-3</t>
        </is>
      </c>
      <c r="B105" t="inlineStr">
        <is>
          <t>45</t>
        </is>
      </c>
      <c r="C105" t="inlineStr">
        <is>
          <t>Gobierno Territorial</t>
        </is>
      </c>
      <c r="D105" t="inlineStr">
        <is>
          <t>4599</t>
        </is>
      </c>
      <c r="E105" t="inlineStr">
        <is>
          <t>Fortalecimiento a la gestión y dirección de la administración pública territorial</t>
        </is>
      </c>
      <c r="F105" t="inlineStr">
        <is>
          <t>4599021</t>
        </is>
      </c>
      <c r="G105" t="inlineStr">
        <is>
          <t>Documentos normativos</t>
        </is>
      </c>
      <c r="H105" t="inlineStr">
        <is>
          <t>459902100</t>
        </is>
      </c>
      <c r="I105" t="inlineStr">
        <is>
          <t>Documentos normativos realizados</t>
        </is>
      </c>
      <c r="J105" t="inlineStr">
        <is>
          <t>2024258990055</t>
        </is>
      </c>
      <c r="K105" t="inlineStr">
        <is>
          <t>No</t>
        </is>
      </c>
      <c r="L105" t="inlineStr">
        <is>
          <t>Número</t>
        </is>
      </c>
      <c r="M105">
        <v>2</v>
      </c>
      <c r="N105">
        <v>1</v>
      </c>
      <c r="O105">
        <v>0.5</v>
      </c>
      <c r="P105">
        <v>0.5</v>
      </c>
      <c r="Q105">
        <v>0</v>
      </c>
      <c r="R105">
        <v>0</v>
      </c>
      <c r="S105" s="103">
        <v>0</v>
      </c>
      <c r="T105" t="inlineStr">
        <is>
          <t>No se ejecutó en la vigencia</t>
        </is>
      </c>
      <c r="U105">
        <v>0</v>
      </c>
      <c r="V105" s="104">
        <v>0</v>
      </c>
      <c r="W105" t="inlineStr">
        <is>
          <t>No se ejecutó en la vigencia</t>
        </is>
      </c>
    </row>
    <row r="106">
      <c r="A106" t="inlineStr">
        <is>
          <t>IP-203, IP-5</t>
        </is>
      </c>
      <c r="B106" t="inlineStr">
        <is>
          <t>04</t>
        </is>
      </c>
      <c r="C106" t="inlineStr">
        <is>
          <t>Información Estadística</t>
        </is>
      </c>
      <c r="D106" t="inlineStr">
        <is>
          <t>0406</t>
        </is>
      </c>
      <c r="E106" t="inlineStr">
        <is>
          <t>Generación de la información geográfica del territorio nacional</t>
        </is>
      </c>
      <c r="F106" t="inlineStr">
        <is>
          <t>0406016</t>
        </is>
      </c>
      <c r="G106" t="inlineStr">
        <is>
          <t>Servicio de actualización catastral con enfoque multipropósito</t>
        </is>
      </c>
      <c r="H106" t="inlineStr">
        <is>
          <t>040601600</t>
        </is>
      </c>
      <c r="I106" t="inlineStr">
        <is>
          <t>Área geográfica actualizada catastralmente con enfoque multipropósito</t>
        </is>
      </c>
      <c r="J106" t="inlineStr">
        <is>
          <t>2024258990054</t>
        </is>
      </c>
      <c r="K106" t="inlineStr">
        <is>
          <t>No</t>
        </is>
      </c>
      <c r="L106" t="inlineStr">
        <is>
          <t>Número</t>
        </is>
      </c>
      <c r="M106">
        <v>2</v>
      </c>
      <c r="N106">
        <v>2</v>
      </c>
      <c r="O106">
        <v>0</v>
      </c>
      <c r="P106">
        <v>0</v>
      </c>
      <c r="Q106">
        <v>0</v>
      </c>
      <c r="R106">
        <v>0</v>
      </c>
      <c r="S106" s="103">
        <v>0</v>
      </c>
      <c r="T106" t="inlineStr">
        <is>
          <t>No se ejecutó en la vigencia</t>
        </is>
      </c>
      <c r="U106" t="inlineStr">
        <is>
          <t xml:space="preserve"> </t>
        </is>
      </c>
      <c r="V106" s="104" t="inlineStr">
        <is>
          <t xml:space="preserve"> </t>
        </is>
      </c>
      <c r="W106" t="inlineStr">
        <is>
          <t>No se encontró ejecución en PIIP</t>
        </is>
      </c>
    </row>
    <row r="107">
      <c r="A107" t="inlineStr">
        <is>
          <t>IP-204, IP-6</t>
        </is>
      </c>
      <c r="B107" t="inlineStr">
        <is>
          <t>04</t>
        </is>
      </c>
      <c r="C107" t="inlineStr">
        <is>
          <t>Información Estadística</t>
        </is>
      </c>
      <c r="D107" t="inlineStr">
        <is>
          <t>0401</t>
        </is>
      </c>
      <c r="E107" t="inlineStr">
        <is>
          <t>Levantamiento y actualización de información estadística de calidad</t>
        </is>
      </c>
      <c r="F107" t="inlineStr">
        <is>
          <t>0401106</t>
        </is>
      </c>
      <c r="G107" t="inlineStr">
        <is>
          <t xml:space="preserve">SERVICIO DE APOYO A LA GESTIÓN DE CONOCIMIENTO Y CONSOLIDACIÓN DE LA CULTURA ESTADÍSTICA </t>
        </is>
      </c>
      <c r="H107" t="inlineStr">
        <is>
          <t>040110600</t>
        </is>
      </c>
      <c r="I107" t="inlineStr">
        <is>
          <t>Estrategias implementadas</t>
        </is>
      </c>
      <c r="J107" t="inlineStr">
        <is>
          <t>2024258990001</t>
        </is>
      </c>
      <c r="K107" t="inlineStr">
        <is>
          <t>Si</t>
        </is>
      </c>
      <c r="L107" t="inlineStr">
        <is>
          <t>Número</t>
        </is>
      </c>
      <c r="M107">
        <v>40</v>
      </c>
      <c r="N107">
        <v>10</v>
      </c>
      <c r="O107">
        <v>20</v>
      </c>
      <c r="P107">
        <v>30</v>
      </c>
      <c r="Q107">
        <v>40</v>
      </c>
      <c r="R107" t="inlineStr">
        <is>
          <t xml:space="preserve"> </t>
        </is>
      </c>
      <c r="S107" s="103" t="inlineStr">
        <is>
          <t xml:space="preserve"> </t>
        </is>
      </c>
      <c r="T107" t="inlineStr">
        <is>
          <t>No se encontró ejecución en PIIP</t>
        </is>
      </c>
      <c r="U107" t="inlineStr">
        <is>
          <t xml:space="preserve"> </t>
        </is>
      </c>
      <c r="V107" s="104" t="inlineStr">
        <is>
          <t xml:space="preserve"> </t>
        </is>
      </c>
      <c r="W107" t="inlineStr">
        <is>
          <t>No se encontró ejecución en PIIP</t>
        </is>
      </c>
    </row>
    <row r="108">
      <c r="A108" t="inlineStr">
        <is>
          <t>IP-205, IP-206, IP-7, IP-8</t>
        </is>
      </c>
      <c r="B108" t="inlineStr">
        <is>
          <t>45</t>
        </is>
      </c>
      <c r="C108" t="inlineStr">
        <is>
          <t>Gobierno Territorial</t>
        </is>
      </c>
      <c r="D108" t="inlineStr">
        <is>
          <t>4599</t>
        </is>
      </c>
      <c r="E108" t="inlineStr">
        <is>
          <t>Fortalecimiento a la gestión y dirección de la administración pública territorial</t>
        </is>
      </c>
      <c r="F108" t="inlineStr">
        <is>
          <t>4599029</t>
        </is>
      </c>
      <c r="G108" t="inlineStr">
        <is>
          <t>Servicio de integración de la oferta pública</t>
        </is>
      </c>
      <c r="H108" t="inlineStr">
        <is>
          <t>459902900</t>
        </is>
      </c>
      <c r="I108" t="inlineStr">
        <is>
          <t>Espacios de integración de oferta pública generados</t>
        </is>
      </c>
      <c r="J108" t="inlineStr">
        <is>
          <t>2024258990005</t>
        </is>
      </c>
      <c r="K108" t="inlineStr">
        <is>
          <t>No</t>
        </is>
      </c>
      <c r="L108" t="inlineStr">
        <is>
          <t>Número</t>
        </is>
      </c>
      <c r="M108">
        <v>34</v>
      </c>
      <c r="N108">
        <v>8.5</v>
      </c>
      <c r="O108">
        <v>8.5</v>
      </c>
      <c r="P108">
        <v>8.5</v>
      </c>
      <c r="Q108">
        <v>8.5</v>
      </c>
      <c r="R108">
        <v>2</v>
      </c>
      <c r="S108" s="103">
        <v>0.235294117647059</v>
      </c>
      <c r="T108" t="inlineStr">
        <is>
          <t>Lo ejecutado está por debajo de lo programado en la vigencia</t>
        </is>
      </c>
      <c r="U108">
        <v>4</v>
      </c>
      <c r="V108" s="104">
        <v>0.470588235294118</v>
      </c>
      <c r="W108" t="inlineStr">
        <is>
          <t>Lo ejecutado está por debajo de lo programado en la vigencia</t>
        </is>
      </c>
    </row>
    <row r="109">
      <c r="A109" t="inlineStr">
        <is>
          <t>IP-207, IP-9</t>
        </is>
      </c>
      <c r="B109" t="inlineStr">
        <is>
          <t>45</t>
        </is>
      </c>
      <c r="C109" t="inlineStr">
        <is>
          <t>Gobierno Territorial</t>
        </is>
      </c>
      <c r="D109" t="inlineStr">
        <is>
          <t>4599</t>
        </is>
      </c>
      <c r="E109" t="inlineStr">
        <is>
          <t>Fortalecimiento a la gestión y dirección de la administración pública territorial</t>
        </is>
      </c>
      <c r="F109" t="inlineStr">
        <is>
          <t>4599001</t>
        </is>
      </c>
      <c r="G109" t="inlineStr">
        <is>
          <t>Documentos de evaluación</t>
        </is>
      </c>
      <c r="H109" t="inlineStr">
        <is>
          <t>459900100</t>
        </is>
      </c>
      <c r="I109" t="inlineStr">
        <is>
          <t>Documentos de evaluación elaborados</t>
        </is>
      </c>
      <c r="J109" t="inlineStr">
        <is>
          <t>2024258990005</t>
        </is>
      </c>
      <c r="K109" t="inlineStr">
        <is>
          <t>No</t>
        </is>
      </c>
      <c r="L109" t="inlineStr">
        <is>
          <t>Número</t>
        </is>
      </c>
      <c r="M109">
        <v>8</v>
      </c>
      <c r="N109">
        <v>2</v>
      </c>
      <c r="O109">
        <v>2</v>
      </c>
      <c r="P109">
        <v>2</v>
      </c>
      <c r="Q109">
        <v>2</v>
      </c>
      <c r="R109">
        <v>0</v>
      </c>
      <c r="S109" s="103">
        <v>0</v>
      </c>
      <c r="T109" t="inlineStr">
        <is>
          <t>No se ejecutó en la vigencia</t>
        </is>
      </c>
      <c r="U109">
        <v>1</v>
      </c>
      <c r="V109" s="104">
        <v>0.5</v>
      </c>
      <c r="W109" t="inlineStr">
        <is>
          <t>Lo ejecutado está por debajo de lo programado en la vigencia</t>
        </is>
      </c>
    </row>
    <row r="110">
      <c r="A110" t="inlineStr">
        <is>
          <t>IP-221, IP-23</t>
        </is>
      </c>
      <c r="B110" t="inlineStr">
        <is>
          <t>45</t>
        </is>
      </c>
      <c r="C110" t="inlineStr">
        <is>
          <t>Gobierno Territorial</t>
        </is>
      </c>
      <c r="D110" t="inlineStr">
        <is>
          <t>4599</t>
        </is>
      </c>
      <c r="E110" t="inlineStr">
        <is>
          <t>Fortalecimiento a la gestión y dirección de la administración pública territorial</t>
        </is>
      </c>
      <c r="F110" t="inlineStr">
        <is>
          <t>4599035</t>
        </is>
      </c>
      <c r="G110" t="inlineStr">
        <is>
          <t>Servicio de saneamiento laboral y prestacional</t>
        </is>
      </c>
      <c r="H110" t="inlineStr">
        <is>
          <t>459903504</t>
        </is>
      </c>
      <c r="I110" t="inlineStr">
        <is>
          <t>Pago de pasivos laborales de la administración pública territorial realizados</t>
        </is>
      </c>
      <c r="J110" t="inlineStr">
        <is>
          <t>2024258990010</t>
        </is>
      </c>
      <c r="K110" t="inlineStr">
        <is>
          <t>Si</t>
        </is>
      </c>
      <c r="L110" t="inlineStr">
        <is>
          <t>Número</t>
        </is>
      </c>
      <c r="M110">
        <v>2</v>
      </c>
      <c r="N110">
        <v>2</v>
      </c>
      <c r="O110">
        <v>2</v>
      </c>
      <c r="P110">
        <v>2</v>
      </c>
      <c r="Q110">
        <v>2</v>
      </c>
      <c r="R110" t="inlineStr">
        <is>
          <t xml:space="preserve"> </t>
        </is>
      </c>
      <c r="S110" s="103" t="inlineStr">
        <is>
          <t xml:space="preserve"> </t>
        </is>
      </c>
      <c r="T110" t="inlineStr">
        <is>
          <t>No se encontró ejecución en PIIP</t>
        </is>
      </c>
      <c r="U110" t="inlineStr">
        <is>
          <t xml:space="preserve"> </t>
        </is>
      </c>
      <c r="V110" s="104" t="inlineStr">
        <is>
          <t xml:space="preserve"> </t>
        </is>
      </c>
      <c r="W110" t="inlineStr">
        <is>
          <t>No se encontró ejecución en PIIP</t>
        </is>
      </c>
    </row>
    <row r="111">
      <c r="A111" t="inlineStr">
        <is>
          <t>IP-222, IP-24</t>
        </is>
      </c>
      <c r="B111" t="inlineStr">
        <is>
          <t>23</t>
        </is>
      </c>
      <c r="C111" t="inlineStr">
        <is>
          <t>Tecnologías de la información y las comunicaciones</t>
        </is>
      </c>
      <c r="D111" t="inlineStr">
        <is>
          <t>2301</t>
        </is>
      </c>
      <c r="E111" t="inlineStr">
        <is>
          <t>Facilitar el acceso y uso de las Tecnologías de la Información y las Comunicaciones (TIC) en todo el territorio nacional</t>
        </is>
      </c>
      <c r="F111" t="inlineStr">
        <is>
          <t>2301027</t>
        </is>
      </c>
      <c r="G111" t="inlineStr">
        <is>
          <t>Servicio de conexiones a redes de acceso</t>
        </is>
      </c>
      <c r="H111" t="inlineStr">
        <is>
          <t>230102700</t>
        </is>
      </c>
      <c r="I111" t="inlineStr">
        <is>
          <t>Conexiones a internet fijo y / o móvil</t>
        </is>
      </c>
      <c r="J111" t="inlineStr">
        <is>
          <t>2024258990009</t>
        </is>
      </c>
      <c r="K111" t="inlineStr">
        <is>
          <t>Si</t>
        </is>
      </c>
      <c r="L111" t="inlineStr">
        <is>
          <t>Número</t>
        </is>
      </c>
      <c r="M111">
        <v>80</v>
      </c>
      <c r="N111">
        <v>66</v>
      </c>
      <c r="O111">
        <v>70</v>
      </c>
      <c r="P111">
        <v>74</v>
      </c>
      <c r="Q111">
        <v>80</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IP-223, IP-25</t>
        </is>
      </c>
      <c r="B112" t="inlineStr">
        <is>
          <t>23</t>
        </is>
      </c>
      <c r="C112" t="inlineStr">
        <is>
          <t>Tecnologías de la información y las comunicaciones</t>
        </is>
      </c>
      <c r="D112" t="inlineStr">
        <is>
          <t>2301</t>
        </is>
      </c>
      <c r="E112" t="inlineStr">
        <is>
          <t>Facilitar el acceso y uso de las Tecnologías de la Información y las Comunicaciones (TIC) en todo el territorio nacional</t>
        </is>
      </c>
      <c r="F112" t="inlineStr">
        <is>
          <t>2301027</t>
        </is>
      </c>
      <c r="G112" t="inlineStr">
        <is>
          <t>Servicio de conexiones a redes de acceso</t>
        </is>
      </c>
      <c r="H112" t="inlineStr">
        <is>
          <t>230102700</t>
        </is>
      </c>
      <c r="I112" t="inlineStr">
        <is>
          <t>Conexiones a internet fijo y / o móvil</t>
        </is>
      </c>
      <c r="J112" t="inlineStr">
        <is>
          <t>2024258990009</t>
        </is>
      </c>
      <c r="K112" t="inlineStr">
        <is>
          <t>No</t>
        </is>
      </c>
      <c r="L112" t="inlineStr">
        <is>
          <t>Número</t>
        </is>
      </c>
      <c r="M112">
        <v>14</v>
      </c>
      <c r="N112">
        <v>0</v>
      </c>
      <c r="O112">
        <v>4</v>
      </c>
      <c r="P112">
        <v>6</v>
      </c>
      <c r="Q112">
        <v>4</v>
      </c>
      <c r="R112">
        <v>33</v>
      </c>
      <c r="S112" s="103" t="inlineStr">
        <is>
          <t xml:space="preserve"> </t>
        </is>
      </c>
      <c r="T112" t="inlineStr">
        <is>
          <t>Se ejecutó un producto no programado en la vigencia</t>
        </is>
      </c>
      <c r="U112" t="inlineStr">
        <is>
          <t xml:space="preserve"> </t>
        </is>
      </c>
      <c r="V112" s="104" t="inlineStr">
        <is>
          <t xml:space="preserve"> </t>
        </is>
      </c>
      <c r="W112" t="inlineStr">
        <is>
          <t>No se encontró ejecución en PIIP</t>
        </is>
      </c>
    </row>
    <row r="113">
      <c r="A113" t="inlineStr">
        <is>
          <t>IP-224, IP-26</t>
        </is>
      </c>
      <c r="B113" t="inlineStr">
        <is>
          <t>23</t>
        </is>
      </c>
      <c r="C113" t="inlineStr">
        <is>
          <t>Tecnologías de la información y las comunicaciones</t>
        </is>
      </c>
      <c r="D113" t="inlineStr">
        <is>
          <t>2301</t>
        </is>
      </c>
      <c r="E113" t="inlineStr">
        <is>
          <t>Facilitar el acceso y uso de las Tecnologías de la Información y las Comunicaciones (TIC) en todo el territorio nacional</t>
        </is>
      </c>
      <c r="F113" t="inlineStr">
        <is>
          <t>2301024</t>
        </is>
      </c>
      <c r="G113" t="inlineStr">
        <is>
          <t>Servicio de acceso y uso de Tecnologías de la Información y las Comunicaciones</t>
        </is>
      </c>
      <c r="H113" t="inlineStr">
        <is>
          <t>230102400</t>
        </is>
      </c>
      <c r="I113" t="inlineStr">
        <is>
          <t>Centros de Acceso Comunitario en zonas urbanas y/o rurales y/o apartadas funcionando</t>
        </is>
      </c>
      <c r="J113" t="inlineStr">
        <is>
          <t>2024258990009</t>
        </is>
      </c>
      <c r="K113" t="inlineStr">
        <is>
          <t>Si</t>
        </is>
      </c>
      <c r="L113" t="inlineStr">
        <is>
          <t>Número</t>
        </is>
      </c>
      <c r="M113">
        <v>14</v>
      </c>
      <c r="N113">
        <v>14</v>
      </c>
      <c r="O113">
        <v>14</v>
      </c>
      <c r="P113">
        <v>14</v>
      </c>
      <c r="Q113">
        <v>14</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IP-225, IP-27</t>
        </is>
      </c>
      <c r="B114" t="inlineStr">
        <is>
          <t>23</t>
        </is>
      </c>
      <c r="C114" t="inlineStr">
        <is>
          <t>Tecnologías de la información y las comunicaciones</t>
        </is>
      </c>
      <c r="D114" t="inlineStr">
        <is>
          <t>2301</t>
        </is>
      </c>
      <c r="E114" t="inlineStr">
        <is>
          <t>Facilitar el acceso y uso de las Tecnologías de la Información y las Comunicaciones (TIC) en todo el territorio nacional</t>
        </is>
      </c>
      <c r="F114" t="inlineStr">
        <is>
          <t>2301024</t>
        </is>
      </c>
      <c r="G114" t="inlineStr">
        <is>
          <t>Servicio de acceso y uso de Tecnologías de la Información y las Comunicaciones</t>
        </is>
      </c>
      <c r="H114" t="inlineStr">
        <is>
          <t>230102400</t>
        </is>
      </c>
      <c r="I114" t="inlineStr">
        <is>
          <t>Centros de Acceso Comunitario en zonas urbanas y/o rurales y/o apartadas funcionando</t>
        </is>
      </c>
      <c r="J114" t="inlineStr">
        <is>
          <t>2024258990009</t>
        </is>
      </c>
      <c r="K114" t="inlineStr">
        <is>
          <t>No</t>
        </is>
      </c>
      <c r="L114" t="inlineStr">
        <is>
          <t>Número</t>
        </is>
      </c>
      <c r="M114">
        <v>6</v>
      </c>
      <c r="N114">
        <v>0</v>
      </c>
      <c r="O114">
        <v>2</v>
      </c>
      <c r="P114">
        <v>2</v>
      </c>
      <c r="Q114">
        <v>2</v>
      </c>
      <c r="R114">
        <v>7</v>
      </c>
      <c r="S114" s="103" t="inlineStr">
        <is>
          <t xml:space="preserve"> </t>
        </is>
      </c>
      <c r="T114" t="inlineStr">
        <is>
          <t>Se ejecutó un producto no programado en la vigencia</t>
        </is>
      </c>
      <c r="U114">
        <v>7</v>
      </c>
      <c r="V114" s="104">
        <v>3.5</v>
      </c>
      <c r="W114" t="inlineStr">
        <is>
          <t>Hubo ejecución por encima de lo programado en SisPT</t>
        </is>
      </c>
    </row>
    <row r="115">
      <c r="A115" t="inlineStr">
        <is>
          <t>IP-226, IP-28</t>
        </is>
      </c>
      <c r="B115" t="inlineStr">
        <is>
          <t>23</t>
        </is>
      </c>
      <c r="C115" t="inlineStr">
        <is>
          <t>Tecnologías de la información y las comunicaciones</t>
        </is>
      </c>
      <c r="D115" t="inlineStr">
        <is>
          <t>2301</t>
        </is>
      </c>
      <c r="E115" t="inlineStr">
        <is>
          <t>Facilitar el acceso y uso de las Tecnologías de la Información y las Comunicaciones (TIC) en todo el territorio nacional</t>
        </is>
      </c>
      <c r="F115" t="inlineStr">
        <is>
          <t>2301031</t>
        </is>
      </c>
      <c r="G115" t="inlineStr">
        <is>
          <t>Servicio de educación informal en uso básico de tecnologías de la información y las comunicaciones</t>
        </is>
      </c>
      <c r="H115" t="inlineStr">
        <is>
          <t>230103100</t>
        </is>
      </c>
      <c r="I115" t="inlineStr">
        <is>
          <t>Personas de la comunidad capacitadas en uso básico de tecnologías de la información y las comunicaciones.</t>
        </is>
      </c>
      <c r="J115" t="inlineStr">
        <is>
          <t>2024258990009</t>
        </is>
      </c>
      <c r="K115" t="inlineStr">
        <is>
          <t>No</t>
        </is>
      </c>
      <c r="L115" t="inlineStr">
        <is>
          <t>Número</t>
        </is>
      </c>
      <c r="M115">
        <v>2000</v>
      </c>
      <c r="N115">
        <v>250</v>
      </c>
      <c r="O115">
        <v>584</v>
      </c>
      <c r="P115">
        <v>584</v>
      </c>
      <c r="Q115">
        <v>582</v>
      </c>
      <c r="R115">
        <v>125</v>
      </c>
      <c r="S115" s="103">
        <v>0.5</v>
      </c>
      <c r="T115" t="inlineStr">
        <is>
          <t>Lo ejecutado está por debajo de lo programado en la vigencia</t>
        </is>
      </c>
      <c r="U115" t="inlineStr">
        <is>
          <t xml:space="preserve"> </t>
        </is>
      </c>
      <c r="V115" s="104" t="inlineStr">
        <is>
          <t xml:space="preserve"> </t>
        </is>
      </c>
      <c r="W115" t="inlineStr">
        <is>
          <t>No se encontró ejecución en PIIP</t>
        </is>
      </c>
    </row>
    <row r="116">
      <c r="A116" t="inlineStr">
        <is>
          <t>IP-227, IP-29</t>
        </is>
      </c>
      <c r="B116" t="inlineStr">
        <is>
          <t>23</t>
        </is>
      </c>
      <c r="C116" t="inlineStr">
        <is>
          <t>Tecnologías de la información y las comunicaciones</t>
        </is>
      </c>
      <c r="D116" t="inlineStr">
        <is>
          <t>2301</t>
        </is>
      </c>
      <c r="E116" t="inlineStr">
        <is>
          <t>Facilitar el acceso y uso de las Tecnologías de la Información y las Comunicaciones (TIC) en todo el territorio nacional</t>
        </is>
      </c>
      <c r="F116" t="inlineStr">
        <is>
          <t>2301086</t>
        </is>
      </c>
      <c r="G116" t="inlineStr">
        <is>
          <t>Servicio de gestión del conocimiento en espectro</t>
        </is>
      </c>
      <c r="H116" t="inlineStr">
        <is>
          <t>230108600</t>
        </is>
      </c>
      <c r="I116" t="inlineStr">
        <is>
          <t>Estrategias de Gestión del Conocimiento Implementadas</t>
        </is>
      </c>
      <c r="J116" t="inlineStr">
        <is>
          <t>2024258990009</t>
        </is>
      </c>
      <c r="K116" t="inlineStr">
        <is>
          <t>Si</t>
        </is>
      </c>
      <c r="L116" t="inlineStr">
        <is>
          <t>Número</t>
        </is>
      </c>
      <c r="M116">
        <v>1</v>
      </c>
      <c r="N116">
        <v>0.1</v>
      </c>
      <c r="O116">
        <v>0.4</v>
      </c>
      <c r="P116">
        <v>0.7</v>
      </c>
      <c r="Q116">
        <v>1</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IP-228, IP-30</t>
        </is>
      </c>
      <c r="B117" t="inlineStr">
        <is>
          <t>23</t>
        </is>
      </c>
      <c r="C117" t="inlineStr">
        <is>
          <t>Tecnologías de la información y las comunicaciones</t>
        </is>
      </c>
      <c r="D117" t="inlineStr">
        <is>
          <t>2301</t>
        </is>
      </c>
      <c r="E117" t="inlineStr">
        <is>
          <t>Facilitar el acceso y uso de las Tecnologías de la Información y las Comunicaciones (TIC) en todo el territorio nacional</t>
        </is>
      </c>
      <c r="F117" t="inlineStr">
        <is>
          <t>2301077</t>
        </is>
      </c>
      <c r="G117" t="inlineStr">
        <is>
          <t>Servicio de información actualizado</t>
        </is>
      </c>
      <c r="H117" t="inlineStr">
        <is>
          <t>230107700</t>
        </is>
      </c>
      <c r="I117" t="inlineStr">
        <is>
          <t>Sistemas de información actualizados</t>
        </is>
      </c>
      <c r="J117" t="inlineStr">
        <is>
          <t>2024258990009</t>
        </is>
      </c>
      <c r="K117" t="inlineStr">
        <is>
          <t>No</t>
        </is>
      </c>
      <c r="L117" t="inlineStr">
        <is>
          <t>Número</t>
        </is>
      </c>
      <c r="M117">
        <v>2</v>
      </c>
      <c r="N117">
        <v>0</v>
      </c>
      <c r="O117">
        <v>1</v>
      </c>
      <c r="P117">
        <v>1</v>
      </c>
      <c r="Q117">
        <v>0</v>
      </c>
      <c r="R117">
        <v>0</v>
      </c>
      <c r="S117" s="103" t="inlineStr">
        <is>
          <t xml:space="preserve"> </t>
        </is>
      </c>
      <c r="T117" t="inlineStr">
        <is>
          <t>No se programó ni ejecutó en la vigencia</t>
        </is>
      </c>
      <c r="U117" t="inlineStr">
        <is>
          <t xml:space="preserve"> </t>
        </is>
      </c>
      <c r="V117" s="104" t="inlineStr">
        <is>
          <t xml:space="preserve"> </t>
        </is>
      </c>
      <c r="W117" t="inlineStr">
        <is>
          <t>No se encontró ejecución en PIIP</t>
        </is>
      </c>
    </row>
    <row r="118">
      <c r="A118" t="inlineStr">
        <is>
          <t>IP-229, IP-31</t>
        </is>
      </c>
      <c r="B118" t="inlineStr">
        <is>
          <t>33</t>
        </is>
      </c>
      <c r="C118" t="inlineStr">
        <is>
          <t>Cultura</t>
        </is>
      </c>
      <c r="D118" t="inlineStr">
        <is>
          <t>3301</t>
        </is>
      </c>
      <c r="E118" t="inlineStr">
        <is>
          <t>Promoción y acceso efectivo a procesos culturales y artísticos</t>
        </is>
      </c>
      <c r="F118" t="inlineStr">
        <is>
          <t>3301093</t>
        </is>
      </c>
      <c r="G118" t="inlineStr">
        <is>
          <t>Centros culturales construidos y dotados</t>
        </is>
      </c>
      <c r="H118" t="inlineStr">
        <is>
          <t>330109300</t>
        </is>
      </c>
      <c r="I118" t="inlineStr">
        <is>
          <t>Centros culturales construidos y dotados</t>
        </is>
      </c>
      <c r="J118" t="inlineStr">
        <is>
          <t>2024258990056</t>
        </is>
      </c>
      <c r="K118" t="inlineStr">
        <is>
          <t>No</t>
        </is>
      </c>
      <c r="L118" t="inlineStr">
        <is>
          <t>Número</t>
        </is>
      </c>
      <c r="M118">
        <v>2</v>
      </c>
      <c r="N118">
        <v>0.5</v>
      </c>
      <c r="O118">
        <v>0.5</v>
      </c>
      <c r="P118">
        <v>0.5</v>
      </c>
      <c r="Q118">
        <v>0.5</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IP-230, IP-32</t>
        </is>
      </c>
      <c r="B119" t="inlineStr">
        <is>
          <t>33</t>
        </is>
      </c>
      <c r="C119" t="inlineStr">
        <is>
          <t>Cultura</t>
        </is>
      </c>
      <c r="D119" t="inlineStr">
        <is>
          <t>3301</t>
        </is>
      </c>
      <c r="E119" t="inlineStr">
        <is>
          <t>Promoción y acceso efectivo a procesos culturales y artísticos</t>
        </is>
      </c>
      <c r="F119" t="inlineStr">
        <is>
          <t>3301038</t>
        </is>
      </c>
      <c r="G119" t="inlineStr">
        <is>
          <t>Teatros adecuados</t>
        </is>
      </c>
      <c r="H119" t="inlineStr">
        <is>
          <t>330103800</t>
        </is>
      </c>
      <c r="I119" t="inlineStr">
        <is>
          <t>Teatros adecuados</t>
        </is>
      </c>
      <c r="J119" t="inlineStr">
        <is>
          <t>2024258990056</t>
        </is>
      </c>
      <c r="K119" t="inlineStr">
        <is>
          <t>No</t>
        </is>
      </c>
      <c r="L119" t="inlineStr">
        <is>
          <t>Número</t>
        </is>
      </c>
      <c r="M119">
        <v>2</v>
      </c>
      <c r="N119">
        <v>0.5</v>
      </c>
      <c r="O119">
        <v>0.5</v>
      </c>
      <c r="P119">
        <v>0.5</v>
      </c>
      <c r="Q119">
        <v>0.5</v>
      </c>
      <c r="R119">
        <v>0</v>
      </c>
      <c r="S119" s="103">
        <v>0</v>
      </c>
      <c r="T119" t="inlineStr">
        <is>
          <t>No se ejecutó en la vigencia</t>
        </is>
      </c>
      <c r="U119">
        <v>0</v>
      </c>
      <c r="V119" s="104">
        <v>0</v>
      </c>
      <c r="W119" t="inlineStr">
        <is>
          <t>No se ejecutó en la vigencia</t>
        </is>
      </c>
    </row>
    <row r="120">
      <c r="A120" t="inlineStr">
        <is>
          <t>IP-231, IP-33</t>
        </is>
      </c>
      <c r="B120" t="inlineStr">
        <is>
          <t>33</t>
        </is>
      </c>
      <c r="C120" t="inlineStr">
        <is>
          <t>Cultura</t>
        </is>
      </c>
      <c r="D120" t="inlineStr">
        <is>
          <t>3301</t>
        </is>
      </c>
      <c r="E120" t="inlineStr">
        <is>
          <t>Promoción y acceso efectivo a procesos culturales y artísticos</t>
        </is>
      </c>
      <c r="F120" t="inlineStr">
        <is>
          <t>3301087</t>
        </is>
      </c>
      <c r="G120" t="inlineStr">
        <is>
          <t>Servicio de educación informal en áreas artísticas y culturales</t>
        </is>
      </c>
      <c r="H120" t="inlineStr">
        <is>
          <t>330108701</t>
        </is>
      </c>
      <c r="I120" t="inlineStr">
        <is>
          <t>Personas capacitadas</t>
        </is>
      </c>
      <c r="J120" t="inlineStr">
        <is>
          <t>2024258990056</t>
        </is>
      </c>
      <c r="K120" t="inlineStr">
        <is>
          <t>Si</t>
        </is>
      </c>
      <c r="L120" t="inlineStr">
        <is>
          <t>Número</t>
        </is>
      </c>
      <c r="M120">
        <v>6000</v>
      </c>
      <c r="N120">
        <v>6000</v>
      </c>
      <c r="O120">
        <v>6000</v>
      </c>
      <c r="P120">
        <v>6000</v>
      </c>
      <c r="Q120">
        <v>6000</v>
      </c>
      <c r="R120" t="inlineStr">
        <is>
          <t xml:space="preserve"> </t>
        </is>
      </c>
      <c r="S120" s="103" t="inlineStr">
        <is>
          <t xml:space="preserve"> </t>
        </is>
      </c>
      <c r="T120" t="inlineStr">
        <is>
          <t>No se encontró ejecución en PIIP</t>
        </is>
      </c>
      <c r="U120" t="inlineStr">
        <is>
          <t xml:space="preserve"> </t>
        </is>
      </c>
      <c r="V120" s="104" t="inlineStr">
        <is>
          <t xml:space="preserve"> </t>
        </is>
      </c>
      <c r="W120" t="inlineStr">
        <is>
          <t>No se encontró ejecución en PIIP</t>
        </is>
      </c>
    </row>
    <row r="121">
      <c r="A121" t="inlineStr">
        <is>
          <t>IP-232</t>
        </is>
      </c>
      <c r="B121" t="inlineStr">
        <is>
          <t>33</t>
        </is>
      </c>
      <c r="C121" t="inlineStr">
        <is>
          <t>Cultura</t>
        </is>
      </c>
      <c r="D121" t="inlineStr">
        <is>
          <t>3301</t>
        </is>
      </c>
      <c r="E121" t="inlineStr">
        <is>
          <t>Promoción y acceso efectivo a procesos culturales y artísticos</t>
        </is>
      </c>
      <c r="F121" t="inlineStr">
        <is>
          <t>3301130</t>
        </is>
      </c>
      <c r="G121" t="inlineStr">
        <is>
          <t>Servicio de educación informal</t>
        </is>
      </c>
      <c r="H121" t="inlineStr">
        <is>
          <t>330113000</t>
        </is>
      </c>
      <c r="I121" t="inlineStr">
        <is>
          <t>Personas capacitadas con educación informal</t>
        </is>
      </c>
      <c r="J121" t="inlineStr">
        <is>
          <t>2024258990056</t>
        </is>
      </c>
      <c r="K121" t="inlineStr">
        <is>
          <t>Si</t>
        </is>
      </c>
      <c r="L121" t="inlineStr">
        <is>
          <t>Número</t>
        </is>
      </c>
      <c r="M121">
        <v>13000</v>
      </c>
      <c r="N121">
        <v>10936</v>
      </c>
      <c r="O121">
        <v>11624</v>
      </c>
      <c r="P121">
        <v>12312</v>
      </c>
      <c r="Q121">
        <v>13000</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IP-233, IP-34</t>
        </is>
      </c>
      <c r="B122" t="inlineStr">
        <is>
          <t>33</t>
        </is>
      </c>
      <c r="C122" t="inlineStr">
        <is>
          <t>Cultura</t>
        </is>
      </c>
      <c r="D122" t="inlineStr">
        <is>
          <t>3301</t>
        </is>
      </c>
      <c r="E122" t="inlineStr">
        <is>
          <t>Promoción y acceso efectivo a procesos culturales y artísticos</t>
        </is>
      </c>
      <c r="F122" t="inlineStr">
        <is>
          <t>3301070</t>
        </is>
      </c>
      <c r="G122" t="inlineStr">
        <is>
          <t>Documentos de lineamientos técnicos</t>
        </is>
      </c>
      <c r="H122" t="inlineStr">
        <is>
          <t>330107000</t>
        </is>
      </c>
      <c r="I122" t="inlineStr">
        <is>
          <t>Documentos de lineamientos técnicos realizados</t>
        </is>
      </c>
      <c r="J122" t="inlineStr">
        <is>
          <t>2024258990056</t>
        </is>
      </c>
      <c r="K122" t="inlineStr">
        <is>
          <t>No</t>
        </is>
      </c>
      <c r="L122" t="inlineStr">
        <is>
          <t>Número</t>
        </is>
      </c>
      <c r="M122">
        <v>2</v>
      </c>
      <c r="N122">
        <v>0</v>
      </c>
      <c r="O122">
        <v>0.66</v>
      </c>
      <c r="P122">
        <v>0.66</v>
      </c>
      <c r="Q122">
        <v>0.68</v>
      </c>
      <c r="R122">
        <v>0</v>
      </c>
      <c r="S122" s="103" t="inlineStr">
        <is>
          <t xml:space="preserve"> </t>
        </is>
      </c>
      <c r="T122" t="inlineStr">
        <is>
          <t>No se programó ni ejecutó en la vigencia</t>
        </is>
      </c>
      <c r="U122">
        <v>1.27</v>
      </c>
      <c r="V122" s="104">
        <v>1.92424242424242</v>
      </c>
      <c r="W122" t="inlineStr">
        <is>
          <t>Hubo ejecución por encima de lo programado en SisPT</t>
        </is>
      </c>
    </row>
    <row r="123">
      <c r="A123" t="inlineStr">
        <is>
          <t>IP-234, IP-35</t>
        </is>
      </c>
      <c r="B123" t="inlineStr">
        <is>
          <t>33</t>
        </is>
      </c>
      <c r="C123" t="inlineStr">
        <is>
          <t>Cultura</t>
        </is>
      </c>
      <c r="D123" t="inlineStr">
        <is>
          <t>3301</t>
        </is>
      </c>
      <c r="E123" t="inlineStr">
        <is>
          <t>Promoción y acceso efectivo a procesos culturales y artísticos</t>
        </is>
      </c>
      <c r="F123" t="inlineStr">
        <is>
          <t>3301127</t>
        </is>
      </c>
      <c r="G123" t="inlineStr">
        <is>
          <t>Infraestructuras culturales dotadas</t>
        </is>
      </c>
      <c r="H123" t="inlineStr">
        <is>
          <t>330112700</t>
        </is>
      </c>
      <c r="I123" t="inlineStr">
        <is>
          <t>Infraestructuras culturales dotadas</t>
        </is>
      </c>
      <c r="J123" t="inlineStr">
        <is>
          <t>2024258990056</t>
        </is>
      </c>
      <c r="K123" t="inlineStr">
        <is>
          <t>No</t>
        </is>
      </c>
      <c r="L123" t="inlineStr">
        <is>
          <t>Número</t>
        </is>
      </c>
      <c r="M123">
        <v>6</v>
      </c>
      <c r="N123">
        <v>2</v>
      </c>
      <c r="O123">
        <v>2</v>
      </c>
      <c r="P123">
        <v>2</v>
      </c>
      <c r="Q123">
        <v>0</v>
      </c>
      <c r="R123">
        <v>0</v>
      </c>
      <c r="S123" s="103">
        <v>0</v>
      </c>
      <c r="T123" t="inlineStr">
        <is>
          <t>No se ejecutó en la vigencia</t>
        </is>
      </c>
      <c r="U123">
        <v>0</v>
      </c>
      <c r="V123" s="104">
        <v>0</v>
      </c>
      <c r="W123" t="inlineStr">
        <is>
          <t>No se ejecutó en la vigencia</t>
        </is>
      </c>
    </row>
    <row r="124">
      <c r="A124" t="inlineStr">
        <is>
          <t>IP-235, IP-36</t>
        </is>
      </c>
      <c r="B124" t="inlineStr">
        <is>
          <t>33</t>
        </is>
      </c>
      <c r="C124" t="inlineStr">
        <is>
          <t>Cultura</t>
        </is>
      </c>
      <c r="D124" t="inlineStr">
        <is>
          <t>3301</t>
        </is>
      </c>
      <c r="E124" t="inlineStr">
        <is>
          <t>Promoción y acceso efectivo a procesos culturales y artísticos</t>
        </is>
      </c>
      <c r="F124" t="inlineStr">
        <is>
          <t>3301126</t>
        </is>
      </c>
      <c r="G124" t="inlineStr">
        <is>
          <t>Servicio de apoyo al proceso de formación artística y cultural</t>
        </is>
      </c>
      <c r="H124" t="inlineStr">
        <is>
          <t>330112600</t>
        </is>
      </c>
      <c r="I124" t="inlineStr">
        <is>
          <t>Procesos de formación atendidos</t>
        </is>
      </c>
      <c r="J124" t="inlineStr">
        <is>
          <t>2024258990056</t>
        </is>
      </c>
      <c r="K124" t="inlineStr">
        <is>
          <t>Si</t>
        </is>
      </c>
      <c r="L124" t="inlineStr">
        <is>
          <t>Número</t>
        </is>
      </c>
      <c r="M124">
        <v>156</v>
      </c>
      <c r="N124">
        <v>142</v>
      </c>
      <c r="O124">
        <v>152</v>
      </c>
      <c r="P124">
        <v>154</v>
      </c>
      <c r="Q124">
        <v>156</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IP-236, IP-37</t>
        </is>
      </c>
      <c r="B125" t="inlineStr">
        <is>
          <t>33</t>
        </is>
      </c>
      <c r="C125" t="inlineStr">
        <is>
          <t>Cultura</t>
        </is>
      </c>
      <c r="D125" t="inlineStr">
        <is>
          <t>3301</t>
        </is>
      </c>
      <c r="E125" t="inlineStr">
        <is>
          <t>Promoción y acceso efectivo a procesos culturales y artísticos</t>
        </is>
      </c>
      <c r="F125" t="inlineStr">
        <is>
          <t>3301053</t>
        </is>
      </c>
      <c r="G125" t="inlineStr">
        <is>
          <t>Servicio de promoción de actividades culturales</t>
        </is>
      </c>
      <c r="H125" t="inlineStr">
        <is>
          <t>330105300</t>
        </is>
      </c>
      <c r="I125" t="inlineStr">
        <is>
          <t>Eventos de promoción de actividades culturales realizados</t>
        </is>
      </c>
      <c r="J125" t="inlineStr">
        <is>
          <t>2024258990056</t>
        </is>
      </c>
      <c r="K125" t="inlineStr">
        <is>
          <t>No</t>
        </is>
      </c>
      <c r="L125" t="inlineStr">
        <is>
          <t>Número</t>
        </is>
      </c>
      <c r="M125">
        <v>160</v>
      </c>
      <c r="N125">
        <v>40</v>
      </c>
      <c r="O125">
        <v>40</v>
      </c>
      <c r="P125">
        <v>40</v>
      </c>
      <c r="Q125">
        <v>40</v>
      </c>
      <c r="R125">
        <v>0</v>
      </c>
      <c r="S125" s="103">
        <v>0</v>
      </c>
      <c r="T125" t="inlineStr">
        <is>
          <t>No se ejecutó en la vigencia</t>
        </is>
      </c>
      <c r="U125">
        <v>1.36</v>
      </c>
      <c r="V125" s="104">
        <v>0.034</v>
      </c>
      <c r="W125" t="inlineStr">
        <is>
          <t>Lo ejecutado está por debajo de lo programado en la vigencia</t>
        </is>
      </c>
    </row>
    <row r="126">
      <c r="A126" t="inlineStr">
        <is>
          <t>IP-237, IP-38</t>
        </is>
      </c>
      <c r="B126" t="inlineStr">
        <is>
          <t>33</t>
        </is>
      </c>
      <c r="C126" t="inlineStr">
        <is>
          <t>Cultura</t>
        </is>
      </c>
      <c r="D126" t="inlineStr">
        <is>
          <t>3301</t>
        </is>
      </c>
      <c r="E126" t="inlineStr">
        <is>
          <t>Promoción y acceso efectivo a procesos culturales y artísticos</t>
        </is>
      </c>
      <c r="F126" t="inlineStr">
        <is>
          <t>3301052</t>
        </is>
      </c>
      <c r="G126" t="inlineStr">
        <is>
          <t>Servicio de educación formal al sector artístico y cultural</t>
        </is>
      </c>
      <c r="H126" t="inlineStr">
        <is>
          <t>330105203</t>
        </is>
      </c>
      <c r="I126" t="inlineStr">
        <is>
          <t>Cupos de educación formal ofertados</t>
        </is>
      </c>
      <c r="J126" t="inlineStr">
        <is>
          <t>2024258990056</t>
        </is>
      </c>
      <c r="K126" t="inlineStr">
        <is>
          <t>No</t>
        </is>
      </c>
      <c r="L126" t="inlineStr">
        <is>
          <t>Número</t>
        </is>
      </c>
      <c r="M126">
        <v>2</v>
      </c>
      <c r="N126">
        <v>0</v>
      </c>
      <c r="O126">
        <v>0.66</v>
      </c>
      <c r="P126">
        <v>0.66</v>
      </c>
      <c r="Q126">
        <v>0.68</v>
      </c>
      <c r="R126" t="inlineStr">
        <is>
          <t xml:space="preserve"> </t>
        </is>
      </c>
      <c r="S126" s="103" t="inlineStr">
        <is>
          <t xml:space="preserve"> </t>
        </is>
      </c>
      <c r="T126" t="inlineStr">
        <is>
          <t>No se encontró ejecución en PIIP</t>
        </is>
      </c>
      <c r="U126" t="inlineStr">
        <is>
          <t xml:space="preserve"> </t>
        </is>
      </c>
      <c r="V126" s="104" t="inlineStr">
        <is>
          <t xml:space="preserve"> </t>
        </is>
      </c>
      <c r="W126" t="inlineStr">
        <is>
          <t>No se encontró ejecución en PIIP</t>
        </is>
      </c>
    </row>
    <row r="127">
      <c r="A127" t="inlineStr">
        <is>
          <t>IP-238, IP-39</t>
        </is>
      </c>
      <c r="B127" t="inlineStr">
        <is>
          <t>33</t>
        </is>
      </c>
      <c r="C127" t="inlineStr">
        <is>
          <t>Cultura</t>
        </is>
      </c>
      <c r="D127" t="inlineStr">
        <is>
          <t>3301</t>
        </is>
      </c>
      <c r="E127" t="inlineStr">
        <is>
          <t>Promoción y acceso efectivo a procesos culturales y artísticos</t>
        </is>
      </c>
      <c r="F127" t="inlineStr">
        <is>
          <t>3301073</t>
        </is>
      </c>
      <c r="G127" t="inlineStr">
        <is>
          <t>Servicio de circulación artística y cultural</t>
        </is>
      </c>
      <c r="H127" t="inlineStr">
        <is>
          <t>330107301</t>
        </is>
      </c>
      <c r="I127" t="inlineStr">
        <is>
          <t>Producciones artísticas en circulación</t>
        </is>
      </c>
      <c r="J127" t="inlineStr">
        <is>
          <t>2024258990056</t>
        </is>
      </c>
      <c r="K127" t="inlineStr">
        <is>
          <t>No</t>
        </is>
      </c>
      <c r="L127" t="inlineStr">
        <is>
          <t>Número</t>
        </is>
      </c>
      <c r="M127">
        <v>16</v>
      </c>
      <c r="N127">
        <v>2</v>
      </c>
      <c r="O127">
        <v>4</v>
      </c>
      <c r="P127">
        <v>6</v>
      </c>
      <c r="Q127">
        <v>4</v>
      </c>
      <c r="R127" t="inlineStr">
        <is>
          <t xml:space="preserve"> </t>
        </is>
      </c>
      <c r="S127" s="103" t="inlineStr">
        <is>
          <t xml:space="preserve"> </t>
        </is>
      </c>
      <c r="T127" t="inlineStr">
        <is>
          <t>No se encontró ejecución en PIIP</t>
        </is>
      </c>
      <c r="U127" t="inlineStr">
        <is>
          <t xml:space="preserve"> </t>
        </is>
      </c>
      <c r="V127" s="104" t="inlineStr">
        <is>
          <t xml:space="preserve"> </t>
        </is>
      </c>
      <c r="W127" t="inlineStr">
        <is>
          <t>No se encontró ejecución en PIIP</t>
        </is>
      </c>
    </row>
    <row r="128">
      <c r="A128" t="inlineStr">
        <is>
          <t>IP-239, IP-40</t>
        </is>
      </c>
      <c r="B128" t="inlineStr">
        <is>
          <t>33</t>
        </is>
      </c>
      <c r="C128" t="inlineStr">
        <is>
          <t>Cultura</t>
        </is>
      </c>
      <c r="D128" t="inlineStr">
        <is>
          <t>3301</t>
        </is>
      </c>
      <c r="E128" t="inlineStr">
        <is>
          <t>Promoción y acceso efectivo a procesos culturales y artísticos</t>
        </is>
      </c>
      <c r="F128" t="inlineStr">
        <is>
          <t>3301129</t>
        </is>
      </c>
      <c r="G128" t="inlineStr">
        <is>
          <t>Documentos de planeación</t>
        </is>
      </c>
      <c r="H128" t="inlineStr">
        <is>
          <t>330112900</t>
        </is>
      </c>
      <c r="I128" t="inlineStr">
        <is>
          <t>Documentos de planeación realizados</t>
        </is>
      </c>
      <c r="J128" t="inlineStr">
        <is>
          <t>2024258990056</t>
        </is>
      </c>
      <c r="K128" t="inlineStr">
        <is>
          <t>No</t>
        </is>
      </c>
      <c r="L128" t="inlineStr">
        <is>
          <t>Número</t>
        </is>
      </c>
      <c r="M128">
        <v>6</v>
      </c>
      <c r="N128">
        <v>1.5</v>
      </c>
      <c r="O128">
        <v>1.5</v>
      </c>
      <c r="P128">
        <v>1.5</v>
      </c>
      <c r="Q128">
        <v>1.5</v>
      </c>
      <c r="R128">
        <v>0</v>
      </c>
      <c r="S128" s="103">
        <v>0</v>
      </c>
      <c r="T128" t="inlineStr">
        <is>
          <t>No se ejecutó en la vigencia</t>
        </is>
      </c>
      <c r="U128">
        <v>0</v>
      </c>
      <c r="V128" s="104">
        <v>0</v>
      </c>
      <c r="W128" t="inlineStr">
        <is>
          <t>No se ejecutó en la vigencia</t>
        </is>
      </c>
    </row>
    <row r="129">
      <c r="A129" t="inlineStr">
        <is>
          <t>IP-240, IP-41</t>
        </is>
      </c>
      <c r="B129" t="inlineStr">
        <is>
          <t>33</t>
        </is>
      </c>
      <c r="C129" t="inlineStr">
        <is>
          <t>Cultura</t>
        </is>
      </c>
      <c r="D129" t="inlineStr">
        <is>
          <t>3301</t>
        </is>
      </c>
      <c r="E129" t="inlineStr">
        <is>
          <t>Promoción y acceso efectivo a procesos culturales y artísticos</t>
        </is>
      </c>
      <c r="F129" t="inlineStr">
        <is>
          <t>3301061</t>
        </is>
      </c>
      <c r="G129" t="inlineStr">
        <is>
          <t>Servicio de asistencia técnica en el fortalecimiento de los consejeros de cultura</t>
        </is>
      </c>
      <c r="H129" t="inlineStr">
        <is>
          <t>330106104</t>
        </is>
      </c>
      <c r="I129" t="inlineStr">
        <is>
          <t>Asistencias técnicas a los consejeros de cultura realizadas</t>
        </is>
      </c>
      <c r="J129" t="inlineStr">
        <is>
          <t>2024258990056</t>
        </is>
      </c>
      <c r="K129" t="inlineStr">
        <is>
          <t>Si</t>
        </is>
      </c>
      <c r="L129" t="inlineStr">
        <is>
          <t>Número</t>
        </is>
      </c>
      <c r="M129">
        <v>16</v>
      </c>
      <c r="N129">
        <v>6</v>
      </c>
      <c r="O129">
        <v>10</v>
      </c>
      <c r="P129">
        <v>14</v>
      </c>
      <c r="Q129">
        <v>16</v>
      </c>
      <c r="R129" t="inlineStr">
        <is>
          <t xml:space="preserve"> </t>
        </is>
      </c>
      <c r="S129" s="103" t="inlineStr">
        <is>
          <t xml:space="preserve"> </t>
        </is>
      </c>
      <c r="T129" t="inlineStr">
        <is>
          <t>No se encontró ejecución en PIIP</t>
        </is>
      </c>
      <c r="U129" t="inlineStr">
        <is>
          <t xml:space="preserve"> </t>
        </is>
      </c>
      <c r="V129" s="104" t="inlineStr">
        <is>
          <t xml:space="preserve"> </t>
        </is>
      </c>
      <c r="W129" t="inlineStr">
        <is>
          <t>No se encontró ejecución en PIIP</t>
        </is>
      </c>
    </row>
    <row r="130">
      <c r="A130" t="inlineStr">
        <is>
          <t>IP-241, IP-42</t>
        </is>
      </c>
      <c r="B130" t="inlineStr">
        <is>
          <t>33</t>
        </is>
      </c>
      <c r="C130" t="inlineStr">
        <is>
          <t>Cultura</t>
        </is>
      </c>
      <c r="D130" t="inlineStr">
        <is>
          <t>3301</t>
        </is>
      </c>
      <c r="E130" t="inlineStr">
        <is>
          <t>Promoción y acceso efectivo a procesos culturales y artísticos</t>
        </is>
      </c>
      <c r="F130" t="inlineStr">
        <is>
          <t>3301053</t>
        </is>
      </c>
      <c r="G130" t="inlineStr">
        <is>
          <t>Servicio de promoción de actividades culturales</t>
        </is>
      </c>
      <c r="H130" t="inlineStr">
        <is>
          <t>330105300</t>
        </is>
      </c>
      <c r="I130" t="inlineStr">
        <is>
          <t>Eventos de promoción de actividades culturales realizados</t>
        </is>
      </c>
      <c r="J130" t="inlineStr">
        <is>
          <t>2024258990056</t>
        </is>
      </c>
      <c r="K130" t="inlineStr">
        <is>
          <t>Si</t>
        </is>
      </c>
      <c r="L130" t="inlineStr">
        <is>
          <t>Número</t>
        </is>
      </c>
      <c r="M130">
        <v>180</v>
      </c>
      <c r="N130">
        <v>180</v>
      </c>
      <c r="O130">
        <v>180</v>
      </c>
      <c r="P130">
        <v>180</v>
      </c>
      <c r="Q130">
        <v>180</v>
      </c>
      <c r="R130" t="inlineStr">
        <is>
          <t xml:space="preserve"> </t>
        </is>
      </c>
      <c r="S130" s="103" t="inlineStr">
        <is>
          <t xml:space="preserve"> </t>
        </is>
      </c>
      <c r="T130" t="inlineStr">
        <is>
          <t>No se encontró ejecución en PIIP</t>
        </is>
      </c>
      <c r="U130" t="inlineStr">
        <is>
          <t xml:space="preserve"> </t>
        </is>
      </c>
      <c r="V130" s="104" t="inlineStr">
        <is>
          <t xml:space="preserve"> </t>
        </is>
      </c>
      <c r="W130" t="inlineStr">
        <is>
          <t>No se encontró ejecución en PIIP</t>
        </is>
      </c>
    </row>
    <row r="131">
      <c r="A131" t="inlineStr">
        <is>
          <t>IP-242, IP-43</t>
        </is>
      </c>
      <c r="B131" t="inlineStr">
        <is>
          <t>33</t>
        </is>
      </c>
      <c r="C131" t="inlineStr">
        <is>
          <t>Cultura</t>
        </is>
      </c>
      <c r="D131" t="inlineStr">
        <is>
          <t>3301</t>
        </is>
      </c>
      <c r="E131" t="inlineStr">
        <is>
          <t>Promoción y acceso efectivo a procesos culturales y artísticos</t>
        </is>
      </c>
      <c r="F131" t="inlineStr">
        <is>
          <t>3301068</t>
        </is>
      </c>
      <c r="G131" t="inlineStr">
        <is>
          <t>Servicio de mantenimiento de infraestructura cultural</t>
        </is>
      </c>
      <c r="H131" t="inlineStr">
        <is>
          <t>330106800</t>
        </is>
      </c>
      <c r="I131" t="inlineStr">
        <is>
          <t>Infraestructura cultural intervenida</t>
        </is>
      </c>
      <c r="J131" t="inlineStr">
        <is>
          <t>2024258990056</t>
        </is>
      </c>
      <c r="K131" t="inlineStr">
        <is>
          <t>No</t>
        </is>
      </c>
      <c r="L131" t="inlineStr">
        <is>
          <t>Número</t>
        </is>
      </c>
      <c r="M131">
        <v>8</v>
      </c>
      <c r="N131">
        <v>2</v>
      </c>
      <c r="O131">
        <v>2</v>
      </c>
      <c r="P131">
        <v>2</v>
      </c>
      <c r="Q131">
        <v>2</v>
      </c>
      <c r="R131">
        <v>0</v>
      </c>
      <c r="S131" s="103">
        <v>0</v>
      </c>
      <c r="T131" t="inlineStr">
        <is>
          <t>No se ejecutó en la vigencia</t>
        </is>
      </c>
      <c r="U131">
        <v>0.06</v>
      </c>
      <c r="V131" s="104">
        <v>0.03</v>
      </c>
      <c r="W131" t="inlineStr">
        <is>
          <t>Lo ejecutado está por debajo de lo programado en la vigencia</t>
        </is>
      </c>
    </row>
    <row r="132">
      <c r="A132" t="inlineStr">
        <is>
          <t>IP-243, IP-248, IP-249, IP-44, IP-49, IP-50</t>
        </is>
      </c>
      <c r="B132" t="inlineStr">
        <is>
          <t>33</t>
        </is>
      </c>
      <c r="C132" t="inlineStr">
        <is>
          <t>Cultura</t>
        </is>
      </c>
      <c r="D132" t="inlineStr">
        <is>
          <t>3301</t>
        </is>
      </c>
      <c r="E132" t="inlineStr">
        <is>
          <t>Promoción y acceso efectivo a procesos culturales y artísticos</t>
        </is>
      </c>
      <c r="F132" t="inlineStr">
        <is>
          <t>3301054</t>
        </is>
      </c>
      <c r="G132" t="inlineStr">
        <is>
          <t>Servicio de apoyo financiero al sector artístico y cultural</t>
        </is>
      </c>
      <c r="H132" t="inlineStr">
        <is>
          <t>330105400</t>
        </is>
      </c>
      <c r="I132" t="inlineStr">
        <is>
          <t>Estímulos otorgados</t>
        </is>
      </c>
      <c r="J132" t="inlineStr">
        <is>
          <t>2024258990056</t>
        </is>
      </c>
      <c r="K132" t="inlineStr">
        <is>
          <t>No</t>
        </is>
      </c>
      <c r="L132" t="inlineStr">
        <is>
          <t>Número</t>
        </is>
      </c>
      <c r="M132">
        <v>32</v>
      </c>
      <c r="N132">
        <v>5</v>
      </c>
      <c r="O132">
        <v>9</v>
      </c>
      <c r="P132">
        <v>10</v>
      </c>
      <c r="Q132">
        <v>8</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IP-244, IP-45</t>
        </is>
      </c>
      <c r="B133" t="inlineStr">
        <is>
          <t>33</t>
        </is>
      </c>
      <c r="C133" t="inlineStr">
        <is>
          <t>Cultura</t>
        </is>
      </c>
      <c r="D133" t="inlineStr">
        <is>
          <t>3301</t>
        </is>
      </c>
      <c r="E133" t="inlineStr">
        <is>
          <t>Promoción y acceso efectivo a procesos culturales y artísticos</t>
        </is>
      </c>
      <c r="F133" t="inlineStr">
        <is>
          <t>3301069</t>
        </is>
      </c>
      <c r="G133" t="inlineStr">
        <is>
          <t>Documentos de investigación</t>
        </is>
      </c>
      <c r="H133" t="inlineStr">
        <is>
          <t>330106900</t>
        </is>
      </c>
      <c r="I133" t="inlineStr">
        <is>
          <t>Documentos de investigación realizados</t>
        </is>
      </c>
      <c r="J133" t="inlineStr">
        <is>
          <t>2024258990056</t>
        </is>
      </c>
      <c r="K133" t="inlineStr">
        <is>
          <t>No</t>
        </is>
      </c>
      <c r="L133" t="inlineStr">
        <is>
          <t>Número</t>
        </is>
      </c>
      <c r="M133">
        <v>2</v>
      </c>
      <c r="N133">
        <v>0</v>
      </c>
      <c r="O133">
        <v>0.66</v>
      </c>
      <c r="P133">
        <v>0.66</v>
      </c>
      <c r="Q133">
        <v>0.68</v>
      </c>
      <c r="R133">
        <v>0</v>
      </c>
      <c r="S133" s="103" t="inlineStr">
        <is>
          <t xml:space="preserve"> </t>
        </is>
      </c>
      <c r="T133" t="inlineStr">
        <is>
          <t>No se programó ni ejecutó en la vigencia</t>
        </is>
      </c>
      <c r="U133">
        <v>2.6</v>
      </c>
      <c r="V133" s="104">
        <v>3.93939393939394</v>
      </c>
      <c r="W133" t="inlineStr">
        <is>
          <t>Hubo ejecución por encima de lo programado en SisPT</t>
        </is>
      </c>
    </row>
    <row r="134">
      <c r="A134" t="inlineStr">
        <is>
          <t>IP-245, IP-46</t>
        </is>
      </c>
      <c r="B134" t="inlineStr">
        <is>
          <t>33</t>
        </is>
      </c>
      <c r="C134" t="inlineStr">
        <is>
          <t>Cultura</t>
        </is>
      </c>
      <c r="D134" t="inlineStr">
        <is>
          <t>3301</t>
        </is>
      </c>
      <c r="E134" t="inlineStr">
        <is>
          <t>Promoción y acceso efectivo a procesos culturales y artísticos</t>
        </is>
      </c>
      <c r="F134" t="inlineStr">
        <is>
          <t>3301053</t>
        </is>
      </c>
      <c r="G134" t="inlineStr">
        <is>
          <t>Servicio de promoción de actividades culturales</t>
        </is>
      </c>
      <c r="H134" t="inlineStr">
        <is>
          <t>330105302</t>
        </is>
      </c>
      <c r="I134" t="inlineStr">
        <is>
          <t>Espectáculos artísticos realizados</t>
        </is>
      </c>
      <c r="J134" t="inlineStr">
        <is>
          <t>2024258990056</t>
        </is>
      </c>
      <c r="K134" t="inlineStr">
        <is>
          <t>Si</t>
        </is>
      </c>
      <c r="L134" t="inlineStr">
        <is>
          <t>Número</t>
        </is>
      </c>
      <c r="M134">
        <v>16</v>
      </c>
      <c r="N134">
        <v>1</v>
      </c>
      <c r="O134">
        <v>8</v>
      </c>
      <c r="P134">
        <v>12</v>
      </c>
      <c r="Q134">
        <v>16</v>
      </c>
      <c r="R134" t="inlineStr">
        <is>
          <t xml:space="preserve"> </t>
        </is>
      </c>
      <c r="S134" s="103" t="inlineStr">
        <is>
          <t xml:space="preserve"> </t>
        </is>
      </c>
      <c r="T134" t="inlineStr">
        <is>
          <t>No se encontró ejecución en PIIP</t>
        </is>
      </c>
      <c r="U134" t="inlineStr">
        <is>
          <t xml:space="preserve"> </t>
        </is>
      </c>
      <c r="V134" s="104" t="inlineStr">
        <is>
          <t xml:space="preserve"> </t>
        </is>
      </c>
      <c r="W134" t="inlineStr">
        <is>
          <t>No se encontró ejecución en PIIP</t>
        </is>
      </c>
    </row>
    <row r="135">
      <c r="A135" t="inlineStr">
        <is>
          <t>IP-246, IP-47</t>
        </is>
      </c>
      <c r="B135" t="inlineStr">
        <is>
          <t>33</t>
        </is>
      </c>
      <c r="C135" t="inlineStr">
        <is>
          <t>Cultura</t>
        </is>
      </c>
      <c r="D135" t="inlineStr">
        <is>
          <t>3301</t>
        </is>
      </c>
      <c r="E135" t="inlineStr">
        <is>
          <t>Promoción y acceso efectivo a procesos culturales y artísticos</t>
        </is>
      </c>
      <c r="F135" t="inlineStr">
        <is>
          <t>3301051</t>
        </is>
      </c>
      <c r="G135" t="inlineStr">
        <is>
          <t>Servicio de educación informal al sector artístico y cultural</t>
        </is>
      </c>
      <c r="H135" t="inlineStr">
        <is>
          <t>330105105</t>
        </is>
      </c>
      <c r="I135" t="inlineStr">
        <is>
          <t>Artistas capacitados</t>
        </is>
      </c>
      <c r="J135" t="inlineStr">
        <is>
          <t>2024258990056</t>
        </is>
      </c>
      <c r="K135" t="inlineStr">
        <is>
          <t>No</t>
        </is>
      </c>
      <c r="L135" t="inlineStr">
        <is>
          <t>Número</t>
        </is>
      </c>
      <c r="M135">
        <v>6</v>
      </c>
      <c r="N135">
        <v>1.5</v>
      </c>
      <c r="O135">
        <v>1.5</v>
      </c>
      <c r="P135">
        <v>1.5</v>
      </c>
      <c r="Q135">
        <v>1.5</v>
      </c>
      <c r="R135" t="inlineStr">
        <is>
          <t xml:space="preserve"> </t>
        </is>
      </c>
      <c r="S135" s="103" t="inlineStr">
        <is>
          <t xml:space="preserve"> </t>
        </is>
      </c>
      <c r="T135" t="inlineStr">
        <is>
          <t>No se encontró ejecución en PIIP</t>
        </is>
      </c>
      <c r="U135" t="inlineStr">
        <is>
          <t xml:space="preserve"> </t>
        </is>
      </c>
      <c r="V135" s="104" t="inlineStr">
        <is>
          <t xml:space="preserve"> </t>
        </is>
      </c>
      <c r="W135" t="inlineStr">
        <is>
          <t>No se encontró ejecución en PIIP</t>
        </is>
      </c>
    </row>
    <row r="136">
      <c r="A136" t="inlineStr">
        <is>
          <t>IP-247, IP-48</t>
        </is>
      </c>
      <c r="B136" t="inlineStr">
        <is>
          <t>33</t>
        </is>
      </c>
      <c r="C136" t="inlineStr">
        <is>
          <t>Cultura</t>
        </is>
      </c>
      <c r="D136" t="inlineStr">
        <is>
          <t>3301</t>
        </is>
      </c>
      <c r="E136" t="inlineStr">
        <is>
          <t>Promoción y acceso efectivo a procesos culturales y artísticos</t>
        </is>
      </c>
      <c r="F136" t="inlineStr">
        <is>
          <t>3301099</t>
        </is>
      </c>
      <c r="G136" t="inlineStr">
        <is>
          <t>Servicio de información para el sector artístico y cultural</t>
        </is>
      </c>
      <c r="H136" t="inlineStr">
        <is>
          <t>330109900</t>
        </is>
      </c>
      <c r="I136" t="inlineStr">
        <is>
          <t>Sistema de información del sector artístico y cultural en operación</t>
        </is>
      </c>
      <c r="J136" t="inlineStr">
        <is>
          <t>2024258990056</t>
        </is>
      </c>
      <c r="K136" t="inlineStr">
        <is>
          <t>No</t>
        </is>
      </c>
      <c r="L136" t="inlineStr">
        <is>
          <t>Número</t>
        </is>
      </c>
      <c r="M136">
        <v>2</v>
      </c>
      <c r="N136">
        <v>0.5</v>
      </c>
      <c r="O136">
        <v>0.5</v>
      </c>
      <c r="P136">
        <v>0.5</v>
      </c>
      <c r="Q136">
        <v>0.5</v>
      </c>
      <c r="R136">
        <v>0</v>
      </c>
      <c r="S136" s="103">
        <v>0</v>
      </c>
      <c r="T136" t="inlineStr">
        <is>
          <t>No se ejecutó en la vigencia</t>
        </is>
      </c>
      <c r="U136">
        <v>1.34</v>
      </c>
      <c r="V136" s="104">
        <v>2.68</v>
      </c>
      <c r="W136" t="inlineStr">
        <is>
          <t>Hubo ejecución por encima de lo programado en SisPT</t>
        </is>
      </c>
    </row>
    <row r="137">
      <c r="A137" t="inlineStr">
        <is>
          <t>IP-250, IP-51</t>
        </is>
      </c>
      <c r="B137" t="inlineStr">
        <is>
          <t>33</t>
        </is>
      </c>
      <c r="C137" t="inlineStr">
        <is>
          <t>Cultura</t>
        </is>
      </c>
      <c r="D137" t="inlineStr">
        <is>
          <t>3301</t>
        </is>
      </c>
      <c r="E137" t="inlineStr">
        <is>
          <t>Promoción y acceso efectivo a procesos culturales y artísticos</t>
        </is>
      </c>
      <c r="F137" t="inlineStr">
        <is>
          <t>3301073</t>
        </is>
      </c>
      <c r="G137" t="inlineStr">
        <is>
          <t>Servicio de circulación artística y cultural</t>
        </is>
      </c>
      <c r="H137" t="inlineStr">
        <is>
          <t>330107300</t>
        </is>
      </c>
      <c r="I137" t="inlineStr">
        <is>
          <t>Contenidos culturales  en circulación</t>
        </is>
      </c>
      <c r="J137" t="inlineStr">
        <is>
          <t>2024258990056</t>
        </is>
      </c>
      <c r="K137" t="inlineStr">
        <is>
          <t>No</t>
        </is>
      </c>
      <c r="L137" t="inlineStr">
        <is>
          <t>Número</t>
        </is>
      </c>
      <c r="M137">
        <v>16</v>
      </c>
      <c r="N137">
        <v>2</v>
      </c>
      <c r="O137">
        <v>4</v>
      </c>
      <c r="P137">
        <v>6</v>
      </c>
      <c r="Q137">
        <v>4</v>
      </c>
      <c r="R137">
        <v>0</v>
      </c>
      <c r="S137" s="103">
        <v>0</v>
      </c>
      <c r="T137" t="inlineStr">
        <is>
          <t>No se ejecutó en la vigencia</t>
        </is>
      </c>
      <c r="U137">
        <v>1.07</v>
      </c>
      <c r="V137" s="104">
        <v>0.2675</v>
      </c>
      <c r="W137" t="inlineStr">
        <is>
          <t>Lo ejecutado está por debajo de lo programado en la vigencia</t>
        </is>
      </c>
    </row>
    <row r="138">
      <c r="A138" t="inlineStr">
        <is>
          <t>IP-251, IP-52</t>
        </is>
      </c>
      <c r="B138" t="inlineStr">
        <is>
          <t>33</t>
        </is>
      </c>
      <c r="C138" t="inlineStr">
        <is>
          <t>Cultura</t>
        </is>
      </c>
      <c r="D138" t="inlineStr">
        <is>
          <t>3301</t>
        </is>
      </c>
      <c r="E138" t="inlineStr">
        <is>
          <t>Promoción y acceso efectivo a procesos culturales y artísticos</t>
        </is>
      </c>
      <c r="F138" t="inlineStr">
        <is>
          <t>3301075</t>
        </is>
      </c>
      <c r="G138" t="inlineStr">
        <is>
          <t>Bibliotecas construidas y dotadas</t>
        </is>
      </c>
      <c r="H138" t="inlineStr">
        <is>
          <t>330107500</t>
        </is>
      </c>
      <c r="I138" t="inlineStr">
        <is>
          <t>Bibliotecas construidas y dotadas</t>
        </is>
      </c>
      <c r="J138" t="inlineStr">
        <is>
          <t>2024258990056</t>
        </is>
      </c>
      <c r="K138" t="inlineStr">
        <is>
          <t>No</t>
        </is>
      </c>
      <c r="L138" t="inlineStr">
        <is>
          <t>Número</t>
        </is>
      </c>
      <c r="M138">
        <v>4</v>
      </c>
      <c r="N138">
        <v>0</v>
      </c>
      <c r="O138">
        <v>0</v>
      </c>
      <c r="P138">
        <v>2</v>
      </c>
      <c r="Q138">
        <v>2</v>
      </c>
      <c r="R138">
        <v>0</v>
      </c>
      <c r="S138" s="103" t="inlineStr">
        <is>
          <t xml:space="preserve"> </t>
        </is>
      </c>
      <c r="T138" t="inlineStr">
        <is>
          <t>No se programó ni ejecutó en la vigencia</t>
        </is>
      </c>
      <c r="U138">
        <v>1</v>
      </c>
      <c r="V138" s="104" t="inlineStr">
        <is>
          <t xml:space="preserve"> </t>
        </is>
      </c>
      <c r="W138" t="inlineStr">
        <is>
          <t>Se ejecutó un producto no programado en la vigencia</t>
        </is>
      </c>
    </row>
    <row r="139">
      <c r="A139" t="inlineStr">
        <is>
          <t>IP-252, IP-53</t>
        </is>
      </c>
      <c r="B139" t="inlineStr">
        <is>
          <t>33</t>
        </is>
      </c>
      <c r="C139" t="inlineStr">
        <is>
          <t>Cultura</t>
        </is>
      </c>
      <c r="D139" t="inlineStr">
        <is>
          <t>3301</t>
        </is>
      </c>
      <c r="E139" t="inlineStr">
        <is>
          <t>Promoción y acceso efectivo a procesos culturales y artísticos</t>
        </is>
      </c>
      <c r="F139" t="inlineStr">
        <is>
          <t>3301070</t>
        </is>
      </c>
      <c r="G139" t="inlineStr">
        <is>
          <t>Documentos de lineamientos técnicos</t>
        </is>
      </c>
      <c r="H139" t="inlineStr">
        <is>
          <t>330107002</t>
        </is>
      </c>
      <c r="I139" t="inlineStr">
        <is>
          <t>Documentos de lineamientos técnicos para bibliotecas públicas realizados</t>
        </is>
      </c>
      <c r="J139" t="inlineStr">
        <is>
          <t>2024258990056</t>
        </is>
      </c>
      <c r="K139" t="inlineStr">
        <is>
          <t>No</t>
        </is>
      </c>
      <c r="L139" t="inlineStr">
        <is>
          <t>Número</t>
        </is>
      </c>
      <c r="M139">
        <v>2</v>
      </c>
      <c r="N139">
        <v>0.5</v>
      </c>
      <c r="O139">
        <v>0.5</v>
      </c>
      <c r="P139">
        <v>0.5</v>
      </c>
      <c r="Q139">
        <v>0.5</v>
      </c>
      <c r="R139" t="inlineStr">
        <is>
          <t xml:space="preserve"> </t>
        </is>
      </c>
      <c r="S139" s="103" t="inlineStr">
        <is>
          <t xml:space="preserve"> </t>
        </is>
      </c>
      <c r="T139" t="inlineStr">
        <is>
          <t>No se encontró ejecución en PIIP</t>
        </is>
      </c>
      <c r="U139" t="inlineStr">
        <is>
          <t xml:space="preserve"> </t>
        </is>
      </c>
      <c r="V139" s="104" t="inlineStr">
        <is>
          <t xml:space="preserve"> </t>
        </is>
      </c>
      <c r="W139" t="inlineStr">
        <is>
          <t>No se encontró ejecución en PIIP</t>
        </is>
      </c>
    </row>
    <row r="140">
      <c r="A140" t="inlineStr">
        <is>
          <t>IP-253, IP-54</t>
        </is>
      </c>
      <c r="B140" t="inlineStr">
        <is>
          <t>33</t>
        </is>
      </c>
      <c r="C140" t="inlineStr">
        <is>
          <t>Cultura</t>
        </is>
      </c>
      <c r="D140" t="inlineStr">
        <is>
          <t>3301</t>
        </is>
      </c>
      <c r="E140" t="inlineStr">
        <is>
          <t>Promoción y acceso efectivo a procesos culturales y artísticos</t>
        </is>
      </c>
      <c r="F140" t="inlineStr">
        <is>
          <t>3301003</t>
        </is>
      </c>
      <c r="G140" t="inlineStr">
        <is>
          <t>Bibliotecas adecuadas</t>
        </is>
      </c>
      <c r="H140" t="inlineStr">
        <is>
          <t>330100300</t>
        </is>
      </c>
      <c r="I140" t="inlineStr">
        <is>
          <t>Bibliotecas adecuadas</t>
        </is>
      </c>
      <c r="J140" t="inlineStr">
        <is>
          <t>2024258990056</t>
        </is>
      </c>
      <c r="K140" t="inlineStr">
        <is>
          <t>No</t>
        </is>
      </c>
      <c r="L140" t="inlineStr">
        <is>
          <t>Número</t>
        </is>
      </c>
      <c r="M140">
        <v>4</v>
      </c>
      <c r="N140">
        <v>1</v>
      </c>
      <c r="O140">
        <v>1</v>
      </c>
      <c r="P140">
        <v>1</v>
      </c>
      <c r="Q140">
        <v>1</v>
      </c>
      <c r="R140">
        <v>0</v>
      </c>
      <c r="S140" s="103">
        <v>0</v>
      </c>
      <c r="T140" t="inlineStr">
        <is>
          <t>No se ejecutó en la vigencia</t>
        </is>
      </c>
      <c r="U140">
        <v>0</v>
      </c>
      <c r="V140" s="104">
        <v>0</v>
      </c>
      <c r="W140" t="inlineStr">
        <is>
          <t>No se ejecutó en la vigencia</t>
        </is>
      </c>
    </row>
    <row r="141">
      <c r="A141" t="inlineStr">
        <is>
          <t>IP-254, IP-55</t>
        </is>
      </c>
      <c r="B141" t="inlineStr">
        <is>
          <t>33</t>
        </is>
      </c>
      <c r="C141" t="inlineStr">
        <is>
          <t>Cultura</t>
        </is>
      </c>
      <c r="D141" t="inlineStr">
        <is>
          <t>3301</t>
        </is>
      </c>
      <c r="E141" t="inlineStr">
        <is>
          <t>Promoción y acceso efectivo a procesos culturales y artísticos</t>
        </is>
      </c>
      <c r="F141" t="inlineStr">
        <is>
          <t>3301098</t>
        </is>
      </c>
      <c r="G141" t="inlineStr">
        <is>
          <t>Servicio de acceso a materiales de lectura</t>
        </is>
      </c>
      <c r="H141" t="inlineStr">
        <is>
          <t>330109800</t>
        </is>
      </c>
      <c r="I141" t="inlineStr">
        <is>
          <t>Materiales de lectura disponibles en bibliotecas públicas y espacios no convencionales</t>
        </is>
      </c>
      <c r="J141" t="inlineStr">
        <is>
          <t>2024258990056</t>
        </is>
      </c>
      <c r="K141" t="inlineStr">
        <is>
          <t>No</t>
        </is>
      </c>
      <c r="L141" t="inlineStr">
        <is>
          <t>Número</t>
        </is>
      </c>
      <c r="M141">
        <v>6</v>
      </c>
      <c r="N141">
        <v>2</v>
      </c>
      <c r="O141">
        <v>2</v>
      </c>
      <c r="P141">
        <v>1</v>
      </c>
      <c r="Q141">
        <v>1</v>
      </c>
      <c r="R141">
        <v>0</v>
      </c>
      <c r="S141" s="103">
        <v>0</v>
      </c>
      <c r="T141" t="inlineStr">
        <is>
          <t>No se ejecutó en la vigencia</t>
        </is>
      </c>
      <c r="U141" t="inlineStr">
        <is>
          <t xml:space="preserve"> </t>
        </is>
      </c>
      <c r="V141" s="104" t="inlineStr">
        <is>
          <t xml:space="preserve"> </t>
        </is>
      </c>
      <c r="W141" t="inlineStr">
        <is>
          <t>No se encontró ejecución en PIIP</t>
        </is>
      </c>
    </row>
    <row r="142">
      <c r="A142" t="inlineStr">
        <is>
          <t>IP-255, IP-56</t>
        </is>
      </c>
      <c r="B142" t="inlineStr">
        <is>
          <t>33</t>
        </is>
      </c>
      <c r="C142" t="inlineStr">
        <is>
          <t>Cultura</t>
        </is>
      </c>
      <c r="D142" t="inlineStr">
        <is>
          <t>3301</t>
        </is>
      </c>
      <c r="E142" t="inlineStr">
        <is>
          <t>Promoción y acceso efectivo a procesos culturales y artísticos</t>
        </is>
      </c>
      <c r="F142" t="inlineStr">
        <is>
          <t>3301065</t>
        </is>
      </c>
      <c r="G142" t="inlineStr">
        <is>
          <t>Servicio de asistencia técnica en asuntos de gestión de bibliotecas públicas y lectura.</t>
        </is>
      </c>
      <c r="H142" t="inlineStr">
        <is>
          <t>330106500</t>
        </is>
      </c>
      <c r="I142" t="inlineStr">
        <is>
          <t>Personas asistidas técnicamente</t>
        </is>
      </c>
      <c r="J142" t="inlineStr">
        <is>
          <t>2024258990056</t>
        </is>
      </c>
      <c r="K142" t="inlineStr">
        <is>
          <t>Si</t>
        </is>
      </c>
      <c r="L142" t="inlineStr">
        <is>
          <t>Número</t>
        </is>
      </c>
      <c r="M142">
        <v>10</v>
      </c>
      <c r="N142">
        <v>4</v>
      </c>
      <c r="O142">
        <v>6</v>
      </c>
      <c r="P142">
        <v>8</v>
      </c>
      <c r="Q142">
        <v>10</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IP-256, IP-57</t>
        </is>
      </c>
      <c r="B143" t="inlineStr">
        <is>
          <t>33</t>
        </is>
      </c>
      <c r="C143" t="inlineStr">
        <is>
          <t>Cultura</t>
        </is>
      </c>
      <c r="D143" t="inlineStr">
        <is>
          <t>3301</t>
        </is>
      </c>
      <c r="E143" t="inlineStr">
        <is>
          <t>Promoción y acceso efectivo a procesos culturales y artísticos</t>
        </is>
      </c>
      <c r="F143" t="inlineStr">
        <is>
          <t>3301085</t>
        </is>
      </c>
      <c r="G143" t="inlineStr">
        <is>
          <t>Servicios bibliotecarios</t>
        </is>
      </c>
      <c r="H143" t="inlineStr">
        <is>
          <t>330108500</t>
        </is>
      </c>
      <c r="I143" t="inlineStr">
        <is>
          <t>Usuarios atendidos</t>
        </is>
      </c>
      <c r="J143" t="inlineStr">
        <is>
          <t>2024258990056</t>
        </is>
      </c>
      <c r="K143" t="inlineStr">
        <is>
          <t>No</t>
        </is>
      </c>
      <c r="L143" t="inlineStr">
        <is>
          <t>Número</t>
        </is>
      </c>
      <c r="M143">
        <v>2</v>
      </c>
      <c r="N143">
        <v>0.5</v>
      </c>
      <c r="O143">
        <v>0.5</v>
      </c>
      <c r="P143">
        <v>0.5</v>
      </c>
      <c r="Q143">
        <v>0.5</v>
      </c>
      <c r="R143">
        <v>0</v>
      </c>
      <c r="S143" s="103">
        <v>0</v>
      </c>
      <c r="T143" t="inlineStr">
        <is>
          <t>No se ejecutó en la vigencia</t>
        </is>
      </c>
      <c r="U143" t="inlineStr">
        <is>
          <t xml:space="preserve"> </t>
        </is>
      </c>
      <c r="V143" s="104" t="inlineStr">
        <is>
          <t xml:space="preserve"> </t>
        </is>
      </c>
      <c r="W143" t="inlineStr">
        <is>
          <t>No se encontró ejecución en PIIP</t>
        </is>
      </c>
    </row>
    <row r="144">
      <c r="A144" t="inlineStr">
        <is>
          <t>IP-257, IP-58</t>
        </is>
      </c>
      <c r="B144" t="inlineStr">
        <is>
          <t>33</t>
        </is>
      </c>
      <c r="C144" t="inlineStr">
        <is>
          <t>Cultura</t>
        </is>
      </c>
      <c r="D144" t="inlineStr">
        <is>
          <t>3301</t>
        </is>
      </c>
      <c r="E144" t="inlineStr">
        <is>
          <t>Promoción y acceso efectivo a procesos culturales y artísticos</t>
        </is>
      </c>
      <c r="F144" t="inlineStr">
        <is>
          <t>3301043</t>
        </is>
      </c>
      <c r="G144" t="inlineStr">
        <is>
          <t>Museos adecuados</t>
        </is>
      </c>
      <c r="H144" t="inlineStr">
        <is>
          <t>330104300</t>
        </is>
      </c>
      <c r="I144" t="inlineStr">
        <is>
          <t>Museos adecuados</t>
        </is>
      </c>
      <c r="J144" t="inlineStr">
        <is>
          <t>2024258990056</t>
        </is>
      </c>
      <c r="K144" t="inlineStr">
        <is>
          <t>No</t>
        </is>
      </c>
      <c r="L144" t="inlineStr">
        <is>
          <t>Número</t>
        </is>
      </c>
      <c r="M144">
        <v>2</v>
      </c>
      <c r="N144">
        <v>0</v>
      </c>
      <c r="O144">
        <v>0</v>
      </c>
      <c r="P144">
        <v>1</v>
      </c>
      <c r="Q144">
        <v>1</v>
      </c>
      <c r="R144">
        <v>0</v>
      </c>
      <c r="S144" s="103" t="inlineStr">
        <is>
          <t xml:space="preserve"> </t>
        </is>
      </c>
      <c r="T144" t="inlineStr">
        <is>
          <t>No se programó ni ejecutó en la vigencia</t>
        </is>
      </c>
      <c r="U144">
        <v>0</v>
      </c>
      <c r="V144" s="104" t="inlineStr">
        <is>
          <t xml:space="preserve"> </t>
        </is>
      </c>
      <c r="W144" t="inlineStr">
        <is>
          <t>No se programó ni ejecutó en la vigencia</t>
        </is>
      </c>
    </row>
    <row r="145">
      <c r="A145" t="inlineStr">
        <is>
          <t>IP-258, IP-59</t>
        </is>
      </c>
      <c r="B145" t="inlineStr">
        <is>
          <t>33</t>
        </is>
      </c>
      <c r="C145" t="inlineStr">
        <is>
          <t>Cultura</t>
        </is>
      </c>
      <c r="D145" t="inlineStr">
        <is>
          <t>3302</t>
        </is>
      </c>
      <c r="E145" t="inlineStr">
        <is>
          <t>Gestión, protección y salvaguardia del patrimonio cultural colombiano</t>
        </is>
      </c>
      <c r="F145" t="inlineStr">
        <is>
          <t>3302002</t>
        </is>
      </c>
      <c r="G145" t="inlineStr">
        <is>
          <t>Documentos de lineamientos técnicos</t>
        </is>
      </c>
      <c r="H145" t="inlineStr">
        <is>
          <t>330200202</t>
        </is>
      </c>
      <c r="I145" t="inlineStr">
        <is>
          <t>Documentos técnicos sobre el patrimonio material e inmaterial</t>
        </is>
      </c>
      <c r="J145" t="inlineStr">
        <is>
          <t>2024258990057</t>
        </is>
      </c>
      <c r="K145" t="inlineStr">
        <is>
          <t>No</t>
        </is>
      </c>
      <c r="L145" t="inlineStr">
        <is>
          <t>Número</t>
        </is>
      </c>
      <c r="M145">
        <v>4</v>
      </c>
      <c r="N145">
        <v>0</v>
      </c>
      <c r="O145">
        <v>2</v>
      </c>
      <c r="P145">
        <v>2</v>
      </c>
      <c r="Q145">
        <v>0</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IP-259, IP-60</t>
        </is>
      </c>
      <c r="B146" t="inlineStr">
        <is>
          <t>33</t>
        </is>
      </c>
      <c r="C146" t="inlineStr">
        <is>
          <t>Cultura</t>
        </is>
      </c>
      <c r="D146" t="inlineStr">
        <is>
          <t>3302</t>
        </is>
      </c>
      <c r="E146" t="inlineStr">
        <is>
          <t>Gestión, protección y salvaguardia del patrimonio cultural colombiano</t>
        </is>
      </c>
      <c r="F146" t="inlineStr">
        <is>
          <t>3302001</t>
        </is>
      </c>
      <c r="G146" t="inlineStr">
        <is>
          <t>Documentos Investigación</t>
        </is>
      </c>
      <c r="H146" t="inlineStr">
        <is>
          <t>330200100</t>
        </is>
      </c>
      <c r="I146" t="inlineStr">
        <is>
          <t>Documentos de investigación realizados</t>
        </is>
      </c>
      <c r="J146" t="inlineStr">
        <is>
          <t>2024258990057</t>
        </is>
      </c>
      <c r="K146" t="inlineStr">
        <is>
          <t>No</t>
        </is>
      </c>
      <c r="L146" t="inlineStr">
        <is>
          <t>Número</t>
        </is>
      </c>
      <c r="M146">
        <v>8</v>
      </c>
      <c r="N146">
        <v>2</v>
      </c>
      <c r="O146">
        <v>2</v>
      </c>
      <c r="P146">
        <v>2</v>
      </c>
      <c r="Q146">
        <v>2</v>
      </c>
      <c r="R146">
        <v>0</v>
      </c>
      <c r="S146" s="103">
        <v>0</v>
      </c>
      <c r="T146" t="inlineStr">
        <is>
          <t>No se ejecutó en la vigencia</t>
        </is>
      </c>
      <c r="U146">
        <v>2.03</v>
      </c>
      <c r="V146" s="104">
        <v>1.015</v>
      </c>
      <c r="W146" t="inlineStr">
        <is>
          <t>Hubo ejecución por encima de lo programado en SisPT</t>
        </is>
      </c>
    </row>
    <row r="147">
      <c r="A147" t="inlineStr">
        <is>
          <t>IP-260, IP-61</t>
        </is>
      </c>
      <c r="B147" t="inlineStr">
        <is>
          <t>33</t>
        </is>
      </c>
      <c r="C147" t="inlineStr">
        <is>
          <t>Cultura</t>
        </is>
      </c>
      <c r="D147" t="inlineStr">
        <is>
          <t>3302</t>
        </is>
      </c>
      <c r="E147" t="inlineStr">
        <is>
          <t>Gestión, protección y salvaguardia del patrimonio cultural colombiano</t>
        </is>
      </c>
      <c r="F147" t="inlineStr">
        <is>
          <t>3302073</t>
        </is>
      </c>
      <c r="G147" t="inlineStr">
        <is>
          <t>Servicios de restauración del patrimonio cultural material inmueble</t>
        </is>
      </c>
      <c r="H147" t="inlineStr">
        <is>
          <t>330207300</t>
        </is>
      </c>
      <c r="I147" t="inlineStr">
        <is>
          <t>Restauraciones realizadas</t>
        </is>
      </c>
      <c r="J147" t="inlineStr">
        <is>
          <t>2024258990057</t>
        </is>
      </c>
      <c r="K147" t="inlineStr">
        <is>
          <t>Si</t>
        </is>
      </c>
      <c r="L147" t="inlineStr">
        <is>
          <t>Número</t>
        </is>
      </c>
      <c r="M147">
        <v>14</v>
      </c>
      <c r="N147">
        <v>2</v>
      </c>
      <c r="O147">
        <v>8</v>
      </c>
      <c r="P147">
        <v>10</v>
      </c>
      <c r="Q147">
        <v>14</v>
      </c>
      <c r="R147" t="inlineStr">
        <is>
          <t xml:space="preserve"> </t>
        </is>
      </c>
      <c r="S147" s="103" t="inlineStr">
        <is>
          <t xml:space="preserve"> </t>
        </is>
      </c>
      <c r="T147" t="inlineStr">
        <is>
          <t>No se encontró ejecución en PIIP</t>
        </is>
      </c>
      <c r="U147" t="inlineStr">
        <is>
          <t xml:space="preserve"> </t>
        </is>
      </c>
      <c r="V147" s="104" t="inlineStr">
        <is>
          <t xml:space="preserve"> </t>
        </is>
      </c>
      <c r="W147" t="inlineStr">
        <is>
          <t>No se encontró ejecución en PIIP</t>
        </is>
      </c>
    </row>
    <row r="148">
      <c r="A148" t="inlineStr">
        <is>
          <t>IP-261, IP-62</t>
        </is>
      </c>
      <c r="B148" t="inlineStr">
        <is>
          <t>33</t>
        </is>
      </c>
      <c r="C148" t="inlineStr">
        <is>
          <t>Cultura</t>
        </is>
      </c>
      <c r="D148" t="inlineStr">
        <is>
          <t>3302</t>
        </is>
      </c>
      <c r="E148" t="inlineStr">
        <is>
          <t>Gestión, protección y salvaguardia del patrimonio cultural colombiano</t>
        </is>
      </c>
      <c r="F148" t="inlineStr">
        <is>
          <t>3302019</t>
        </is>
      </c>
      <c r="G148" t="inlineStr">
        <is>
          <t>Servicio de educación informal a Vigías del Patrimonio</t>
        </is>
      </c>
      <c r="H148" t="inlineStr">
        <is>
          <t>330201901</t>
        </is>
      </c>
      <c r="I148" t="inlineStr">
        <is>
          <t>Personas capacitadas</t>
        </is>
      </c>
      <c r="J148" t="inlineStr">
        <is>
          <t>2024258990057</t>
        </is>
      </c>
      <c r="K148" t="inlineStr">
        <is>
          <t>No</t>
        </is>
      </c>
      <c r="L148" t="inlineStr">
        <is>
          <t>Número</t>
        </is>
      </c>
      <c r="M148">
        <v>6</v>
      </c>
      <c r="N148">
        <v>0</v>
      </c>
      <c r="O148">
        <v>2</v>
      </c>
      <c r="P148">
        <v>2</v>
      </c>
      <c r="Q148">
        <v>2</v>
      </c>
      <c r="R148" t="inlineStr">
        <is>
          <t xml:space="preserve"> </t>
        </is>
      </c>
      <c r="S148" s="103" t="inlineStr">
        <is>
          <t xml:space="preserve"> </t>
        </is>
      </c>
      <c r="T148" t="inlineStr">
        <is>
          <t>No se encontró ejecución en PIIP</t>
        </is>
      </c>
      <c r="U148" t="inlineStr">
        <is>
          <t xml:space="preserve"> </t>
        </is>
      </c>
      <c r="V148" s="104" t="inlineStr">
        <is>
          <t xml:space="preserve"> </t>
        </is>
      </c>
      <c r="W148" t="inlineStr">
        <is>
          <t>No se encontró ejecución en PIIP</t>
        </is>
      </c>
    </row>
    <row r="149">
      <c r="A149" t="inlineStr">
        <is>
          <t>IP-262, IP-63</t>
        </is>
      </c>
      <c r="B149" t="inlineStr">
        <is>
          <t>33</t>
        </is>
      </c>
      <c r="C149" t="inlineStr">
        <is>
          <t>Cultura</t>
        </is>
      </c>
      <c r="D149" t="inlineStr">
        <is>
          <t>3302</t>
        </is>
      </c>
      <c r="E149" t="inlineStr">
        <is>
          <t>Gestión, protección y salvaguardia del patrimonio cultural colombiano</t>
        </is>
      </c>
      <c r="F149" t="inlineStr">
        <is>
          <t>3302049</t>
        </is>
      </c>
      <c r="G149" t="inlineStr">
        <is>
          <t>Servicio de salvaguardia al patrimonio inmaterial</t>
        </is>
      </c>
      <c r="H149" t="inlineStr">
        <is>
          <t>330204900</t>
        </is>
      </c>
      <c r="I149" t="inlineStr">
        <is>
          <t>Procesos de salvaguardia efectiva del patrimonio inmaterial realizados</t>
        </is>
      </c>
      <c r="J149" t="inlineStr">
        <is>
          <t>2024258990057</t>
        </is>
      </c>
      <c r="K149" t="inlineStr">
        <is>
          <t>Si</t>
        </is>
      </c>
      <c r="L149" t="inlineStr">
        <is>
          <t>Número</t>
        </is>
      </c>
      <c r="M149">
        <v>2</v>
      </c>
      <c r="N149">
        <v>2</v>
      </c>
      <c r="O149">
        <v>2</v>
      </c>
      <c r="P149">
        <v>2</v>
      </c>
      <c r="Q149">
        <v>2</v>
      </c>
      <c r="R149" t="inlineStr">
        <is>
          <t xml:space="preserve"> </t>
        </is>
      </c>
      <c r="S149" s="103" t="inlineStr">
        <is>
          <t xml:space="preserve"> </t>
        </is>
      </c>
      <c r="T149" t="inlineStr">
        <is>
          <t>No se encontró ejecución en PIIP</t>
        </is>
      </c>
      <c r="U149" t="inlineStr">
        <is>
          <t xml:space="preserve"> </t>
        </is>
      </c>
      <c r="V149" s="104" t="inlineStr">
        <is>
          <t xml:space="preserve"> </t>
        </is>
      </c>
      <c r="W149" t="inlineStr">
        <is>
          <t>No se encontró ejecución en PIIP</t>
        </is>
      </c>
    </row>
    <row r="150">
      <c r="A150" t="inlineStr">
        <is>
          <t>IP-263, IP-64</t>
        </is>
      </c>
      <c r="B150" t="inlineStr">
        <is>
          <t>33</t>
        </is>
      </c>
      <c r="C150" t="inlineStr">
        <is>
          <t>Cultura</t>
        </is>
      </c>
      <c r="D150" t="inlineStr">
        <is>
          <t>3302</t>
        </is>
      </c>
      <c r="E150" t="inlineStr">
        <is>
          <t>Gestión, protección y salvaguardia del patrimonio cultural colombiano</t>
        </is>
      </c>
      <c r="F150" t="inlineStr">
        <is>
          <t>3302004</t>
        </is>
      </c>
      <c r="G150" t="inlineStr">
        <is>
          <t>Servicio de exposiciones</t>
        </is>
      </c>
      <c r="H150" t="inlineStr">
        <is>
          <t>330200400</t>
        </is>
      </c>
      <c r="I150" t="inlineStr">
        <is>
          <t>Exposiciones realizadas</t>
        </is>
      </c>
      <c r="J150" t="inlineStr">
        <is>
          <t>2024258990057</t>
        </is>
      </c>
      <c r="K150" t="inlineStr">
        <is>
          <t>No</t>
        </is>
      </c>
      <c r="L150" t="inlineStr">
        <is>
          <t>Número</t>
        </is>
      </c>
      <c r="M150">
        <v>2</v>
      </c>
      <c r="N150">
        <v>0</v>
      </c>
      <c r="O150">
        <v>0.66</v>
      </c>
      <c r="P150">
        <v>0.66</v>
      </c>
      <c r="Q150">
        <v>0.68</v>
      </c>
      <c r="R150">
        <v>0</v>
      </c>
      <c r="S150" s="103" t="inlineStr">
        <is>
          <t xml:space="preserve"> </t>
        </is>
      </c>
      <c r="T150" t="inlineStr">
        <is>
          <t>No se programó ni ejecutó en la vigencia</t>
        </is>
      </c>
      <c r="U150">
        <v>0</v>
      </c>
      <c r="V150" s="104">
        <v>0</v>
      </c>
      <c r="W150" t="inlineStr">
        <is>
          <t>No se ejecutó en la vigencia</t>
        </is>
      </c>
    </row>
    <row r="151">
      <c r="A151" t="inlineStr">
        <is>
          <t>IP-264, IP-65</t>
        </is>
      </c>
      <c r="B151" t="inlineStr">
        <is>
          <t>43</t>
        </is>
      </c>
      <c r="C151" t="inlineStr">
        <is>
          <t>Deporte y Recreación</t>
        </is>
      </c>
      <c r="D151" t="inlineStr">
        <is>
          <t>4302</t>
        </is>
      </c>
      <c r="E151" t="inlineStr">
        <is>
          <t>Formación y preparación de deportistas</t>
        </is>
      </c>
      <c r="F151" t="inlineStr">
        <is>
          <t>4302006</t>
        </is>
      </c>
      <c r="G151" t="inlineStr">
        <is>
          <t>Documentos de planeación</t>
        </is>
      </c>
      <c r="H151" t="inlineStr">
        <is>
          <t>430200600</t>
        </is>
      </c>
      <c r="I151" t="inlineStr">
        <is>
          <t>Documentos de planeación realizados</t>
        </is>
      </c>
      <c r="J151" t="inlineStr">
        <is>
          <t>2024258990059</t>
        </is>
      </c>
      <c r="K151" t="inlineStr">
        <is>
          <t>Si</t>
        </is>
      </c>
      <c r="L151" t="inlineStr">
        <is>
          <t>Número</t>
        </is>
      </c>
      <c r="M151">
        <v>8</v>
      </c>
      <c r="N151">
        <v>8</v>
      </c>
      <c r="O151">
        <v>8</v>
      </c>
      <c r="P151">
        <v>8</v>
      </c>
      <c r="Q151">
        <v>8</v>
      </c>
      <c r="R151" t="inlineStr">
        <is>
          <t xml:space="preserve"> </t>
        </is>
      </c>
      <c r="S151" s="103" t="inlineStr">
        <is>
          <t xml:space="preserve"> </t>
        </is>
      </c>
      <c r="T151" t="inlineStr">
        <is>
          <t>No se encontró ejecución en PIIP</t>
        </is>
      </c>
      <c r="U151" t="inlineStr">
        <is>
          <t xml:space="preserve"> </t>
        </is>
      </c>
      <c r="V151" s="104" t="inlineStr">
        <is>
          <t xml:space="preserve"> </t>
        </is>
      </c>
      <c r="W151" t="inlineStr">
        <is>
          <t>No se encontró ejecución en PIIP</t>
        </is>
      </c>
    </row>
    <row r="152">
      <c r="A152" t="inlineStr">
        <is>
          <t>IP-265, IP-66</t>
        </is>
      </c>
      <c r="B152" t="inlineStr">
        <is>
          <t>43</t>
        </is>
      </c>
      <c r="C152" t="inlineStr">
        <is>
          <t>Deporte y Recreación</t>
        </is>
      </c>
      <c r="D152" t="inlineStr">
        <is>
          <t>4302</t>
        </is>
      </c>
      <c r="E152" t="inlineStr">
        <is>
          <t>Formación y preparación de deportistas</t>
        </is>
      </c>
      <c r="F152" t="inlineStr">
        <is>
          <t>4302075</t>
        </is>
      </c>
      <c r="G152" t="inlineStr">
        <is>
          <t>Servicio de asistencia técnica para la promoción del deporte</t>
        </is>
      </c>
      <c r="H152" t="inlineStr">
        <is>
          <t>430207501</t>
        </is>
      </c>
      <c r="I152" t="inlineStr">
        <is>
          <t>Asistencias técnicas realizadas a los organismos deportivos</t>
        </is>
      </c>
      <c r="J152" t="inlineStr">
        <is>
          <t>2024258990059</t>
        </is>
      </c>
      <c r="K152" t="inlineStr">
        <is>
          <t>Si</t>
        </is>
      </c>
      <c r="L152" t="inlineStr">
        <is>
          <t>Número</t>
        </is>
      </c>
      <c r="M152">
        <v>160</v>
      </c>
      <c r="N152">
        <v>160</v>
      </c>
      <c r="O152">
        <v>160</v>
      </c>
      <c r="P152">
        <v>160</v>
      </c>
      <c r="Q152">
        <v>160</v>
      </c>
      <c r="R152" t="inlineStr">
        <is>
          <t xml:space="preserve"> </t>
        </is>
      </c>
      <c r="S152" s="103" t="inlineStr">
        <is>
          <t xml:space="preserve"> </t>
        </is>
      </c>
      <c r="T152" t="inlineStr">
        <is>
          <t>No se encontró ejecución en PIIP</t>
        </is>
      </c>
      <c r="U152" t="inlineStr">
        <is>
          <t xml:space="preserve"> </t>
        </is>
      </c>
      <c r="V152" s="104" t="inlineStr">
        <is>
          <t xml:space="preserve"> </t>
        </is>
      </c>
      <c r="W152" t="inlineStr">
        <is>
          <t>No se encontró ejecución en PIIP</t>
        </is>
      </c>
    </row>
    <row r="153">
      <c r="A153" t="inlineStr">
        <is>
          <t>IP-266, IP-67</t>
        </is>
      </c>
      <c r="B153" t="inlineStr">
        <is>
          <t>43</t>
        </is>
      </c>
      <c r="C153" t="inlineStr">
        <is>
          <t>Deporte y Recreación</t>
        </is>
      </c>
      <c r="D153" t="inlineStr">
        <is>
          <t>4301</t>
        </is>
      </c>
      <c r="E153" t="inlineStr">
        <is>
          <t>Fomento a la recreación, la actividad física y el deporte para desarrollar entornos de convivencia y paz</t>
        </is>
      </c>
      <c r="F153" t="inlineStr">
        <is>
          <t>4301003</t>
        </is>
      </c>
      <c r="G153" t="inlineStr">
        <is>
          <t>Servicio de administración de la infraestructura deportiva</t>
        </is>
      </c>
      <c r="H153" t="inlineStr">
        <is>
          <t>430100302</t>
        </is>
      </c>
      <c r="I153" t="inlineStr">
        <is>
          <t>Eventos  realizados en la infraestructura deportiva</t>
        </is>
      </c>
      <c r="J153" t="inlineStr">
        <is>
          <t>2024258990058</t>
        </is>
      </c>
      <c r="K153" t="inlineStr">
        <is>
          <t>No</t>
        </is>
      </c>
      <c r="L153" t="inlineStr">
        <is>
          <t>Número</t>
        </is>
      </c>
      <c r="M153">
        <v>8</v>
      </c>
      <c r="N153">
        <v>2</v>
      </c>
      <c r="O153">
        <v>2</v>
      </c>
      <c r="P153">
        <v>2</v>
      </c>
      <c r="Q153">
        <v>2</v>
      </c>
      <c r="R153">
        <v>3</v>
      </c>
      <c r="S153" s="103">
        <v>1.5</v>
      </c>
      <c r="T153" t="inlineStr">
        <is>
          <t>Hubo ejecución por encima de lo programado en SisPT</t>
        </is>
      </c>
      <c r="U153">
        <v>1.32</v>
      </c>
      <c r="V153" s="104">
        <v>0.66</v>
      </c>
      <c r="W153" t="inlineStr">
        <is>
          <t>Lo ejecutado está por debajo de lo programado en la vigencia</t>
        </is>
      </c>
    </row>
    <row r="154">
      <c r="A154" t="inlineStr">
        <is>
          <t>IP-267, IP-279, IP-68, IP-80</t>
        </is>
      </c>
      <c r="B154" t="inlineStr">
        <is>
          <t>43</t>
        </is>
      </c>
      <c r="C154" t="inlineStr">
        <is>
          <t>Deporte y Recreación</t>
        </is>
      </c>
      <c r="D154" t="inlineStr">
        <is>
          <t>4302</t>
        </is>
      </c>
      <c r="E154" t="inlineStr">
        <is>
          <t>Formación y preparación de deportistas</t>
        </is>
      </c>
      <c r="F154" t="inlineStr">
        <is>
          <t>4302004</t>
        </is>
      </c>
      <c r="G154" t="inlineStr">
        <is>
          <t>Servicio de organización de eventos deportivos de alto rendimiento</t>
        </is>
      </c>
      <c r="H154" t="inlineStr">
        <is>
          <t>430200400</t>
        </is>
      </c>
      <c r="I154" t="inlineStr">
        <is>
          <t xml:space="preserve">Deportistas que participan en eventos deportivos de alto rendimiento con sede en Colombia </t>
        </is>
      </c>
      <c r="J154" t="inlineStr">
        <is>
          <t>2024258990059</t>
        </is>
      </c>
      <c r="K154" t="inlineStr">
        <is>
          <t>Si</t>
        </is>
      </c>
      <c r="L154" t="inlineStr">
        <is>
          <t>Número</t>
        </is>
      </c>
      <c r="M154">
        <v>504</v>
      </c>
      <c r="N154">
        <v>418</v>
      </c>
      <c r="O154">
        <v>446</v>
      </c>
      <c r="P154">
        <v>474</v>
      </c>
      <c r="Q154">
        <v>504</v>
      </c>
      <c r="R154" t="inlineStr">
        <is>
          <t xml:space="preserve"> </t>
        </is>
      </c>
      <c r="S154" s="103" t="inlineStr">
        <is>
          <t xml:space="preserve"> </t>
        </is>
      </c>
      <c r="T154" t="inlineStr">
        <is>
          <t>No se encontró ejecución en PIIP</t>
        </is>
      </c>
      <c r="U154" t="inlineStr">
        <is>
          <t xml:space="preserve"> </t>
        </is>
      </c>
      <c r="V154" s="104" t="inlineStr">
        <is>
          <t xml:space="preserve"> </t>
        </is>
      </c>
      <c r="W154" t="inlineStr">
        <is>
          <t>No se encontró ejecución en PIIP</t>
        </is>
      </c>
    </row>
    <row r="155">
      <c r="A155" t="inlineStr">
        <is>
          <t>IP-268, IP-69</t>
        </is>
      </c>
      <c r="B155" t="inlineStr">
        <is>
          <t>43</t>
        </is>
      </c>
      <c r="C155" t="inlineStr">
        <is>
          <t>Deporte y Recreación</t>
        </is>
      </c>
      <c r="D155" t="inlineStr">
        <is>
          <t>4301</t>
        </is>
      </c>
      <c r="E155" t="inlineStr">
        <is>
          <t>Fomento a la recreación, la actividad física y el deporte para desarrollar entornos de convivencia y paz</t>
        </is>
      </c>
      <c r="F155" t="inlineStr">
        <is>
          <t>4301007</t>
        </is>
      </c>
      <c r="G155" t="inlineStr">
        <is>
          <t>Servicio de Escuelas Deportivas</t>
        </is>
      </c>
      <c r="H155" t="inlineStr">
        <is>
          <t>430100700</t>
        </is>
      </c>
      <c r="I155" t="inlineStr">
        <is>
          <t>Niños, niñas, adolescentes y jóvenes inscritos en Escuelas Deportivas</t>
        </is>
      </c>
      <c r="J155" t="inlineStr">
        <is>
          <t>2024258990058</t>
        </is>
      </c>
      <c r="K155" t="inlineStr">
        <is>
          <t>Si</t>
        </is>
      </c>
      <c r="L155" t="inlineStr">
        <is>
          <t>Número</t>
        </is>
      </c>
      <c r="M155">
        <v>12000</v>
      </c>
      <c r="N155">
        <v>9416</v>
      </c>
      <c r="O155">
        <v>10278</v>
      </c>
      <c r="P155">
        <v>11138</v>
      </c>
      <c r="Q155">
        <v>12000</v>
      </c>
      <c r="R155" t="inlineStr">
        <is>
          <t xml:space="preserve"> </t>
        </is>
      </c>
      <c r="S155" s="103" t="inlineStr">
        <is>
          <t xml:space="preserve"> </t>
        </is>
      </c>
      <c r="T155" t="inlineStr">
        <is>
          <t>No se encontró ejecución en PIIP</t>
        </is>
      </c>
      <c r="U155" t="inlineStr">
        <is>
          <t xml:space="preserve"> </t>
        </is>
      </c>
      <c r="V155" s="104" t="inlineStr">
        <is>
          <t xml:space="preserve"> </t>
        </is>
      </c>
      <c r="W155" t="inlineStr">
        <is>
          <t>No se encontró ejecución en PIIP</t>
        </is>
      </c>
    </row>
    <row r="156">
      <c r="A156" t="inlineStr">
        <is>
          <t>IP-269, IP-272, IP-70, IP-73</t>
        </is>
      </c>
      <c r="B156" t="inlineStr">
        <is>
          <t>43</t>
        </is>
      </c>
      <c r="C156" t="inlineStr">
        <is>
          <t>Deporte y Recreación</t>
        </is>
      </c>
      <c r="D156" t="inlineStr">
        <is>
          <t>4301</t>
        </is>
      </c>
      <c r="E156" t="inlineStr">
        <is>
          <t>Fomento a la recreación, la actividad física y el deporte para desarrollar entornos de convivencia y paz</t>
        </is>
      </c>
      <c r="F156" t="inlineStr">
        <is>
          <t>4301007</t>
        </is>
      </c>
      <c r="G156" t="inlineStr">
        <is>
          <t>Servicio de Escuelas Deportivas</t>
        </is>
      </c>
      <c r="H156" t="inlineStr">
        <is>
          <t>430100702</t>
        </is>
      </c>
      <c r="I156" t="inlineStr">
        <is>
          <t>Escuelas deportivas implementadas</t>
        </is>
      </c>
      <c r="J156" t="inlineStr">
        <is>
          <t>2024258990058</t>
        </is>
      </c>
      <c r="K156" t="inlineStr">
        <is>
          <t>Si</t>
        </is>
      </c>
      <c r="L156" t="inlineStr">
        <is>
          <t>Número</t>
        </is>
      </c>
      <c r="M156">
        <v>146</v>
      </c>
      <c r="N156">
        <v>94</v>
      </c>
      <c r="O156">
        <v>110</v>
      </c>
      <c r="P156">
        <v>128</v>
      </c>
      <c r="Q156">
        <v>146</v>
      </c>
      <c r="R156" t="inlineStr">
        <is>
          <t xml:space="preserve"> </t>
        </is>
      </c>
      <c r="S156" s="103" t="inlineStr">
        <is>
          <t xml:space="preserve"> </t>
        </is>
      </c>
      <c r="T156" t="inlineStr">
        <is>
          <t>No se encontró ejecución en PIIP</t>
        </is>
      </c>
      <c r="U156" t="inlineStr">
        <is>
          <t xml:space="preserve"> </t>
        </is>
      </c>
      <c r="V156" s="104" t="inlineStr">
        <is>
          <t xml:space="preserve"> </t>
        </is>
      </c>
      <c r="W156" t="inlineStr">
        <is>
          <t>No se encontró ejecución en PIIP</t>
        </is>
      </c>
    </row>
    <row r="157">
      <c r="A157" t="inlineStr">
        <is>
          <t>IP-270, IP-71</t>
        </is>
      </c>
      <c r="B157" t="inlineStr">
        <is>
          <t>43</t>
        </is>
      </c>
      <c r="C157" t="inlineStr">
        <is>
          <t>Deporte y Recreación</t>
        </is>
      </c>
      <c r="D157" t="inlineStr">
        <is>
          <t>4301</t>
        </is>
      </c>
      <c r="E157" t="inlineStr">
        <is>
          <t>Fomento a la recreación, la actividad física y el deporte para desarrollar entornos de convivencia y paz</t>
        </is>
      </c>
      <c r="F157" t="inlineStr">
        <is>
          <t>4301003</t>
        </is>
      </c>
      <c r="G157" t="inlineStr">
        <is>
          <t>Servicio de administración de la infraestructura deportiva</t>
        </is>
      </c>
      <c r="H157" t="inlineStr">
        <is>
          <t>430100302</t>
        </is>
      </c>
      <c r="I157" t="inlineStr">
        <is>
          <t>Eventos  realizados en la infraestructura deportiva</t>
        </is>
      </c>
      <c r="J157" t="inlineStr">
        <is>
          <t>2024258990058</t>
        </is>
      </c>
      <c r="K157" t="inlineStr">
        <is>
          <t>Si</t>
        </is>
      </c>
      <c r="L157" t="inlineStr">
        <is>
          <t>Número</t>
        </is>
      </c>
      <c r="M157">
        <v>280</v>
      </c>
      <c r="N157">
        <v>174</v>
      </c>
      <c r="O157">
        <v>208</v>
      </c>
      <c r="P157">
        <v>244</v>
      </c>
      <c r="Q157">
        <v>280</v>
      </c>
      <c r="R157" t="inlineStr">
        <is>
          <t xml:space="preserve"> </t>
        </is>
      </c>
      <c r="S157" s="103" t="inlineStr">
        <is>
          <t xml:space="preserve"> </t>
        </is>
      </c>
      <c r="T157" t="inlineStr">
        <is>
          <t>No se encontró ejecución en PIIP</t>
        </is>
      </c>
      <c r="U157" t="inlineStr">
        <is>
          <t xml:space="preserve"> </t>
        </is>
      </c>
      <c r="V157" s="104" t="inlineStr">
        <is>
          <t xml:space="preserve"> </t>
        </is>
      </c>
      <c r="W157" t="inlineStr">
        <is>
          <t>No se encontró ejecución en PIIP</t>
        </is>
      </c>
    </row>
    <row r="158">
      <c r="A158" t="inlineStr">
        <is>
          <t>IP-271, IP-72</t>
        </is>
      </c>
      <c r="B158" t="inlineStr">
        <is>
          <t>43</t>
        </is>
      </c>
      <c r="C158" t="inlineStr">
        <is>
          <t>Deporte y Recreación</t>
        </is>
      </c>
      <c r="D158" t="inlineStr">
        <is>
          <t>4302</t>
        </is>
      </c>
      <c r="E158" t="inlineStr">
        <is>
          <t>Formación y preparación de deportistas</t>
        </is>
      </c>
      <c r="F158" t="inlineStr">
        <is>
          <t>4302009</t>
        </is>
      </c>
      <c r="G158" t="inlineStr">
        <is>
          <t>Documentos de lineamientos técnicos</t>
        </is>
      </c>
      <c r="H158" t="inlineStr">
        <is>
          <t>430200900</t>
        </is>
      </c>
      <c r="I158" t="inlineStr">
        <is>
          <t>Documentos de lineamientos técnicos realizados</t>
        </is>
      </c>
      <c r="J158" t="inlineStr">
        <is>
          <t>2024258990059</t>
        </is>
      </c>
      <c r="K158" t="inlineStr">
        <is>
          <t>No</t>
        </is>
      </c>
      <c r="L158" t="inlineStr">
        <is>
          <t>Número</t>
        </is>
      </c>
      <c r="M158">
        <v>8</v>
      </c>
      <c r="N158">
        <v>2</v>
      </c>
      <c r="O158">
        <v>2</v>
      </c>
      <c r="P158">
        <v>2</v>
      </c>
      <c r="Q158">
        <v>2</v>
      </c>
      <c r="R158">
        <v>0</v>
      </c>
      <c r="S158" s="103">
        <v>0</v>
      </c>
      <c r="T158" t="inlineStr">
        <is>
          <t>No se ejecutó en la vigencia</t>
        </is>
      </c>
      <c r="U158">
        <v>1.5</v>
      </c>
      <c r="V158" s="104">
        <v>0.75</v>
      </c>
      <c r="W158" t="inlineStr">
        <is>
          <t>Lo ejecutado está por debajo de lo programado en la vigencia</t>
        </is>
      </c>
    </row>
    <row r="159">
      <c r="A159" t="inlineStr">
        <is>
          <t>IP-273, IP-74</t>
        </is>
      </c>
      <c r="B159" t="inlineStr">
        <is>
          <t>43</t>
        </is>
      </c>
      <c r="C159" t="inlineStr">
        <is>
          <t>Deporte y Recreación</t>
        </is>
      </c>
      <c r="D159" t="inlineStr">
        <is>
          <t>4302</t>
        </is>
      </c>
      <c r="E159" t="inlineStr">
        <is>
          <t>Formación y preparación de deportistas</t>
        </is>
      </c>
      <c r="F159" t="inlineStr">
        <is>
          <t>4302074</t>
        </is>
      </c>
      <c r="G159" t="inlineStr">
        <is>
          <t>Centro de alto rendimiento construido y dotado</t>
        </is>
      </c>
      <c r="H159" t="inlineStr">
        <is>
          <t>430207400</t>
        </is>
      </c>
      <c r="I159" t="inlineStr">
        <is>
          <t>Centro de alto Rendimiento construido y dotado</t>
        </is>
      </c>
      <c r="J159" t="inlineStr">
        <is>
          <t>2024258990059</t>
        </is>
      </c>
      <c r="K159" t="inlineStr">
        <is>
          <t>No</t>
        </is>
      </c>
      <c r="L159" t="inlineStr">
        <is>
          <t>Número</t>
        </is>
      </c>
      <c r="M159">
        <v>2</v>
      </c>
      <c r="N159">
        <v>0</v>
      </c>
      <c r="O159">
        <v>0</v>
      </c>
      <c r="P159">
        <v>2</v>
      </c>
      <c r="Q159">
        <v>0</v>
      </c>
      <c r="R159">
        <v>0</v>
      </c>
      <c r="S159" s="103" t="inlineStr">
        <is>
          <t xml:space="preserve"> </t>
        </is>
      </c>
      <c r="T159" t="inlineStr">
        <is>
          <t>No se programó ni ejecutó en la vigencia</t>
        </is>
      </c>
      <c r="U159" t="inlineStr">
        <is>
          <t xml:space="preserve"> </t>
        </is>
      </c>
      <c r="V159" s="104" t="inlineStr">
        <is>
          <t xml:space="preserve"> </t>
        </is>
      </c>
      <c r="W159" t="inlineStr">
        <is>
          <t>No se encontró ejecución en PIIP</t>
        </is>
      </c>
    </row>
    <row r="160">
      <c r="A160" t="inlineStr">
        <is>
          <t>IP-274, IP-75</t>
        </is>
      </c>
      <c r="B160" t="inlineStr">
        <is>
          <t>43</t>
        </is>
      </c>
      <c r="C160" t="inlineStr">
        <is>
          <t>Deporte y Recreación</t>
        </is>
      </c>
      <c r="D160" t="inlineStr">
        <is>
          <t>4301</t>
        </is>
      </c>
      <c r="E160" t="inlineStr">
        <is>
          <t>Fomento a la recreación, la actividad física y el deporte para desarrollar entornos de convivencia y paz</t>
        </is>
      </c>
      <c r="F160" t="inlineStr">
        <is>
          <t>4301004</t>
        </is>
      </c>
      <c r="G160" t="inlineStr">
        <is>
          <t>Servicio de mantenimiento a la infraestructura deportiva</t>
        </is>
      </c>
      <c r="H160" t="inlineStr">
        <is>
          <t>430100400</t>
        </is>
      </c>
      <c r="I160" t="inlineStr">
        <is>
          <t>Infraestructura deportiva mantenida</t>
        </is>
      </c>
      <c r="J160" t="inlineStr">
        <is>
          <t>2024258990058</t>
        </is>
      </c>
      <c r="K160" t="inlineStr">
        <is>
          <t>No</t>
        </is>
      </c>
      <c r="L160" t="inlineStr">
        <is>
          <t>Número</t>
        </is>
      </c>
      <c r="M160">
        <v>2</v>
      </c>
      <c r="N160">
        <v>0</v>
      </c>
      <c r="O160">
        <v>0.3</v>
      </c>
      <c r="P160">
        <v>0.8</v>
      </c>
      <c r="Q160">
        <v>0.9</v>
      </c>
      <c r="R160">
        <v>11</v>
      </c>
      <c r="S160" s="103" t="inlineStr">
        <is>
          <t xml:space="preserve"> </t>
        </is>
      </c>
      <c r="T160" t="inlineStr">
        <is>
          <t>Se ejecutó un producto no programado en la vigencia</t>
        </is>
      </c>
      <c r="U160">
        <v>1.26</v>
      </c>
      <c r="V160" s="104">
        <v>4.2</v>
      </c>
      <c r="W160" t="inlineStr">
        <is>
          <t>Hubo ejecución por encima de lo programado en SisPT</t>
        </is>
      </c>
    </row>
    <row r="161">
      <c r="A161" t="inlineStr">
        <is>
          <t>IP-275, IP-76</t>
        </is>
      </c>
      <c r="B161" t="inlineStr">
        <is>
          <t>43</t>
        </is>
      </c>
      <c r="C161" t="inlineStr">
        <is>
          <t>Deporte y Recreación</t>
        </is>
      </c>
      <c r="D161" t="inlineStr">
        <is>
          <t>4301</t>
        </is>
      </c>
      <c r="E161" t="inlineStr">
        <is>
          <t>Fomento a la recreación, la actividad física y el deporte para desarrollar entornos de convivencia y paz</t>
        </is>
      </c>
      <c r="F161" t="inlineStr">
        <is>
          <t>4301004</t>
        </is>
      </c>
      <c r="G161" t="inlineStr">
        <is>
          <t>Servicio de mantenimiento a la infraestructura deportiva</t>
        </is>
      </c>
      <c r="H161" t="inlineStr">
        <is>
          <t>430100400</t>
        </is>
      </c>
      <c r="I161" t="inlineStr">
        <is>
          <t>Infraestructura deportiva mantenida</t>
        </is>
      </c>
      <c r="J161" t="inlineStr">
        <is>
          <t>2024258990058</t>
        </is>
      </c>
      <c r="K161" t="inlineStr">
        <is>
          <t>Si</t>
        </is>
      </c>
      <c r="L161" t="inlineStr">
        <is>
          <t>Número</t>
        </is>
      </c>
      <c r="M161">
        <v>92</v>
      </c>
      <c r="N161">
        <v>22</v>
      </c>
      <c r="O161">
        <v>22</v>
      </c>
      <c r="P161">
        <v>24</v>
      </c>
      <c r="Q161">
        <v>24</v>
      </c>
      <c r="R161" t="inlineStr">
        <is>
          <t xml:space="preserve"> </t>
        </is>
      </c>
      <c r="S161" s="103" t="inlineStr">
        <is>
          <t xml:space="preserve"> </t>
        </is>
      </c>
      <c r="T161" t="inlineStr">
        <is>
          <t>No se encontró ejecución en PIIP</t>
        </is>
      </c>
      <c r="U161" t="inlineStr">
        <is>
          <t xml:space="preserve"> </t>
        </is>
      </c>
      <c r="V161" s="104" t="inlineStr">
        <is>
          <t xml:space="preserve"> </t>
        </is>
      </c>
      <c r="W161" t="inlineStr">
        <is>
          <t>No se encontró ejecución en PIIP</t>
        </is>
      </c>
    </row>
    <row r="162">
      <c r="A162" t="inlineStr">
        <is>
          <t>IP-276, IP-77</t>
        </is>
      </c>
      <c r="B162" t="inlineStr">
        <is>
          <t>43</t>
        </is>
      </c>
      <c r="C162" t="inlineStr">
        <is>
          <t>Deporte y Recreación</t>
        </is>
      </c>
      <c r="D162" t="inlineStr">
        <is>
          <t>4302</t>
        </is>
      </c>
      <c r="E162" t="inlineStr">
        <is>
          <t>Formación y preparación de deportistas</t>
        </is>
      </c>
      <c r="F162" t="inlineStr">
        <is>
          <t>4302002</t>
        </is>
      </c>
      <c r="G162" t="inlineStr">
        <is>
          <t>Servicio de apoyo financiero a atletas</t>
        </is>
      </c>
      <c r="H162" t="inlineStr">
        <is>
          <t>430200201</t>
        </is>
      </c>
      <c r="I162" t="inlineStr">
        <is>
          <t>Atletas beneficiados con estímulos financieros</t>
        </is>
      </c>
      <c r="J162" t="inlineStr">
        <is>
          <t>2024258990059</t>
        </is>
      </c>
      <c r="K162" t="inlineStr">
        <is>
          <t>Si</t>
        </is>
      </c>
      <c r="L162" t="inlineStr">
        <is>
          <t>Número</t>
        </is>
      </c>
      <c r="M162">
        <v>120</v>
      </c>
      <c r="N162">
        <v>78</v>
      </c>
      <c r="O162">
        <v>92</v>
      </c>
      <c r="P162">
        <v>106</v>
      </c>
      <c r="Q162">
        <v>120</v>
      </c>
      <c r="R162" t="inlineStr">
        <is>
          <t xml:space="preserve"> </t>
        </is>
      </c>
      <c r="S162" s="103" t="inlineStr">
        <is>
          <t xml:space="preserve"> </t>
        </is>
      </c>
      <c r="T162" t="inlineStr">
        <is>
          <t>No se encontró ejecución en PIIP</t>
        </is>
      </c>
      <c r="U162" t="inlineStr">
        <is>
          <t xml:space="preserve"> </t>
        </is>
      </c>
      <c r="V162" s="104" t="inlineStr">
        <is>
          <t xml:space="preserve"> </t>
        </is>
      </c>
      <c r="W162" t="inlineStr">
        <is>
          <t>No se encontró ejecución en PIIP</t>
        </is>
      </c>
    </row>
    <row r="163">
      <c r="A163" t="inlineStr">
        <is>
          <t>IP-277, IP-78</t>
        </is>
      </c>
      <c r="B163" t="inlineStr">
        <is>
          <t>43</t>
        </is>
      </c>
      <c r="C163" t="inlineStr">
        <is>
          <t>Deporte y Recreación</t>
        </is>
      </c>
      <c r="D163" t="inlineStr">
        <is>
          <t>4302</t>
        </is>
      </c>
      <c r="E163" t="inlineStr">
        <is>
          <t>Formación y preparación de deportistas</t>
        </is>
      </c>
      <c r="F163" t="inlineStr">
        <is>
          <t>4302073</t>
        </is>
      </c>
      <c r="G163" t="inlineStr">
        <is>
          <t>Servicio de identificación de talentos deportivos</t>
        </is>
      </c>
      <c r="H163" t="inlineStr">
        <is>
          <t>430207300</t>
        </is>
      </c>
      <c r="I163" t="inlineStr">
        <is>
          <t>Personas con talento deportivo identificadas</t>
        </is>
      </c>
      <c r="J163" t="inlineStr">
        <is>
          <t>2024258990059</t>
        </is>
      </c>
      <c r="K163" t="inlineStr">
        <is>
          <t>Si</t>
        </is>
      </c>
      <c r="L163" t="inlineStr">
        <is>
          <t>Número</t>
        </is>
      </c>
      <c r="M163">
        <v>10000</v>
      </c>
      <c r="N163">
        <v>3988</v>
      </c>
      <c r="O163">
        <v>5992</v>
      </c>
      <c r="P163">
        <v>7996</v>
      </c>
      <c r="Q163">
        <v>10000</v>
      </c>
      <c r="R163" t="inlineStr">
        <is>
          <t xml:space="preserve"> </t>
        </is>
      </c>
      <c r="S163" s="103" t="inlineStr">
        <is>
          <t xml:space="preserve"> </t>
        </is>
      </c>
      <c r="T163" t="inlineStr">
        <is>
          <t>No se encontró ejecución en PIIP</t>
        </is>
      </c>
      <c r="U163" t="inlineStr">
        <is>
          <t xml:space="preserve"> </t>
        </is>
      </c>
      <c r="V163" s="104" t="inlineStr">
        <is>
          <t xml:space="preserve"> </t>
        </is>
      </c>
      <c r="W163" t="inlineStr">
        <is>
          <t>No se encontró ejecución en PIIP</t>
        </is>
      </c>
    </row>
    <row r="164">
      <c r="A164" t="inlineStr">
        <is>
          <t>IP-278, IP-79</t>
        </is>
      </c>
      <c r="B164" t="inlineStr">
        <is>
          <t>43</t>
        </is>
      </c>
      <c r="C164" t="inlineStr">
        <is>
          <t>Deporte y Recreación</t>
        </is>
      </c>
      <c r="D164" t="inlineStr">
        <is>
          <t>4302</t>
        </is>
      </c>
      <c r="E164" t="inlineStr">
        <is>
          <t>Formación y preparación de deportistas</t>
        </is>
      </c>
      <c r="F164" t="inlineStr">
        <is>
          <t>4302014</t>
        </is>
      </c>
      <c r="G164" t="inlineStr">
        <is>
          <t>Pistas construidas</t>
        </is>
      </c>
      <c r="H164" t="inlineStr">
        <is>
          <t>430201409</t>
        </is>
      </c>
      <c r="I164" t="inlineStr">
        <is>
          <t>Pistas de patinaje construidas</t>
        </is>
      </c>
      <c r="J164" t="inlineStr">
        <is>
          <t>2024258990059</t>
        </is>
      </c>
      <c r="K164" t="inlineStr">
        <is>
          <t>No</t>
        </is>
      </c>
      <c r="L164" t="inlineStr">
        <is>
          <t>Número</t>
        </is>
      </c>
      <c r="M164">
        <v>2</v>
      </c>
      <c r="N164">
        <v>0</v>
      </c>
      <c r="O164">
        <v>0</v>
      </c>
      <c r="P164">
        <v>0</v>
      </c>
      <c r="Q164">
        <v>2</v>
      </c>
      <c r="R164" t="inlineStr">
        <is>
          <t xml:space="preserve"> </t>
        </is>
      </c>
      <c r="S164" s="103" t="inlineStr">
        <is>
          <t xml:space="preserve"> </t>
        </is>
      </c>
      <c r="T164" t="inlineStr">
        <is>
          <t>No se encontró ejecución en PIIP</t>
        </is>
      </c>
      <c r="U164" t="inlineStr">
        <is>
          <t xml:space="preserve"> </t>
        </is>
      </c>
      <c r="V164" s="104" t="inlineStr">
        <is>
          <t xml:space="preserve"> </t>
        </is>
      </c>
      <c r="W164" t="inlineStr">
        <is>
          <t>No se encontró ejecución en PIIP</t>
        </is>
      </c>
    </row>
    <row r="165">
      <c r="A165" t="inlineStr">
        <is>
          <t>IP-280, IP-81</t>
        </is>
      </c>
      <c r="B165" t="inlineStr">
        <is>
          <t>43</t>
        </is>
      </c>
      <c r="C165" t="inlineStr">
        <is>
          <t>Deporte y Recreación</t>
        </is>
      </c>
      <c r="D165" t="inlineStr">
        <is>
          <t>4301</t>
        </is>
      </c>
      <c r="E165" t="inlineStr">
        <is>
          <t>Fomento a la recreación, la actividad física y el deporte para desarrollar entornos de convivencia y paz</t>
        </is>
      </c>
      <c r="F165" t="inlineStr">
        <is>
          <t>4301037</t>
        </is>
      </c>
      <c r="G165" t="inlineStr">
        <is>
          <t>Servicio de promoción de la actividad física, la recreación y el deporte</t>
        </is>
      </c>
      <c r="H165" t="inlineStr">
        <is>
          <t>430103702</t>
        </is>
      </c>
      <c r="I165" t="inlineStr">
        <is>
          <t>Instituciones educativas vinculadas al programa Supérate-Intercolegiados</t>
        </is>
      </c>
      <c r="J165" t="inlineStr">
        <is>
          <t>2024258990058</t>
        </is>
      </c>
      <c r="K165" t="inlineStr">
        <is>
          <t>Si</t>
        </is>
      </c>
      <c r="L165" t="inlineStr">
        <is>
          <t>Número</t>
        </is>
      </c>
      <c r="M165">
        <v>6</v>
      </c>
      <c r="N165">
        <v>6</v>
      </c>
      <c r="O165">
        <v>6</v>
      </c>
      <c r="P165">
        <v>6</v>
      </c>
      <c r="Q165">
        <v>6</v>
      </c>
      <c r="R165" t="inlineStr">
        <is>
          <t xml:space="preserve"> </t>
        </is>
      </c>
      <c r="S165" s="103" t="inlineStr">
        <is>
          <t xml:space="preserve"> </t>
        </is>
      </c>
      <c r="T165" t="inlineStr">
        <is>
          <t>No se encontró ejecución en PIIP</t>
        </is>
      </c>
      <c r="U165" t="inlineStr">
        <is>
          <t xml:space="preserve"> </t>
        </is>
      </c>
      <c r="V165" s="104" t="inlineStr">
        <is>
          <t xml:space="preserve"> </t>
        </is>
      </c>
      <c r="W165" t="inlineStr">
        <is>
          <t>No se encontró ejecución en PIIP</t>
        </is>
      </c>
    </row>
    <row r="166">
      <c r="A166" t="inlineStr">
        <is>
          <t>IP-281, IP-82</t>
        </is>
      </c>
      <c r="B166" t="inlineStr">
        <is>
          <t>43</t>
        </is>
      </c>
      <c r="C166" t="inlineStr">
        <is>
          <t>Deporte y Recreación</t>
        </is>
      </c>
      <c r="D166" t="inlineStr">
        <is>
          <t>4301</t>
        </is>
      </c>
      <c r="E166" t="inlineStr">
        <is>
          <t>Fomento a la recreación, la actividad física y el deporte para desarrollar entornos de convivencia y paz</t>
        </is>
      </c>
      <c r="F166" t="inlineStr">
        <is>
          <t>4301019</t>
        </is>
      </c>
      <c r="G166" t="inlineStr">
        <is>
          <t>Placa deportiva construida</t>
        </is>
      </c>
      <c r="H166" t="inlineStr">
        <is>
          <t>430101900</t>
        </is>
      </c>
      <c r="I166" t="inlineStr">
        <is>
          <t>Placa polideportiva construida</t>
        </is>
      </c>
      <c r="J166" t="inlineStr">
        <is>
          <t>2024258990058</t>
        </is>
      </c>
      <c r="K166" t="inlineStr">
        <is>
          <t>No</t>
        </is>
      </c>
      <c r="L166" t="inlineStr">
        <is>
          <t>Número</t>
        </is>
      </c>
      <c r="M166">
        <v>12</v>
      </c>
      <c r="N166">
        <v>0</v>
      </c>
      <c r="O166">
        <v>0</v>
      </c>
      <c r="P166">
        <v>6</v>
      </c>
      <c r="Q166">
        <v>6</v>
      </c>
      <c r="R166">
        <v>0</v>
      </c>
      <c r="S166" s="103" t="inlineStr">
        <is>
          <t xml:space="preserve"> </t>
        </is>
      </c>
      <c r="T166" t="inlineStr">
        <is>
          <t>No se programó ni ejecutó en la vigencia</t>
        </is>
      </c>
      <c r="U166">
        <v>0</v>
      </c>
      <c r="V166" s="104" t="inlineStr">
        <is>
          <t xml:space="preserve"> </t>
        </is>
      </c>
      <c r="W166" t="inlineStr">
        <is>
          <t>No se programó ni ejecutó en la vigencia</t>
        </is>
      </c>
    </row>
    <row r="167">
      <c r="A167" t="inlineStr">
        <is>
          <t>IP-282, IP-83</t>
        </is>
      </c>
      <c r="B167" t="inlineStr">
        <is>
          <t>43</t>
        </is>
      </c>
      <c r="C167" t="inlineStr">
        <is>
          <t>Deporte y Recreación</t>
        </is>
      </c>
      <c r="D167" t="inlineStr">
        <is>
          <t>4301</t>
        </is>
      </c>
      <c r="E167" t="inlineStr">
        <is>
          <t>Fomento a la recreación, la actividad física y el deporte para desarrollar entornos de convivencia y paz</t>
        </is>
      </c>
      <c r="F167" t="inlineStr">
        <is>
          <t>4301003</t>
        </is>
      </c>
      <c r="G167" t="inlineStr">
        <is>
          <t>Servicio de administración de la infraestructura deportiva</t>
        </is>
      </c>
      <c r="H167" t="inlineStr">
        <is>
          <t>430100300</t>
        </is>
      </c>
      <c r="I167" t="inlineStr">
        <is>
          <t>Infraestructura deportiva en operación</t>
        </is>
      </c>
      <c r="J167" t="inlineStr">
        <is>
          <t>2024258990058</t>
        </is>
      </c>
      <c r="K167" t="inlineStr">
        <is>
          <t>No</t>
        </is>
      </c>
      <c r="L167" t="inlineStr">
        <is>
          <t>Número</t>
        </is>
      </c>
      <c r="M167">
        <v>2</v>
      </c>
      <c r="N167">
        <v>0</v>
      </c>
      <c r="O167">
        <v>0</v>
      </c>
      <c r="P167">
        <v>1</v>
      </c>
      <c r="Q167">
        <v>1</v>
      </c>
      <c r="R167">
        <v>1</v>
      </c>
      <c r="S167" s="103" t="inlineStr">
        <is>
          <t xml:space="preserve"> </t>
        </is>
      </c>
      <c r="T167" t="inlineStr">
        <is>
          <t>Se ejecutó un producto no programado en la vigencia</t>
        </is>
      </c>
      <c r="U167">
        <v>0</v>
      </c>
      <c r="V167" s="104" t="inlineStr">
        <is>
          <t xml:space="preserve"> </t>
        </is>
      </c>
      <c r="W167" t="inlineStr">
        <is>
          <t>No se programó ni ejecutó en la vigencia</t>
        </is>
      </c>
    </row>
    <row r="168">
      <c r="A168" t="inlineStr">
        <is>
          <t>IP-283, IP-284, IP-84, IP-85</t>
        </is>
      </c>
      <c r="B168" t="inlineStr">
        <is>
          <t>43</t>
        </is>
      </c>
      <c r="C168" t="inlineStr">
        <is>
          <t>Deporte y Recreación</t>
        </is>
      </c>
      <c r="D168" t="inlineStr">
        <is>
          <t>4302</t>
        </is>
      </c>
      <c r="E168" t="inlineStr">
        <is>
          <t>Formación y preparación de deportistas</t>
        </is>
      </c>
      <c r="F168" t="inlineStr">
        <is>
          <t>4302063</t>
        </is>
      </c>
      <c r="G168" t="inlineStr">
        <is>
          <t>Servicio de atención al ciudadano</t>
        </is>
      </c>
      <c r="H168" t="inlineStr">
        <is>
          <t>430206300</t>
        </is>
      </c>
      <c r="I168" t="inlineStr">
        <is>
          <t>Personas atendidas</t>
        </is>
      </c>
      <c r="J168" t="inlineStr">
        <is>
          <t>2024258990059</t>
        </is>
      </c>
      <c r="K168" t="inlineStr">
        <is>
          <t>Si</t>
        </is>
      </c>
      <c r="L168" t="inlineStr">
        <is>
          <t>Número</t>
        </is>
      </c>
      <c r="M168">
        <v>4600</v>
      </c>
      <c r="N168">
        <v>2902</v>
      </c>
      <c r="O168">
        <v>3468</v>
      </c>
      <c r="P168">
        <v>3922</v>
      </c>
      <c r="Q168">
        <v>4600</v>
      </c>
      <c r="R168" t="inlineStr">
        <is>
          <t xml:space="preserve"> </t>
        </is>
      </c>
      <c r="S168" s="103" t="inlineStr">
        <is>
          <t xml:space="preserve"> </t>
        </is>
      </c>
      <c r="T168" t="inlineStr">
        <is>
          <t>No se encontró ejecución en PIIP</t>
        </is>
      </c>
      <c r="U168" t="inlineStr">
        <is>
          <t xml:space="preserve"> </t>
        </is>
      </c>
      <c r="V168" s="104" t="inlineStr">
        <is>
          <t xml:space="preserve"> </t>
        </is>
      </c>
      <c r="W168" t="inlineStr">
        <is>
          <t>No se encontró ejecución en PIIP</t>
        </is>
      </c>
    </row>
    <row r="169">
      <c r="A169" t="inlineStr">
        <is>
          <t>IP-285, IP-289, IP-86, IP-90</t>
        </is>
      </c>
      <c r="B169" t="inlineStr">
        <is>
          <t>43</t>
        </is>
      </c>
      <c r="C169" t="inlineStr">
        <is>
          <t>Deporte y Recreación</t>
        </is>
      </c>
      <c r="D169" t="inlineStr">
        <is>
          <t>4301</t>
        </is>
      </c>
      <c r="E169" t="inlineStr">
        <is>
          <t>Fomento a la recreación, la actividad física y el deporte para desarrollar entornos de convivencia y paz</t>
        </is>
      </c>
      <c r="F169" t="inlineStr">
        <is>
          <t>4301038</t>
        </is>
      </c>
      <c r="G169" t="inlineStr">
        <is>
          <t>Servicio de organización de eventos recreativos comunitarios</t>
        </is>
      </c>
      <c r="H169" t="inlineStr">
        <is>
          <t>430103801</t>
        </is>
      </c>
      <c r="I169" t="inlineStr">
        <is>
          <t>Eventos recreativos comunitarios realizados</t>
        </is>
      </c>
      <c r="J169" t="inlineStr">
        <is>
          <t>2024258990058</t>
        </is>
      </c>
      <c r="K169" t="inlineStr">
        <is>
          <t>No</t>
        </is>
      </c>
      <c r="L169" t="inlineStr">
        <is>
          <t>Número</t>
        </is>
      </c>
      <c r="M169">
        <v>24</v>
      </c>
      <c r="N169">
        <v>6</v>
      </c>
      <c r="O169">
        <v>6</v>
      </c>
      <c r="P169">
        <v>6</v>
      </c>
      <c r="Q169">
        <v>6</v>
      </c>
      <c r="R169" t="inlineStr">
        <is>
          <t xml:space="preserve"> </t>
        </is>
      </c>
      <c r="S169" s="103" t="inlineStr">
        <is>
          <t xml:space="preserve"> </t>
        </is>
      </c>
      <c r="T169" t="inlineStr">
        <is>
          <t>No se encontró ejecución en PIIP</t>
        </is>
      </c>
      <c r="U169" t="inlineStr">
        <is>
          <t xml:space="preserve"> </t>
        </is>
      </c>
      <c r="V169" s="104" t="inlineStr">
        <is>
          <t xml:space="preserve"> </t>
        </is>
      </c>
      <c r="W169" t="inlineStr">
        <is>
          <t>No se encontró ejecución en PIIP</t>
        </is>
      </c>
    </row>
    <row r="170">
      <c r="A170" t="inlineStr">
        <is>
          <t>IP-286, IP-287, IP-288, IP-87, IP-88, IP-89</t>
        </is>
      </c>
      <c r="B170" t="inlineStr">
        <is>
          <t>43</t>
        </is>
      </c>
      <c r="C170" t="inlineStr">
        <is>
          <t>Deporte y Recreación</t>
        </is>
      </c>
      <c r="D170" t="inlineStr">
        <is>
          <t>4301</t>
        </is>
      </c>
      <c r="E170" t="inlineStr">
        <is>
          <t>Fomento a la recreación, la actividad física y el deporte para desarrollar entornos de convivencia y paz</t>
        </is>
      </c>
      <c r="F170" t="inlineStr">
        <is>
          <t>4301037</t>
        </is>
      </c>
      <c r="G170" t="inlineStr">
        <is>
          <t>Servicio de promoción de la actividad física, la recreación y el deporte</t>
        </is>
      </c>
      <c r="H170" t="inlineStr">
        <is>
          <t>430103700</t>
        </is>
      </c>
      <c r="I170" t="inlineStr">
        <is>
          <t>Personas que acceden a servicios deportivos, recreativos y de actividad física</t>
        </is>
      </c>
      <c r="J170" t="inlineStr">
        <is>
          <t>2024258990058</t>
        </is>
      </c>
      <c r="K170" t="inlineStr">
        <is>
          <t>Si</t>
        </is>
      </c>
      <c r="L170" t="inlineStr">
        <is>
          <t>Número</t>
        </is>
      </c>
      <c r="M170">
        <v>16000</v>
      </c>
      <c r="N170">
        <v>12232</v>
      </c>
      <c r="O170">
        <v>14820</v>
      </c>
      <c r="P170">
        <v>15408</v>
      </c>
      <c r="Q170">
        <v>16000</v>
      </c>
      <c r="R170" t="inlineStr">
        <is>
          <t xml:space="preserve"> </t>
        </is>
      </c>
      <c r="S170" s="103" t="inlineStr">
        <is>
          <t xml:space="preserve"> </t>
        </is>
      </c>
      <c r="T170" t="inlineStr">
        <is>
          <t>No se encontró ejecución en PIIP</t>
        </is>
      </c>
      <c r="U170" t="inlineStr">
        <is>
          <t xml:space="preserve"> </t>
        </is>
      </c>
      <c r="V170" s="104" t="inlineStr">
        <is>
          <t xml:space="preserve"> </t>
        </is>
      </c>
      <c r="W170" t="inlineStr">
        <is>
          <t>No se encontró ejecución en PIIP</t>
        </is>
      </c>
    </row>
    <row r="171">
      <c r="A171" t="inlineStr">
        <is>
          <t>IP-290, IP-91</t>
        </is>
      </c>
      <c r="B171" t="inlineStr">
        <is>
          <t>43</t>
        </is>
      </c>
      <c r="C171" t="inlineStr">
        <is>
          <t>Deporte y Recreación</t>
        </is>
      </c>
      <c r="D171" t="inlineStr">
        <is>
          <t>4301</t>
        </is>
      </c>
      <c r="E171" t="inlineStr">
        <is>
          <t>Fomento a la recreación, la actividad física y el deporte para desarrollar entornos de convivencia y paz</t>
        </is>
      </c>
      <c r="F171" t="inlineStr">
        <is>
          <t>4301037</t>
        </is>
      </c>
      <c r="G171" t="inlineStr">
        <is>
          <t>Servicio de promoción de la actividad física, la recreación y el deporte</t>
        </is>
      </c>
      <c r="H171" t="inlineStr">
        <is>
          <t>430103705</t>
        </is>
      </c>
      <c r="I171" t="inlineStr">
        <is>
          <t>Sedes educativas apoyadas con programas de fomento</t>
        </is>
      </c>
      <c r="J171" t="inlineStr">
        <is>
          <t>2024258990058</t>
        </is>
      </c>
      <c r="K171" t="inlineStr">
        <is>
          <t>Si</t>
        </is>
      </c>
      <c r="L171" t="inlineStr">
        <is>
          <t>Número</t>
        </is>
      </c>
      <c r="M171">
        <v>2</v>
      </c>
      <c r="N171">
        <v>2</v>
      </c>
      <c r="O171">
        <v>2</v>
      </c>
      <c r="P171">
        <v>2</v>
      </c>
      <c r="Q171">
        <v>2</v>
      </c>
      <c r="R171" t="inlineStr">
        <is>
          <t xml:space="preserve"> </t>
        </is>
      </c>
      <c r="S171" s="103" t="inlineStr">
        <is>
          <t xml:space="preserve"> </t>
        </is>
      </c>
      <c r="T171" t="inlineStr">
        <is>
          <t>No se encontró ejecución en PIIP</t>
        </is>
      </c>
      <c r="U171" t="inlineStr">
        <is>
          <t xml:space="preserve"> </t>
        </is>
      </c>
      <c r="V171" s="104" t="inlineStr">
        <is>
          <t xml:space="preserve"> </t>
        </is>
      </c>
      <c r="W171" t="inlineStr">
        <is>
          <t>No se encontró ejecución en PIIP</t>
        </is>
      </c>
    </row>
    <row r="172">
      <c r="A172" t="inlineStr">
        <is>
          <t>IP-291, IP-92</t>
        </is>
      </c>
      <c r="B172" t="inlineStr">
        <is>
          <t>43</t>
        </is>
      </c>
      <c r="C172" t="inlineStr">
        <is>
          <t>Deporte y Recreación</t>
        </is>
      </c>
      <c r="D172" t="inlineStr">
        <is>
          <t>4302</t>
        </is>
      </c>
      <c r="E172" t="inlineStr">
        <is>
          <t>Formación y preparación de deportistas</t>
        </is>
      </c>
      <c r="F172" t="inlineStr">
        <is>
          <t>4302059</t>
        </is>
      </c>
      <c r="G172" t="inlineStr">
        <is>
          <t>Gimnasios mejorados</t>
        </is>
      </c>
      <c r="H172" t="inlineStr">
        <is>
          <t>430205900</t>
        </is>
      </c>
      <c r="I172" t="inlineStr">
        <is>
          <t>Gimnasios mejorados</t>
        </is>
      </c>
      <c r="J172" t="inlineStr">
        <is>
          <t>2024258990059</t>
        </is>
      </c>
      <c r="K172" t="inlineStr">
        <is>
          <t>No</t>
        </is>
      </c>
      <c r="L172" t="inlineStr">
        <is>
          <t>Número</t>
        </is>
      </c>
      <c r="M172">
        <v>2</v>
      </c>
      <c r="N172">
        <v>0.5</v>
      </c>
      <c r="O172">
        <v>0.5</v>
      </c>
      <c r="P172">
        <v>0.5</v>
      </c>
      <c r="Q172">
        <v>0.5</v>
      </c>
      <c r="R172">
        <v>0</v>
      </c>
      <c r="S172" s="103">
        <v>0</v>
      </c>
      <c r="T172" t="inlineStr">
        <is>
          <t>No se ejecutó en la vigencia</t>
        </is>
      </c>
      <c r="U172" t="inlineStr">
        <is>
          <t xml:space="preserve"> </t>
        </is>
      </c>
      <c r="V172" s="104" t="inlineStr">
        <is>
          <t xml:space="preserve"> </t>
        </is>
      </c>
      <c r="W172" t="inlineStr">
        <is>
          <t>No se encontró ejecución en PIIP</t>
        </is>
      </c>
    </row>
    <row r="173">
      <c r="A173" t="inlineStr">
        <is>
          <t>IP-292, IP-93</t>
        </is>
      </c>
      <c r="B173" t="inlineStr">
        <is>
          <t>45</t>
        </is>
      </c>
      <c r="C173" t="inlineStr">
        <is>
          <t>Gobierno Territorial</t>
        </is>
      </c>
      <c r="D173" t="inlineStr">
        <is>
          <t>4599</t>
        </is>
      </c>
      <c r="E173" t="inlineStr">
        <is>
          <t>Fortalecimiento a la gestión y dirección de la administración pública territorial</t>
        </is>
      </c>
      <c r="F173" t="inlineStr">
        <is>
          <t>4599021</t>
        </is>
      </c>
      <c r="G173" t="inlineStr">
        <is>
          <t>Documentos normativos</t>
        </is>
      </c>
      <c r="H173" t="inlineStr">
        <is>
          <t>459902100</t>
        </is>
      </c>
      <c r="I173" t="inlineStr">
        <is>
          <t>Documentos normativos realizados</t>
        </is>
      </c>
      <c r="J173" t="inlineStr">
        <is>
          <t>2024258990061</t>
        </is>
      </c>
      <c r="K173" t="inlineStr">
        <is>
          <t>No</t>
        </is>
      </c>
      <c r="L173" t="inlineStr">
        <is>
          <t>Número</t>
        </is>
      </c>
      <c r="M173">
        <v>2</v>
      </c>
      <c r="N173">
        <v>0</v>
      </c>
      <c r="O173">
        <v>0.5</v>
      </c>
      <c r="P173">
        <v>1.5</v>
      </c>
      <c r="Q173">
        <v>0</v>
      </c>
      <c r="R173">
        <v>0</v>
      </c>
      <c r="S173" s="103" t="inlineStr">
        <is>
          <t xml:space="preserve"> </t>
        </is>
      </c>
      <c r="T173" t="inlineStr">
        <is>
          <t>No se programó ni ejecutó en la vigencia</t>
        </is>
      </c>
      <c r="U173" t="inlineStr">
        <is>
          <t xml:space="preserve"> </t>
        </is>
      </c>
      <c r="V173" s="104" t="inlineStr">
        <is>
          <t xml:space="preserve"> </t>
        </is>
      </c>
      <c r="W173" t="inlineStr">
        <is>
          <t>No se encontró ejecución en PIIP</t>
        </is>
      </c>
    </row>
    <row r="174">
      <c r="A174" t="inlineStr">
        <is>
          <t>IP-293, IP-94</t>
        </is>
      </c>
      <c r="B174" t="inlineStr">
        <is>
          <t>45</t>
        </is>
      </c>
      <c r="C174" t="inlineStr">
        <is>
          <t>Gobierno Territorial</t>
        </is>
      </c>
      <c r="D174" t="inlineStr">
        <is>
          <t>4599</t>
        </is>
      </c>
      <c r="E174" t="inlineStr">
        <is>
          <t>Fortalecimiento a la gestión y dirección de la administración pública territorial</t>
        </is>
      </c>
      <c r="F174" t="inlineStr">
        <is>
          <t>4599036</t>
        </is>
      </c>
      <c r="G174" t="inlineStr">
        <is>
          <t>Servicio de gestión documental actualizado</t>
        </is>
      </c>
      <c r="H174" t="inlineStr">
        <is>
          <t>459903600</t>
        </is>
      </c>
      <c r="I174" t="inlineStr">
        <is>
          <t>Sistema de gestión documental actualizado</t>
        </is>
      </c>
      <c r="J174" t="inlineStr">
        <is>
          <t>2024258990061</t>
        </is>
      </c>
      <c r="K174" t="inlineStr">
        <is>
          <t>No</t>
        </is>
      </c>
      <c r="L174" t="inlineStr">
        <is>
          <t>Número</t>
        </is>
      </c>
      <c r="M174">
        <v>2</v>
      </c>
      <c r="N174">
        <v>0.5</v>
      </c>
      <c r="O174">
        <v>0.5</v>
      </c>
      <c r="P174">
        <v>0.5</v>
      </c>
      <c r="Q174">
        <v>0.5</v>
      </c>
      <c r="R174">
        <v>0</v>
      </c>
      <c r="S174" s="103">
        <v>0</v>
      </c>
      <c r="T174" t="inlineStr">
        <is>
          <t>No se ejecutó en la vigencia</t>
        </is>
      </c>
      <c r="U174" t="inlineStr">
        <is>
          <t xml:space="preserve"> </t>
        </is>
      </c>
      <c r="V174" s="104" t="inlineStr">
        <is>
          <t xml:space="preserve"> </t>
        </is>
      </c>
      <c r="W174" t="inlineStr">
        <is>
          <t>No se encontró ejecución en PIIP</t>
        </is>
      </c>
    </row>
    <row r="175">
      <c r="A175" t="inlineStr">
        <is>
          <t>IP-294, IP-95</t>
        </is>
      </c>
      <c r="B175" t="inlineStr">
        <is>
          <t>45</t>
        </is>
      </c>
      <c r="C175" t="inlineStr">
        <is>
          <t>Gobierno Territorial</t>
        </is>
      </c>
      <c r="D175" t="inlineStr">
        <is>
          <t>4501</t>
        </is>
      </c>
      <c r="E175" t="inlineStr">
        <is>
          <t>Fortalecimiento de la convivencia y la seguridad ciudadana</t>
        </is>
      </c>
      <c r="F175" t="inlineStr">
        <is>
          <t>4501049</t>
        </is>
      </c>
      <c r="G175" t="inlineStr">
        <is>
          <t>Servicio de educación informal</t>
        </is>
      </c>
      <c r="H175" t="inlineStr">
        <is>
          <t>450104900</t>
        </is>
      </c>
      <c r="I175" t="inlineStr">
        <is>
          <t>Personas capacitadas</t>
        </is>
      </c>
      <c r="J175" t="inlineStr">
        <is>
          <t>2024258990060</t>
        </is>
      </c>
      <c r="K175" t="inlineStr">
        <is>
          <t>No</t>
        </is>
      </c>
      <c r="L175" t="inlineStr">
        <is>
          <t>Número</t>
        </is>
      </c>
      <c r="M175">
        <v>2</v>
      </c>
      <c r="N175">
        <v>0</v>
      </c>
      <c r="O175">
        <v>0</v>
      </c>
      <c r="P175">
        <v>2</v>
      </c>
      <c r="Q175">
        <v>0</v>
      </c>
      <c r="R175">
        <v>0</v>
      </c>
      <c r="S175" s="103" t="inlineStr">
        <is>
          <t xml:space="preserve"> </t>
        </is>
      </c>
      <c r="T175" t="inlineStr">
        <is>
          <t>No se programó ni ejecutó en la vigencia</t>
        </is>
      </c>
      <c r="U175" t="inlineStr">
        <is>
          <t xml:space="preserve"> </t>
        </is>
      </c>
      <c r="V175" s="104" t="inlineStr">
        <is>
          <t xml:space="preserve"> </t>
        </is>
      </c>
      <c r="W175" t="inlineStr">
        <is>
          <t>No se encontró ejecución en PIIP</t>
        </is>
      </c>
    </row>
    <row r="176">
      <c r="A176" t="inlineStr">
        <is>
          <t>IP-295, IP-96</t>
        </is>
      </c>
      <c r="B176" t="inlineStr">
        <is>
          <t>45</t>
        </is>
      </c>
      <c r="C176" t="inlineStr">
        <is>
          <t>Gobierno Territorial</t>
        </is>
      </c>
      <c r="D176" t="inlineStr">
        <is>
          <t>4599</t>
        </is>
      </c>
      <c r="E176" t="inlineStr">
        <is>
          <t>Fortalecimiento a la gestión y dirección de la administración pública territorial</t>
        </is>
      </c>
      <c r="F176" t="inlineStr">
        <is>
          <t>4599034</t>
        </is>
      </c>
      <c r="G176" t="inlineStr">
        <is>
          <t>Sedes dotadas</t>
        </is>
      </c>
      <c r="H176" t="inlineStr">
        <is>
          <t>459903400</t>
        </is>
      </c>
      <c r="I176" t="inlineStr">
        <is>
          <t>Sedes dotadas</t>
        </is>
      </c>
      <c r="J176" t="inlineStr">
        <is>
          <t>2024258990061</t>
        </is>
      </c>
      <c r="K176" t="inlineStr">
        <is>
          <t>No</t>
        </is>
      </c>
      <c r="L176" t="inlineStr">
        <is>
          <t>Número</t>
        </is>
      </c>
      <c r="M176">
        <v>2</v>
      </c>
      <c r="N176">
        <v>0</v>
      </c>
      <c r="O176">
        <v>0</v>
      </c>
      <c r="P176">
        <v>1</v>
      </c>
      <c r="Q176">
        <v>1</v>
      </c>
      <c r="R176">
        <v>0</v>
      </c>
      <c r="S176" s="103" t="inlineStr">
        <is>
          <t xml:space="preserve"> </t>
        </is>
      </c>
      <c r="T176" t="inlineStr">
        <is>
          <t>No se programó ni ejecutó en la vigencia</t>
        </is>
      </c>
      <c r="U176" t="inlineStr">
        <is>
          <t xml:space="preserve"> </t>
        </is>
      </c>
      <c r="V176" s="104" t="inlineStr">
        <is>
          <t xml:space="preserve"> </t>
        </is>
      </c>
      <c r="W176" t="inlineStr">
        <is>
          <t>No se encontró ejecución en PIIP</t>
        </is>
      </c>
    </row>
    <row r="177">
      <c r="A177" t="inlineStr">
        <is>
          <t>IP-296, IP-97</t>
        </is>
      </c>
      <c r="B177" t="inlineStr">
        <is>
          <t>45</t>
        </is>
      </c>
      <c r="C177" t="inlineStr">
        <is>
          <t>Gobierno Territorial</t>
        </is>
      </c>
      <c r="D177" t="inlineStr">
        <is>
          <t>4599</t>
        </is>
      </c>
      <c r="E177" t="inlineStr">
        <is>
          <t>Fortalecimiento a la gestión y dirección de la administración pública territorial</t>
        </is>
      </c>
      <c r="F177" t="inlineStr">
        <is>
          <t>4599017</t>
        </is>
      </c>
      <c r="G177" t="inlineStr">
        <is>
          <t>Servicio de gestión documental</t>
        </is>
      </c>
      <c r="H177" t="inlineStr">
        <is>
          <t>459901700</t>
        </is>
      </c>
      <c r="I177" t="inlineStr">
        <is>
          <t>Sistema de gestión documental implementado</t>
        </is>
      </c>
      <c r="J177" t="inlineStr">
        <is>
          <t>2024258990061</t>
        </is>
      </c>
      <c r="K177" t="inlineStr">
        <is>
          <t>Si</t>
        </is>
      </c>
      <c r="L177" t="inlineStr">
        <is>
          <t>Número</t>
        </is>
      </c>
      <c r="M177">
        <v>2</v>
      </c>
      <c r="N177">
        <v>2</v>
      </c>
      <c r="O177">
        <v>2</v>
      </c>
      <c r="P177">
        <v>2</v>
      </c>
      <c r="Q177">
        <v>2</v>
      </c>
      <c r="R177" t="inlineStr">
        <is>
          <t xml:space="preserve"> </t>
        </is>
      </c>
      <c r="S177" s="103" t="inlineStr">
        <is>
          <t xml:space="preserve"> </t>
        </is>
      </c>
      <c r="T177" t="inlineStr">
        <is>
          <t>No se encontró ejecución en PIIP</t>
        </is>
      </c>
      <c r="U177" t="inlineStr">
        <is>
          <t xml:space="preserve"> </t>
        </is>
      </c>
      <c r="V177" s="104" t="inlineStr">
        <is>
          <t xml:space="preserve"> </t>
        </is>
      </c>
      <c r="W177" t="inlineStr">
        <is>
          <t>No se encontró ejecución en PIIP</t>
        </is>
      </c>
    </row>
    <row r="178">
      <c r="A178" t="inlineStr">
        <is>
          <t>IP-297, IP-98</t>
        </is>
      </c>
      <c r="B178" t="inlineStr">
        <is>
          <t>19</t>
        </is>
      </c>
      <c r="C178" t="inlineStr">
        <is>
          <t>Salud y protección social</t>
        </is>
      </c>
      <c r="D178" t="inlineStr">
        <is>
          <t>1906</t>
        </is>
      </c>
      <c r="E178" t="inlineStr">
        <is>
          <t>Aseguramiento y prestación integral de servicios de salud</t>
        </is>
      </c>
      <c r="F178" t="inlineStr">
        <is>
          <t>1906044</t>
        </is>
      </c>
      <c r="G178" t="inlineStr">
        <is>
          <t>Servicio de afiliaciones al régimen subsidiado del Sistema General de Seguridad Social</t>
        </is>
      </c>
      <c r="H178" t="inlineStr">
        <is>
          <t>190604400</t>
        </is>
      </c>
      <c r="I178" t="inlineStr">
        <is>
          <t>Personas afiliadas al régimen subsidiado</t>
        </is>
      </c>
      <c r="J178" t="inlineStr">
        <is>
          <t>2024258990026</t>
        </is>
      </c>
      <c r="K178" t="inlineStr">
        <is>
          <t>Si</t>
        </is>
      </c>
      <c r="L178" t="inlineStr">
        <is>
          <t>Número</t>
        </is>
      </c>
      <c r="M178">
        <v>2</v>
      </c>
      <c r="N178">
        <v>2</v>
      </c>
      <c r="O178">
        <v>2</v>
      </c>
      <c r="P178">
        <v>2</v>
      </c>
      <c r="Q178">
        <v>2</v>
      </c>
      <c r="R178" t="inlineStr">
        <is>
          <t xml:space="preserve"> </t>
        </is>
      </c>
      <c r="S178" s="103" t="inlineStr">
        <is>
          <t xml:space="preserve"> </t>
        </is>
      </c>
      <c r="T178" t="inlineStr">
        <is>
          <t>No se encontró ejecución en PIIP</t>
        </is>
      </c>
      <c r="U178" t="inlineStr">
        <is>
          <t xml:space="preserve"> </t>
        </is>
      </c>
      <c r="V178" s="104" t="inlineStr">
        <is>
          <t xml:space="preserve"> </t>
        </is>
      </c>
      <c r="W178" t="inlineStr">
        <is>
          <t>No se encontró ejecución en PIIP</t>
        </is>
      </c>
    </row>
    <row r="179">
      <c r="A179" t="inlineStr">
        <is>
          <t>IP-298, IP-99</t>
        </is>
      </c>
      <c r="B179" t="inlineStr">
        <is>
          <t>19</t>
        </is>
      </c>
      <c r="C179" t="inlineStr">
        <is>
          <t>Salud y protección social</t>
        </is>
      </c>
      <c r="D179" t="inlineStr">
        <is>
          <t>1905</t>
        </is>
      </c>
      <c r="E179" t="inlineStr">
        <is>
          <t>Salud pública</t>
        </is>
      </c>
      <c r="F179" t="inlineStr">
        <is>
          <t>1905015</t>
        </is>
      </c>
      <c r="G179" t="inlineStr">
        <is>
          <t>Documentos de planeación</t>
        </is>
      </c>
      <c r="H179" t="inlineStr">
        <is>
          <t>190501505</t>
        </is>
      </c>
      <c r="I179" t="inlineStr">
        <is>
          <t>Planes estratégicos elaborados</t>
        </is>
      </c>
      <c r="J179" t="inlineStr">
        <is>
          <t>2024258990025</t>
        </is>
      </c>
      <c r="K179" t="inlineStr">
        <is>
          <t>No</t>
        </is>
      </c>
      <c r="L179" t="inlineStr">
        <is>
          <t>Número</t>
        </is>
      </c>
      <c r="M179">
        <v>6</v>
      </c>
      <c r="N179">
        <v>0</v>
      </c>
      <c r="O179">
        <v>2</v>
      </c>
      <c r="P179">
        <v>2</v>
      </c>
      <c r="Q179">
        <v>2</v>
      </c>
      <c r="R179" t="inlineStr">
        <is>
          <t xml:space="preserve"> </t>
        </is>
      </c>
      <c r="S179" s="103" t="inlineStr">
        <is>
          <t xml:space="preserve"> </t>
        </is>
      </c>
      <c r="T179" t="inlineStr">
        <is>
          <t>No se encontró ejecución en PIIP</t>
        </is>
      </c>
      <c r="U179" t="inlineStr">
        <is>
          <t xml:space="preserve"> </t>
        </is>
      </c>
      <c r="V179" s="104" t="inlineStr">
        <is>
          <t xml:space="preserve"> </t>
        </is>
      </c>
      <c r="W179" t="inlineStr">
        <is>
          <t>No se encontró ejecución en PIIP</t>
        </is>
      </c>
    </row>
    <row r="180">
      <c r="S180" s="103"/>
      <c r="V180"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