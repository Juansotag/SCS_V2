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harts/chart2.xml" ContentType="application/vnd.openxmlformats-officedocument.drawingml.chart+xml"/>
  <Override PartName="/xl/charts/colors2.xml" ContentType="application/vnd.ms-office.chartcolorstyle+xml"/>
  <Override PartName="/xl/charts/style2.xml" ContentType="application/vnd.ms-office.chartstyle+xml"/>
  <Override PartName="/xl/charts/chart3.xml" ContentType="application/vnd.openxmlformats-officedocument.drawingml.chart+xml"/>
  <Override PartName="/xl/charts/colors3.xml" ContentType="application/vnd.ms-office.chartcolorstyle+xml"/>
  <Override PartName="/xl/charts/style3.xml" ContentType="application/vnd.ms-office.chartstyle+xml"/>
  <Override PartName="/xl/charts/chart4.xml" ContentType="application/vnd.openxmlformats-officedocument.drawingml.chart+xml"/>
  <Override PartName="/xl/charts/colors4.xml" ContentType="application/vnd.ms-office.chartcolorstyle+xml"/>
  <Override PartName="/xl/charts/style4.xml" ContentType="application/vnd.ms-office.chartstyle+xml"/>
  <Override PartName="/xl/charts/chart5.xml" ContentType="application/vnd.openxmlformats-officedocument.drawingml.chart+xml"/>
  <Override PartName="/xl/charts/colors5.xml" ContentType="application/vnd.ms-office.chartcolorstyle+xml"/>
  <Override PartName="/xl/charts/style5.xml" ContentType="application/vnd.ms-office.chartstyle+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laneacionnacional-my.sharepoint.com/personal/gegallegos_dnp_gov_co/Documents/"/>
    </mc:Choice>
  </mc:AlternateContent>
  <xr:revisionPtr revIDLastSave="2545" documentId="8_{3E500AA4-C9A2-4767-9875-2B272A2641EF}" xr6:coauthVersionLast="47" xr6:coauthVersionMax="47" xr10:uidLastSave="{A7CE8F52-050E-4401-930F-797FAE297FD3}"/>
  <bookViews>
    <workbookView xWindow="-120" yWindow="-120" windowWidth="20730" windowHeight="11040" tabRatio="761" xr2:uid="{1F7B78CE-1503-42E0-8A42-FC800A1FFC3D}"/>
  </bookViews>
  <sheets>
    <sheet name="Resumen" sheetId="1" state="visible" r:id="rId1"/>
    <sheet name="Detalle seguimiento financiero" sheetId="11" state="visible" r:id="rId2"/>
    <sheet name="Detalle seguimiento físico" sheetId="3" state="visible" r:id="rId3"/>
  </sheets>
  <definedNames>
    <definedName name="nombreslineasest">Resumen!$P$7:INDEX(Resumen!$P$7:$P$75,COUNT(Resumen!$P$7:$P$75))</definedName>
    <definedName name="valoreslineasest">Resumen!$V$7:INDEX(Resumen!$V$7:$V$75,COUNT(Resumen!$V$7:$V$75))</definedName>
  </definedNam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<sst xmlns="http://schemas.openxmlformats.org/spreadsheetml/2006/main" count="135" uniqueCount="135">
  <si>
    <t>Recursos propios</t>
  </si>
  <si>
    <t>Otros</t>
  </si>
  <si>
    <t>SGP APSB</t>
  </si>
  <si>
    <t>Crédito</t>
  </si>
  <si>
    <t>En el módulo de Presupuesto Ordinario del SisPT, la entidad territorial presenta la siguiente programación financiera de su Plan Indicativo:</t>
  </si>
  <si>
    <t xml:space="preserve">Seleccione una vigencia: </t>
  </si>
  <si>
    <t>Total Cuatrienio</t>
  </si>
  <si>
    <t>Ambiente y desarrollo sostenible</t>
  </si>
  <si>
    <t>Comercio, industria y turismo</t>
  </si>
  <si>
    <t>Cultura</t>
  </si>
  <si>
    <t>Educación</t>
  </si>
  <si>
    <t xml:space="preserve">Inclusión social y reconciliación </t>
  </si>
  <si>
    <t>Justicia y del derecho</t>
  </si>
  <si>
    <t>Salud y protección social</t>
  </si>
  <si>
    <t>Tecnologías de la información y las comunicaciones</t>
  </si>
  <si>
    <t>Trabajo</t>
  </si>
  <si>
    <t>Transporte</t>
  </si>
  <si>
    <t>Vivienda, ciudad y territorio</t>
  </si>
  <si>
    <t>SGP educación</t>
  </si>
  <si>
    <t>SGP salud</t>
  </si>
  <si>
    <t>SGP deporte</t>
  </si>
  <si>
    <t>SGP cultura</t>
  </si>
  <si>
    <t>SGP libre inversión</t>
  </si>
  <si>
    <t>SGP libre destinación</t>
  </si>
  <si>
    <t>SGP alimentación escolar</t>
  </si>
  <si>
    <t>SGP municipios Rio Magdalena</t>
  </si>
  <si>
    <t>Transf. capital - Cof. departamento</t>
  </si>
  <si>
    <t>Transf. capital - Cof. Nación</t>
  </si>
  <si>
    <t>1. Fin de la pobreza</t>
  </si>
  <si>
    <t>2. Hambre cero</t>
  </si>
  <si>
    <t>3. Salud y bienestar</t>
  </si>
  <si>
    <t>4. Educación de calidad</t>
  </si>
  <si>
    <t>5. Igualdad de género</t>
  </si>
  <si>
    <t>6. Agua limpia y saneamiento</t>
  </si>
  <si>
    <t>7. Energía asequible y no contaminante</t>
  </si>
  <si>
    <t>8. Trabajo decente y crecimiento económico</t>
  </si>
  <si>
    <t>9. Industria, innovación e infraestructura</t>
  </si>
  <si>
    <t>10. Reducción de las desigualdades</t>
  </si>
  <si>
    <t>11. Ciudades y comunidades sostenibles</t>
  </si>
  <si>
    <t>12. Producción y consumo responsables</t>
  </si>
  <si>
    <t>13. Acción por el clima</t>
  </si>
  <si>
    <t>14. Vida submarina</t>
  </si>
  <si>
    <t>15. Vida de ecosistemas terrestres</t>
  </si>
  <si>
    <t>16. Paz, justicia e instituciones sólidas</t>
  </si>
  <si>
    <t>17. Alianzas para lograr los objetivos</t>
  </si>
  <si>
    <t>Sector (MGA)</t>
  </si>
  <si>
    <t>Programa (MGA)</t>
  </si>
  <si>
    <t>Producto (MGA)</t>
  </si>
  <si>
    <t>Acumulativo</t>
  </si>
  <si>
    <t>Informe generado con información de SisPT al:</t>
  </si>
  <si>
    <t>2024</t>
  </si>
  <si>
    <t>2025</t>
  </si>
  <si>
    <t>2026</t>
  </si>
  <si>
    <t>2027</t>
  </si>
  <si>
    <t>Nombre Plan de Desarrollo</t>
  </si>
  <si>
    <t>Consecutivos IP (SisPT)</t>
  </si>
  <si>
    <t>Código Sector (MGA)</t>
  </si>
  <si>
    <t>Código Programa (MGA)</t>
  </si>
  <si>
    <t>Código Producto (MGA)</t>
  </si>
  <si>
    <t>Descripción del Producto (MGA)</t>
  </si>
  <si>
    <t>Códigos BPIN Asociados</t>
  </si>
  <si>
    <t>Programado 2024 (SisPT)</t>
  </si>
  <si>
    <t>Programado 2025 (SisPT)</t>
  </si>
  <si>
    <t>Programado 2026 (SisPT)</t>
  </si>
  <si>
    <t>Programado 2027 (SisPT)</t>
  </si>
  <si>
    <t>Compromisos 2024 (CUIPO)</t>
  </si>
  <si>
    <t>Obligaciones 2024 (CUIPO)</t>
  </si>
  <si>
    <t>Pagos 2024 (CUIPO)</t>
  </si>
  <si>
    <t>Ejecución CUIPO 2024</t>
  </si>
  <si>
    <t>Obligaciones como % de lo programado (2024)</t>
  </si>
  <si>
    <t>Código Indicador Producto (MGA)</t>
  </si>
  <si>
    <t>Indicador Producto (MGA)</t>
  </si>
  <si>
    <t>Unidad de Medida</t>
  </si>
  <si>
    <t>Meta del Cuatrenio (SisPT)</t>
  </si>
  <si>
    <t>Avance físico 2024 (%)</t>
  </si>
  <si>
    <t>Ejecución PIIP 2024</t>
  </si>
  <si>
    <t>No tienen BPIN</t>
  </si>
  <si>
    <t>BPIN no encontrado en PIIP</t>
  </si>
  <si>
    <t>BPIN e IP hallados, pero modo de acumulación no fue encontrado en PIIP</t>
  </si>
  <si>
    <t>onlySisPT</t>
  </si>
  <si>
    <t>merged</t>
  </si>
  <si>
    <t>onlyCUIPO</t>
  </si>
  <si>
    <t>Universo SisPT:</t>
  </si>
  <si>
    <t>Universo CUIPO:</t>
  </si>
  <si>
    <t>NA</t>
  </si>
  <si>
    <t xml:space="preserve">Agricultura y desarrollo rural
</t>
  </si>
  <si>
    <t xml:space="preserve">Ciencia, tecnología e innovación
</t>
  </si>
  <si>
    <t>BPIN encontrado, pero no el indicador de producto (IP)</t>
  </si>
  <si>
    <t>Universo PIIP:</t>
  </si>
  <si>
    <t>onlyPIIP</t>
  </si>
  <si>
    <r>
      <rPr>
        <b/>
        <sz val="10"/>
        <color theme="1" tint="0.34998626667073579"/>
        <rFont val="Verdana Pro"/>
        <family val="2"/>
      </rPr>
      <t>Notas:</t>
    </r>
    <r>
      <rPr>
        <sz val="10"/>
        <color theme="1" tint="0.34998626667073579"/>
        <rFont val="Verdana Pro"/>
        <family val="2"/>
      </rPr>
      <t xml:space="preserve"> Si un rubro en SisPT o en CUIPO no tiene información en el campo de BPIN, </t>
    </r>
    <r>
      <rPr>
        <b/>
        <sz val="10"/>
        <color theme="1" tint="0.34998626667073579"/>
        <rFont val="Verdana Pro"/>
        <family val="2"/>
      </rPr>
      <t>no</t>
    </r>
    <r>
      <rPr>
        <sz val="10"/>
        <color theme="1" tint="0.34998626667073579"/>
        <rFont val="Verdana Pro"/>
        <family val="2"/>
      </rPr>
      <t xml:space="preserve"> se cruza la información entre plataformas. Información de CUIPO con códigos BPIN como "xxxx", "NO APLICA", "N/A" etc., se dejaron tal como aparecen en CUIPO.</t>
    </r>
  </si>
  <si>
    <t>BPIN e IP hallados, pero no tienen modo de acumulación</t>
  </si>
  <si>
    <t>BPIN, IP y modo de acumulación encontrados (hay seguimiento físico)</t>
  </si>
  <si>
    <t>Los anteriores diagramas de Venn pueden unificarse en uno solo si la información de PIIP también se agrega a nivel de producto y no de indicador de producto. Esto implica que los números del diagrama con PIIP cambian ligeramente, pero de todas maneras es útil acceder a esta vista integrada de los tres sistemas y su nivel agregado de coincidencias.</t>
  </si>
  <si>
    <t>Universo de combinaciones BPIN-Producto existentes entre las tres plataformas:</t>
  </si>
  <si>
    <t>Combinaciones BPIN-Producto halladas en la triple intersección:</t>
  </si>
  <si>
    <t>Porcentaje de coincidencia entre las tres plataformas:</t>
  </si>
  <si>
    <t>1iCUIPO</t>
  </si>
  <si>
    <t>2iPIIP</t>
  </si>
  <si>
    <t>3iSISPT</t>
  </si>
  <si>
    <t>4CUIPOPIIP</t>
  </si>
  <si>
    <t>5CUIPOSISPT</t>
  </si>
  <si>
    <t>6PIIPSISPT</t>
  </si>
  <si>
    <t>7TRIPLE</t>
  </si>
  <si>
    <t>.</t>
  </si>
  <si>
    <t>Resumen de la Programación Financiera (Presupuesto Ordinario) en SisPT</t>
  </si>
  <si>
    <t>Avance Físico Ejecutado Acumulado (PIIP)</t>
  </si>
  <si>
    <t>Detalle Seguimiento Financiero Preliminar</t>
  </si>
  <si>
    <r>
      <t xml:space="preserve">Por ejemplo, la columna "Obligaciones como % de lo programado (2024)" se calcula como la razón entre el monto total obligado en 2024 traído de CUIPO, y la programación financiera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</si>
  <si>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Programación Cuatrienio SisPT</t>
  </si>
  <si>
    <t>Defensa y policía</t>
  </si>
  <si>
    <t>Deporte y recreación</t>
  </si>
  <si>
    <t>Gobierno territorial</t>
  </si>
  <si>
    <t>Información estadística</t>
  </si>
  <si>
    <t>Minas y energía</t>
  </si>
  <si>
    <t>Organismos de control</t>
  </si>
  <si>
    <t>Detalle Seguimiento Físico Preliminar</t>
  </si>
  <si>
    <t>Esta tabla contrasta la información de Plan Indicativo - Presupuesto Ordinario de SisPT con la ejecución reportada en PIIP. El seguimiento físico es condicional a que el BPIN, el código de indicador de producto, y tipo de acumulación, correspondan en ambas plataformas. En caso de tener indicadores de producto y proyectos duplicados con nombre personalizado diferente en SisPT, este seguimiento agrega los montos ya que nos es imposible identificar cada rubro en PIIP. Utilice el consecutivo de SisPT para poder rastrear los rubros en el formato de Plan Indicativo.</t>
  </si>
  <si>
    <t>Esta tabla contrasta la información de Plan Indicativo - Presupuesto Ordinario de SisPT con la ejecución reportada en CUIPO. El seguimiento financiero es condicional a tener código BPIN y código de producto en ambas plataformas. En caso de tener productos y proyectos duplicados con nombre personalizado diferente en SisPT, este seguimiento agrega los montos ya que nos es imposible identificar cada rubro en CUIPO. Utilice el consecutivo de SisPT para poder rastrear los rubros en el formato de Plan Indicativo.</t>
  </si>
  <si>
    <r>
      <t xml:space="preserve">Por ejemplo, la columna "Avance físico 2024 (%)" se calcula como la razón entre la ejecución física acumulada de 2024 traída de PIIP, y la programación física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</si>
  <si>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Obligaciones como % de lo programado (2025)</t>
  </si>
  <si>
    <t>Compromisos 2025 (CUIPO)</t>
  </si>
  <si>
    <t>Obligaciones 2025 (CUIPO)</t>
  </si>
  <si>
    <t>Pagos 2025 (CUIPO)</t>
  </si>
  <si>
    <t>Programación financiera SisPT</t>
  </si>
  <si>
    <t>Explicación del valor 2024</t>
  </si>
  <si>
    <t>Explicación del valor 2025</t>
  </si>
  <si>
    <t>Nombre Entidad Territorial</t>
  </si>
  <si>
    <t>En esta hoja encontrará un resumen de la información de programación cargada en SisPT, y un resumen del cruce de información con las plataformas PIIP y CUIPO. En la hoja "Seguimiento al Plan" encontrará el cálculo de avance físico del Plan por vigencia. Finalmente, las hojas de Detalle seguimiento financiero y Detalle seguimiento físico contienen valores a nivel de indicador de producto, para poder entender de dónde proviene el total que calculamos cada vigencia.</t>
  </si>
  <si>
    <t>En la hoja "Detalle seguimiento financiero" encontrará la información detallada de las combinaciones que cruzaron con CUIPO, y las combinaciones que no cruzaron aparecerán sin datos de compromisos, obligaciones ni pagos.</t>
  </si>
  <si>
    <t>En la hoja "Detalle seguimiento físico" encontrará la información detallada de las combinaciones que cruzaron con PIIP, y las combinaciones que no cruzaron aparecerán sin datos de ejecución física en la vigencia respectiva.</t>
  </si>
  <si>
    <t>Las columnas "Explicación" buscan dar contexto al cálculo de obligaciones como % de lo programado, para cada vigencia.</t>
  </si>
  <si>
    <t>Las columnas "Explicación" buscan dar contexto al cálculo de avance físico (%) para cada vigencia.</t>
  </si>
  <si>
    <t>Programación física SisPT</t>
  </si>
  <si>
    <t>(Dar clic en Habilitar Edición)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</si>
</sst>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0000"/>
    <numFmt numFmtId="165" formatCode="0.0%"/>
    <numFmt numFmtId="166" formatCode="#,##0"/>
    <numFmt numFmtId="167" formatCode="0%"/>
    <numFmt numFmtId="168" formatCode="#,##0"/>
    <numFmt numFmtId="169" formatCode="0%"/>
    <numFmt numFmtId="170" formatCode="0%"/>
    <numFmt numFmtId="171" formatCode="0%"/>
  </numFmts>
  <fonts count="27">
    <font>
      <sz val="11"/>
      <color theme="1"/>
      <name val="Calibri"/>
      <family val="2"/>
      <scheme val="minor"/>
    </font>
    <font>
      <sz val="11"/>
      <color theme="1"/>
      <name val="Calibri"/>
      <family val="2"/>
      <scheme val="minor"/>
    </font>
    <font>
      <sz val="11"/>
      <name val="Calibri"/>
      <family val="2"/>
      <scheme val="minor"/>
    </font>
    <font>
      <b/>
      <sz val="18"/>
      <color rgb="FF3C8C7B"/>
      <name val="Segoe UI"/>
      <family val="2"/>
      <scheme val="major"/>
    </font>
    <font>
      <sz val="11"/>
      <color theme="1"/>
      <name val="Segoe UI"/>
      <family val="2"/>
      <scheme val="major"/>
    </font>
    <font>
      <b/>
      <sz val="16"/>
      <name val="Segoe UI"/>
      <family val="2"/>
      <scheme val="major"/>
    </font>
    <font>
      <sz val="11"/>
      <color theme="8" tint="0.39997558519241921"/>
      <name val="Calibri"/>
      <family val="2"/>
      <scheme val="minor"/>
    </font>
    <font>
      <b/>
      <sz val="11"/>
      <color theme="1"/>
      <name val="Segoe UI"/>
      <family val="2"/>
      <scheme val="major"/>
    </font>
    <font>
      <b/>
      <sz val="11"/>
      <color theme="0"/>
      <name val="Segoe UI"/>
      <family val="2"/>
      <scheme val="major"/>
    </font>
    <font>
      <sz val="11"/>
      <color theme="0"/>
      <name val="Calibri"/>
      <family val="2"/>
      <scheme val="minor"/>
    </font>
    <font>
      <b/>
      <i/>
      <sz val="16"/>
      <color rgb="FF295D52"/>
      <name val="Segoe UI"/>
      <family val="2"/>
      <scheme val="major"/>
    </font>
    <font>
      <b/>
      <sz val="12"/>
      <color rgb="FF3C8C7B"/>
      <name val="Segoe UI"/>
      <family val="2"/>
      <scheme val="major"/>
    </font>
    <font>
      <sz val="11"/>
      <color theme="1"/>
      <name val="Verdana"/>
      <family val="2"/>
    </font>
    <font>
      <sz val="11"/>
      <color theme="1"/>
      <name val="Verdana Pro"/>
      <family val="2"/>
    </font>
    <font>
      <sz val="10"/>
      <color theme="1" tint="0.34998626667073579"/>
      <name val="Verdana Pro"/>
      <family val="2"/>
    </font>
    <font>
      <b/>
      <sz val="11"/>
      <color theme="1"/>
      <name val="Verdana Pro"/>
      <family val="2"/>
    </font>
    <font>
      <b/>
      <sz val="11"/>
      <name val="Verdana Pro"/>
      <family val="2"/>
    </font>
    <font>
      <sz val="10"/>
      <color theme="1"/>
      <name val="Verdana Pro"/>
      <family val="2"/>
    </font>
    <font>
      <b/>
      <sz val="11"/>
      <color rgb="FF3C8C7B"/>
      <name val="Verdana"/>
      <family val="2"/>
    </font>
    <font>
      <b/>
      <sz val="11"/>
      <color rgb="FFAFA927"/>
      <name val="Verdana"/>
      <family val="2"/>
    </font>
    <font>
      <b/>
      <sz val="11"/>
      <color rgb="FF786256"/>
      <name val="Verdana"/>
      <family val="2"/>
    </font>
    <font>
      <b/>
      <sz val="10"/>
      <color theme="1" tint="0.34998626667073579"/>
      <name val="Verdana Pro"/>
      <family val="2"/>
    </font>
    <font>
      <sz val="11"/>
      <name val="Verdana Pro"/>
      <family val="2"/>
    </font>
    <font>
      <sz val="11"/>
      <color rgb="FFFF0000"/>
      <name val="Calibri"/>
      <family val="2"/>
      <scheme val="minor"/>
    </font>
    <font>
      <b/>
      <sz val="11"/>
      <color rgb="FFE399DC"/>
      <name val="Verdana"/>
      <family val="2"/>
    </font>
    <font>
      <sz val="11"/>
      <color rgb="FFE399DC"/>
      <name val="Segoe UI"/>
      <family val="2"/>
      <scheme val="major"/>
    </font>
    <font>
      <sz val="11"/>
      <color rgb="FFFF0000"/>
      <name val="Verdana Pro"/>
      <family val="2"/>
    </font>
  </fonts>
  <fills count="21">
    <fill>
      <patternFill patternType="none"/>
    </fill>
    <fill>
      <patternFill patternType="gray125"/>
    </fill>
    <fill>
      <patternFill patternType="solid">
        <fgColor theme="0"/>
        <bgColor indexed="64"/>
      </patternFill>
    </fill>
    <fill>
      <patternFill patternType="solid">
        <fgColor rgb="FFEBFBF6"/>
        <bgColor indexed="64"/>
      </patternFill>
    </fill>
    <fill>
      <patternFill patternType="solid">
        <fgColor rgb="FFFDF7D7"/>
        <bgColor indexed="64"/>
      </patternFill>
    </fill>
    <fill>
      <patternFill patternType="solid">
        <fgColor rgb="FFE2F2EF"/>
        <bgColor indexed="64"/>
      </patternFill>
    </fill>
    <fill>
      <patternFill patternType="solid">
        <fgColor rgb="FFF2FADA"/>
        <bgColor indexed="64"/>
      </patternFill>
    </fill>
    <fill>
      <patternFill patternType="solid">
        <fgColor theme="3" tint="0.249977111117893"/>
        <bgColor indexed="64"/>
      </patternFill>
    </fill>
    <fill>
      <patternFill patternType="solid">
        <fgColor rgb="FFE68297"/>
        <bgColor indexed="64"/>
      </patternFill>
    </fill>
    <fill>
      <patternFill patternType="solid">
        <fgColor rgb="FFF8A39A"/>
        <bgColor indexed="64"/>
      </patternFill>
    </fill>
    <fill>
      <patternFill patternType="solid">
        <fgColor rgb="FFADEC9E"/>
        <bgColor indexed="64"/>
      </patternFill>
    </fill>
    <fill>
      <patternFill patternType="solid">
        <fgColor rgb="FFA8A831"/>
        <bgColor indexed="64"/>
      </patternFill>
    </fill>
    <fill>
      <patternFill patternType="solid">
        <fgColor rgb="FFA65CC4"/>
        <bgColor indexed="64"/>
      </patternFill>
    </fill>
    <fill>
      <patternFill patternType="solid">
        <fgColor rgb="FFD165AA"/>
        <bgColor indexed="64"/>
      </patternFill>
    </fill>
    <fill>
      <patternFill patternType="solid">
        <fgColor rgb="FFFFBD97"/>
        <bgColor indexed="64"/>
      </patternFill>
    </fill>
    <fill>
      <patternFill patternType="solid">
        <fgColor rgb="FF215C98"/>
        <bgColor indexed="64"/>
      </patternFill>
    </fill>
    <fill>
      <patternFill patternType="solid">
        <fgColor theme="5" tint="0.59999389629810485"/>
        <bgColor indexed="64"/>
      </patternFill>
    </fill>
    <fill>
      <patternFill patternType="solid">
        <fgColor rgb="FFF7F7AF"/>
        <bgColor indexed="64"/>
      </patternFill>
    </fill>
    <fill>
      <patternFill patternType="solid">
        <fgColor rgb="FFDAE9F9"/>
        <bgColor indexed="64"/>
      </patternFill>
    </fill>
    <fill>
      <patternFill patternType="solid">
        <fgColor rgb="FFBAD7F4"/>
        <bgColor indexed="64"/>
      </patternFill>
    </fill>
    <fill>
      <patternFill patternType="solid">
        <fgColor rgb="FF9FC5EB"/>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3C8C7B"/>
      </left>
      <right style="thin">
        <color rgb="FF3C8C7B"/>
      </right>
      <top style="thin">
        <color rgb="FF3C8C7B"/>
      </top>
      <bottom style="thin">
        <color rgb="FF3C8C7B"/>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105">
    <xf numFmtId="0" fontId="0" fillId="0" borderId="0" xfId="0"/>
    <xf numFmtId="0" fontId="0" fillId="2" borderId="0" xfId="0" applyFill="1"/>
    <xf numFmtId="0" fontId="0" fillId="2" borderId="0" xfId="0" applyFill="1" applyAlignment="1">
      <alignment horizontal="left"/>
    </xf>
    <xf numFmtId="0" fontId="2" fillId="2" borderId="0" xfId="0" applyFont="1" applyFill="1"/>
    <xf numFmtId="0" fontId="4" fillId="2" borderId="0" xfId="0" applyFont="1" applyFill="1"/>
    <xf numFmtId="164" fontId="0" fillId="2" borderId="0" xfId="0" applyNumberFormat="1" applyFill="1"/>
    <xf numFmtId="0" fontId="6" fillId="2" borderId="0" xfId="0" applyFont="1" applyFill="1"/>
    <xf numFmtId="1" fontId="0" fillId="3" borderId="0" xfId="0" applyNumberFormat="1" applyFill="1"/>
    <xf numFmtId="3" fontId="0" fillId="3" borderId="0" xfId="0" applyNumberFormat="1" applyFill="1"/>
    <xf numFmtId="0" fontId="9" fillId="2" borderId="0" xfId="0" applyFont="1" applyFill="1"/>
    <xf numFmtId="0" fontId="0" fillId="2" borderId="0" xfId="0" applyFill="1" applyAlignment="1">
      <alignment horizontal="left" wrapText="1"/>
    </xf>
    <xf numFmtId="0" fontId="11" fillId="5" borderId="0" xfId="0" applyFont="1" applyFill="1"/>
    <xf numFmtId="0" fontId="0" fillId="5" borderId="0" xfId="0" applyFill="1"/>
    <xf numFmtId="3" fontId="9" fillId="2" borderId="0" xfId="0" applyNumberFormat="1" applyFont="1" applyFill="1"/>
    <xf numFmtId="1" fontId="9" fillId="2" borderId="0" xfId="0" applyNumberFormat="1" applyFont="1" applyFill="1"/>
    <xf numFmtId="0" fontId="0" fillId="2" borderId="0" xfId="0" applyFill="1" applyAlignment="1">
      <alignment horizontal="left" vertical="center" wrapText="1"/>
    </xf>
    <xf numFmtId="0" fontId="7" fillId="6" borderId="0" xfId="0" applyFont="1" applyFill="1" applyAlignment="1">
      <alignment horizontal="center" vertical="center" wrapText="1"/>
    </xf>
    <xf numFmtId="0" fontId="9" fillId="2" borderId="0" xfId="0" applyFont="1" applyFill="1" applyAlignment="1">
      <alignment horizontal="left" vertical="center"/>
    </xf>
    <xf numFmtId="3" fontId="4" fillId="2" borderId="0" xfId="0" applyNumberFormat="1" applyFont="1" applyFill="1"/>
    <xf numFmtId="9" fontId="4" fillId="2" borderId="0" xfId="1" applyFont="1" applyFill="1" applyAlignment="1">
      <alignment horizontal="center" vertical="center"/>
    </xf>
    <xf numFmtId="0" fontId="4" fillId="0" borderId="0" xfId="0" applyFont="1"/>
    <xf numFmtId="0" fontId="13" fillId="12" borderId="0" xfId="0" applyFont="1" applyFill="1" applyAlignment="1">
      <alignment vertical="center"/>
    </xf>
    <xf numFmtId="0" fontId="13" fillId="2" borderId="0" xfId="0" applyFont="1" applyFill="1" applyAlignment="1">
      <alignment horizontal="left" vertical="center"/>
    </xf>
    <xf numFmtId="0" fontId="13" fillId="13" borderId="0" xfId="0" applyFont="1" applyFill="1" applyAlignment="1">
      <alignment vertical="center"/>
    </xf>
    <xf numFmtId="0" fontId="13" fillId="8" borderId="0" xfId="0" applyFont="1" applyFill="1" applyAlignment="1">
      <alignment vertical="center"/>
    </xf>
    <xf numFmtId="0" fontId="13" fillId="9" borderId="0" xfId="0" applyFont="1" applyFill="1" applyAlignment="1">
      <alignment vertical="center"/>
    </xf>
    <xf numFmtId="0" fontId="13" fillId="14" borderId="0" xfId="0" applyFont="1" applyFill="1" applyAlignment="1">
      <alignment vertical="center"/>
    </xf>
    <xf numFmtId="0" fontId="13" fillId="10" borderId="0" xfId="0" applyFont="1" applyFill="1" applyAlignment="1">
      <alignment vertical="center"/>
    </xf>
    <xf numFmtId="0" fontId="13" fillId="2" borderId="0" xfId="0" applyFont="1" applyFill="1"/>
    <xf numFmtId="0" fontId="15" fillId="2" borderId="0" xfId="0" applyFont="1" applyFill="1"/>
    <xf numFmtId="0" fontId="13" fillId="2" borderId="0" xfId="0" applyFont="1" applyFill="1" applyAlignment="1">
      <alignment horizontal="right"/>
    </xf>
    <xf numFmtId="0" fontId="3" fillId="2" borderId="0" xfId="0" applyFont="1" applyFill="1" applyAlignment="1">
      <alignment horizontal="left" vertical="center" indent="2"/>
    </xf>
    <xf numFmtId="0" fontId="12" fillId="2" borderId="0" xfId="0" applyFont="1" applyFill="1"/>
    <xf numFmtId="0" fontId="12" fillId="2" borderId="0" xfId="0" applyFont="1" applyFill="1" applyAlignment="1">
      <alignment horizontal="left" wrapText="1"/>
    </xf>
    <xf numFmtId="0" fontId="12" fillId="2" borderId="0" xfId="0" applyFont="1" applyFill="1" applyAlignment="1">
      <alignment horizontal="left"/>
    </xf>
    <xf numFmtId="0" fontId="22" fillId="2" borderId="0" xfId="0" applyFont="1" applyFill="1"/>
    <xf numFmtId="0" fontId="2" fillId="2" borderId="0" xfId="0" applyFont="1" applyFill="1" applyAlignment="1">
      <alignment vertical="center" wrapText="1"/>
    </xf>
    <xf numFmtId="3" fontId="0" fillId="0" borderId="0" xfId="0" applyNumberFormat="1"/>
    <xf numFmtId="9" fontId="0" fillId="0" borderId="0" xfId="1" applyFont="1" applyAlignment="1">
      <alignment horizontal="center" vertical="center"/>
    </xf>
    <xf numFmtId="0" fontId="18" fillId="2" borderId="0" xfId="0" applyFont="1" applyFill="1" applyAlignment="1">
      <alignment horizontal="center" vertical="center"/>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0" fillId="4" borderId="0" xfId="0" applyFill="1"/>
    <xf numFmtId="0" fontId="23" fillId="2" borderId="0" xfId="0" applyFont="1" applyFill="1"/>
    <xf numFmtId="0" fontId="18" fillId="2" borderId="0" xfId="0" applyFont="1" applyFill="1" applyAlignment="1">
      <alignment vertical="center"/>
    </xf>
    <xf numFmtId="0" fontId="13" fillId="2" borderId="0" xfId="0" applyFont="1" applyFill="1" applyAlignment="1">
      <alignment horizontal="center"/>
    </xf>
    <xf numFmtId="0" fontId="12" fillId="2" borderId="0" xfId="0" applyFont="1" applyFill="1" applyAlignment="1">
      <alignment vertical="center" wrapText="1"/>
    </xf>
    <xf numFmtId="0" fontId="4" fillId="2" borderId="0" xfId="0" applyFont="1" applyFill="1" applyAlignment="1">
      <alignment horizontal="center" vertical="center"/>
    </xf>
    <xf numFmtId="0" fontId="0" fillId="0" borderId="0" xfId="0" applyAlignment="1">
      <alignment horizontal="center" vertical="center"/>
    </xf>
    <xf numFmtId="0" fontId="7" fillId="2" borderId="0" xfId="0" applyFont="1" applyFill="1"/>
    <xf numFmtId="0" fontId="0" fillId="16" borderId="4" xfId="0" applyFill="1" applyBorder="1"/>
    <xf numFmtId="3" fontId="7" fillId="6" borderId="0" xfId="0" applyNumberFormat="1" applyFont="1" applyFill="1" applyAlignment="1">
      <alignment horizontal="center" vertical="center" wrapText="1"/>
    </xf>
    <xf numFmtId="3" fontId="7" fillId="6" borderId="7" xfId="0" applyNumberFormat="1" applyFont="1" applyFill="1" applyBorder="1" applyAlignment="1">
      <alignment horizontal="center" vertical="center" wrapText="1"/>
    </xf>
    <xf numFmtId="0" fontId="25" fillId="2" borderId="0" xfId="0" applyFont="1" applyFill="1"/>
    <xf numFmtId="0" fontId="7" fillId="6" borderId="7" xfId="0" applyFont="1" applyFill="1" applyBorder="1" applyAlignment="1">
      <alignment horizontal="center" vertical="center" wrapText="1"/>
    </xf>
    <xf numFmtId="0" fontId="0" fillId="17" borderId="0" xfId="0" applyFill="1"/>
    <xf numFmtId="0" fontId="26" fillId="2" borderId="0" xfId="0" applyFont="1" applyFill="1" applyAlignment="1">
      <alignment vertical="center" wrapText="1"/>
    </xf>
    <xf numFmtId="0" fontId="7" fillId="18" borderId="8" xfId="0" applyFont="1" applyFill="1" applyBorder="1" applyAlignment="1">
      <alignment horizontal="center" vertical="center" wrapText="1"/>
    </xf>
    <xf numFmtId="3" fontId="7" fillId="18" borderId="0" xfId="0" applyNumberFormat="1" applyFont="1" applyFill="1" applyAlignment="1">
      <alignment horizontal="center" vertical="center" wrapText="1"/>
    </xf>
    <xf numFmtId="3" fontId="7" fillId="18" borderId="8" xfId="0" applyNumberFormat="1" applyFont="1" applyFill="1" applyBorder="1" applyAlignment="1">
      <alignment horizontal="center" vertical="center" wrapText="1"/>
    </xf>
    <xf numFmtId="3" fontId="7" fillId="6" borderId="9" xfId="0" applyNumberFormat="1" applyFont="1" applyFill="1" applyBorder="1" applyAlignment="1">
      <alignment horizontal="center" vertical="center" wrapText="1"/>
    </xf>
    <xf numFmtId="0" fontId="7" fillId="6" borderId="8" xfId="0" applyFont="1" applyFill="1" applyBorder="1" applyAlignment="1">
      <alignment horizontal="center" vertical="center" wrapText="1"/>
    </xf>
    <xf numFmtId="0" fontId="23" fillId="2" borderId="0" xfId="0" applyFont="1" applyFill="1" applyAlignment="1">
      <alignment horizontal="left" vertical="center"/>
    </xf>
    <xf numFmtId="0" fontId="23" fillId="2" borderId="0" xfId="0" applyFont="1" applyFill="1" applyAlignment="1">
      <alignment horizontal="left" wrapText="1"/>
    </xf>
    <xf numFmtId="9" fontId="7" fillId="19" borderId="0" xfId="1" applyFont="1" applyFill="1" applyBorder="1" applyAlignment="1">
      <alignment horizontal="center" vertical="center" wrapText="1"/>
    </xf>
    <xf numFmtId="0" fontId="7" fillId="19" borderId="0" xfId="0" applyFont="1" applyFill="1" applyAlignment="1">
      <alignment horizontal="center" vertical="center" wrapText="1"/>
    </xf>
    <xf numFmtId="0" fontId="7" fillId="20" borderId="7" xfId="0" applyFont="1" applyFill="1" applyBorder="1" applyAlignment="1">
      <alignment horizontal="center" vertical="center" wrapText="1"/>
    </xf>
    <xf numFmtId="9" fontId="7" fillId="20" borderId="7" xfId="1" applyFont="1" applyFill="1" applyBorder="1" applyAlignment="1">
      <alignment horizontal="center" vertical="center" wrapText="1"/>
    </xf>
    <xf numFmtId="0" fontId="12" fillId="2" borderId="0" xfId="0" applyFont="1" applyFill="1" applyAlignment="1">
      <alignment horizontal="center" vertical="top" wrapText="1"/>
    </xf>
    <xf numFmtId="0" fontId="14" fillId="2" borderId="0" xfId="0" applyFont="1" applyFill="1" applyAlignment="1">
      <alignment horizontal="left" vertical="center" wrapText="1"/>
    </xf>
    <xf numFmtId="0" fontId="13" fillId="2" borderId="0" xfId="0" applyFont="1" applyFill="1" applyAlignment="1">
      <alignment horizontal="left" vertical="center" wrapText="1"/>
    </xf>
    <xf numFmtId="0" fontId="18" fillId="2" borderId="0" xfId="0" applyFont="1" applyFill="1" applyAlignment="1">
      <alignment horizontal="center" vertical="center"/>
    </xf>
    <xf numFmtId="0" fontId="12" fillId="2" borderId="0" xfId="0" applyFont="1" applyFill="1" applyAlignment="1">
      <alignment horizontal="center" vertical="center" wrapText="1"/>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22" fillId="2" borderId="0" xfId="0" applyFont="1" applyFill="1" applyAlignment="1">
      <alignment horizontal="left" vertical="center" wrapText="1"/>
    </xf>
    <xf numFmtId="0" fontId="16" fillId="2" borderId="0" xfId="0" applyFont="1" applyFill="1" applyAlignment="1">
      <alignment horizontal="left" vertical="center"/>
    </xf>
    <xf numFmtId="0" fontId="17" fillId="2" borderId="0" xfId="0" applyFont="1" applyFill="1" applyAlignment="1">
      <alignment horizontal="left" vertical="center" wrapText="1" indent="1"/>
    </xf>
    <xf numFmtId="0" fontId="10" fillId="2" borderId="0" xfId="0" applyFont="1" applyFill="1" applyAlignment="1">
      <alignment horizontal="center" vertical="center" wrapText="1"/>
    </xf>
    <xf numFmtId="0" fontId="5" fillId="2" borderId="0" xfId="0" applyFont="1" applyFill="1" applyAlignment="1">
      <alignment horizontal="center"/>
    </xf>
    <xf numFmtId="0" fontId="3" fillId="2" borderId="0" xfId="0" applyFont="1" applyFill="1" applyAlignment="1">
      <alignment horizontal="center" vertical="center" wrapText="1"/>
    </xf>
    <xf numFmtId="0" fontId="13" fillId="2" borderId="0" xfId="0" applyFont="1" applyFill="1" applyAlignment="1">
      <alignment horizontal="right"/>
    </xf>
    <xf numFmtId="0" fontId="13" fillId="3" borderId="1" xfId="0" applyFont="1" applyFill="1" applyBorder="1" applyAlignment="1" applyProtection="1">
      <alignment horizontal="left"/>
      <protection locked="0"/>
    </xf>
    <xf numFmtId="0" fontId="13" fillId="3" borderId="2" xfId="0" applyFont="1" applyFill="1" applyBorder="1" applyAlignment="1" applyProtection="1">
      <alignment horizontal="left"/>
      <protection locked="0"/>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165" fontId="13" fillId="2" borderId="5" xfId="1" applyNumberFormat="1" applyFont="1" applyFill="1" applyBorder="1" applyAlignment="1">
      <alignment horizontal="center" vertical="center"/>
    </xf>
    <xf numFmtId="165" fontId="13" fillId="2" borderId="6" xfId="1" applyNumberFormat="1" applyFont="1" applyFill="1" applyBorder="1" applyAlignment="1">
      <alignment horizontal="center" vertical="center"/>
    </xf>
    <xf numFmtId="0" fontId="8" fillId="7" borderId="1"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2"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2" xfId="0" applyFont="1" applyFill="1" applyBorder="1" applyAlignment="1">
      <alignment horizontal="center" vertical="center"/>
    </xf>
    <xf numFmtId="0" fontId="12" fillId="2" borderId="0" xfId="0" applyFont="1" applyFill="1" applyAlignment="1">
      <alignment horizontal="left" vertical="center" wrapText="1" indent="2"/>
    </xf>
    <xf numFmtId="0" fontId="12" fillId="2" borderId="0" xfId="0" applyFont="1" applyFill="1" applyAlignment="1">
      <alignment horizontal="left" vertical="center" indent="2"/>
    </xf>
    <xf numFmtId="0" fontId="8" fillId="15" borderId="1"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2" xfId="0" applyFont="1" applyFill="1" applyBorder="1" applyAlignment="1">
      <alignment horizontal="center" vertical="center"/>
    </xf>
    <xf applyNumberFormat="1" borderId="0" fillId="0" fontId="0" numFmtId="166" xfId="0"/>
    <xf applyNumberFormat="1" borderId="0" fillId="0" fontId="0" numFmtId="167" xfId="0"/>
    <xf applyNumberFormat="1" borderId="0" fillId="0" fontId="0" numFmtId="168" xfId="0"/>
    <xf applyNumberFormat="1" borderId="0" fillId="0" fontId="0" numFmtId="169" xfId="0"/>
    <xf applyNumberFormat="1" borderId="0" fillId="0" fontId="0" numFmtId="170" xfId="0"/>
    <xf applyNumberFormat="1" borderId="0" fillId="0" fontId="0" numFmtId="171" xfId="0"/>
  </cellXfs>
  <cellStyles count="2">
    <cellStyle name="Normal" xfId="0" builtinId="0"/>
    <cellStyle name="Porcentaje" xfId="1" builtinId="5"/>
  </cellStyles>
  <dxfs count="4">
    <dxf>
      <fill>
        <patternFill>
          <bgColor rgb="FFE399DC"/>
        </patternFill>
      </fill>
    </dxf>
    <dxf>
      <fill>
        <patternFill>
          <bgColor rgb="FFE399DC"/>
        </patternFill>
      </fill>
    </dxf>
    <dxf>
      <fill>
        <patternFill>
          <bgColor rgb="FFE399DC"/>
        </patternFill>
      </fill>
    </dxf>
    <dxf>
      <fill>
        <patternFill>
          <bgColor rgb="FFE399DC"/>
        </patternFill>
      </fill>
    </dxf>
  </dxfs>
  <colors>
    <mruColors>
      <color rgb="FFBAD7F4"/>
      <color rgb="FF9FC5EB"/>
      <color rgb="FFDAE9F9"/>
      <color rgb="FF000000"/>
      <color rgb="FFFEBFBA"/>
      <color rgb="FFFFFA9F"/>
      <color rgb="FF3A3A3A"/>
      <color rgb="FF9BF5C4"/>
      <color rgb="FF00DA63"/>
      <color rgb="FFFFF6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Sector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285211219379314"/>
          <c:y val="8.7741223811904287E-2"/>
          <c:w val="0.66819877250944681"/>
          <c:h val="0.83957062058195309"/>
        </c:manualLayout>
      </c:layout>
      <c:barChart>
        <c:barDir val="bar"/>
        <c:grouping val="clustered"/>
        <c:varyColors val="0"/>
        <c:ser>
          <c:idx val="0"/>
          <c:order val="0"/>
          <c:spPr>
            <a:solidFill>
              <a:srgbClr val="60B99A"/>
            </a:solidFill>
            <a:ln>
              <a:noFill/>
            </a:ln>
            <a:effectLst/>
          </c:spPr>
          <c:invertIfNegative val="0"/>
          <c:dLbls>
            <c:dLbl>
              <c:idx val="0"/>
              <c:tx>
                <c:rich>
                  <a:bodyPr/>
                  <a:lstStyle/>
                  <a:p>
                    <a:fld id="{86708646-06F0-44BF-B40F-8187AA71B70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F2B-459C-AC47-38F1A835D05B}"/>
                </c:ext>
              </c:extLst>
            </c:dLbl>
            <c:dLbl>
              <c:idx val="1"/>
              <c:tx>
                <c:rich>
                  <a:bodyPr/>
                  <a:lstStyle/>
                  <a:p>
                    <a:fld id="{2C7022E3-3026-45EE-BBAA-C1490968329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F2B-459C-AC47-38F1A835D05B}"/>
                </c:ext>
              </c:extLst>
            </c:dLbl>
            <c:dLbl>
              <c:idx val="2"/>
              <c:tx>
                <c:rich>
                  <a:bodyPr/>
                  <a:lstStyle/>
                  <a:p>
                    <a:fld id="{78AA829D-06C3-44E9-A13E-C43AE53F1AC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F2B-459C-AC47-38F1A835D05B}"/>
                </c:ext>
              </c:extLst>
            </c:dLbl>
            <c:dLbl>
              <c:idx val="3"/>
              <c:tx>
                <c:rich>
                  <a:bodyPr/>
                  <a:lstStyle/>
                  <a:p>
                    <a:fld id="{D7D10F66-7E09-4EED-955D-B625B5DB552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F2B-459C-AC47-38F1A835D05B}"/>
                </c:ext>
              </c:extLst>
            </c:dLbl>
            <c:dLbl>
              <c:idx val="4"/>
              <c:tx>
                <c:rich>
                  <a:bodyPr/>
                  <a:lstStyle/>
                  <a:p>
                    <a:fld id="{C8A54928-30D5-44DC-BD36-028F3AE9CD1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F2B-459C-AC47-38F1A835D05B}"/>
                </c:ext>
              </c:extLst>
            </c:dLbl>
            <c:dLbl>
              <c:idx val="5"/>
              <c:tx>
                <c:rich>
                  <a:bodyPr/>
                  <a:lstStyle/>
                  <a:p>
                    <a:fld id="{97172F8E-1965-4A90-9198-0988BC6E696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F2B-459C-AC47-38F1A835D05B}"/>
                </c:ext>
              </c:extLst>
            </c:dLbl>
            <c:dLbl>
              <c:idx val="6"/>
              <c:tx>
                <c:rich>
                  <a:bodyPr/>
                  <a:lstStyle/>
                  <a:p>
                    <a:fld id="{49611170-3CBD-425A-A8EC-D314CB7C08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F2B-459C-AC47-38F1A835D05B}"/>
                </c:ext>
              </c:extLst>
            </c:dLbl>
            <c:dLbl>
              <c:idx val="7"/>
              <c:tx>
                <c:rich>
                  <a:bodyPr/>
                  <a:lstStyle/>
                  <a:p>
                    <a:fld id="{F109D7FC-81F2-4199-BD85-F88BDFB7278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F2B-459C-AC47-38F1A835D05B}"/>
                </c:ext>
              </c:extLst>
            </c:dLbl>
            <c:dLbl>
              <c:idx val="8"/>
              <c:tx>
                <c:rich>
                  <a:bodyPr/>
                  <a:lstStyle/>
                  <a:p>
                    <a:fld id="{E02D7E04-CD3E-4E75-82C0-2F3E4DFC147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F2B-459C-AC47-38F1A835D05B}"/>
                </c:ext>
              </c:extLst>
            </c:dLbl>
            <c:dLbl>
              <c:idx val="9"/>
              <c:tx>
                <c:rich>
                  <a:bodyPr/>
                  <a:lstStyle/>
                  <a:p>
                    <a:fld id="{AF052F5F-396D-4EEE-999B-B986DD033C2B}"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F2B-459C-AC47-38F1A835D05B}"/>
                </c:ext>
              </c:extLst>
            </c:dLbl>
            <c:dLbl>
              <c:idx val="10"/>
              <c:tx>
                <c:rich>
                  <a:bodyPr/>
                  <a:lstStyle/>
                  <a:p>
                    <a:fld id="{D5E2608F-9C10-499B-B8BA-E305709532B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F2B-459C-AC47-38F1A835D05B}"/>
                </c:ext>
              </c:extLst>
            </c:dLbl>
            <c:dLbl>
              <c:idx val="11"/>
              <c:tx>
                <c:rich>
                  <a:bodyPr/>
                  <a:lstStyle/>
                  <a:p>
                    <a:fld id="{39E62150-EF8F-4D6B-844D-9C62C347D3B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F2B-459C-AC47-38F1A835D05B}"/>
                </c:ext>
              </c:extLst>
            </c:dLbl>
            <c:dLbl>
              <c:idx val="12"/>
              <c:tx>
                <c:rich>
                  <a:bodyPr/>
                  <a:lstStyle/>
                  <a:p>
                    <a:fld id="{264EBC48-1D27-4E15-8F61-8E11FCE406C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F2B-459C-AC47-38F1A835D05B}"/>
                </c:ext>
              </c:extLst>
            </c:dLbl>
            <c:dLbl>
              <c:idx val="13"/>
              <c:tx>
                <c:rich>
                  <a:bodyPr/>
                  <a:lstStyle/>
                  <a:p>
                    <a:fld id="{AD24E199-D8D9-4065-BBCE-418B024AA63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F2B-459C-AC47-38F1A835D05B}"/>
                </c:ext>
              </c:extLst>
            </c:dLbl>
            <c:dLbl>
              <c:idx val="14"/>
              <c:tx>
                <c:rich>
                  <a:bodyPr/>
                  <a:lstStyle/>
                  <a:p>
                    <a:fld id="{02388BC9-250E-4D3A-B0F9-19857A5FF0D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F2B-459C-AC47-38F1A835D05B}"/>
                </c:ext>
              </c:extLst>
            </c:dLbl>
            <c:dLbl>
              <c:idx val="15"/>
              <c:tx>
                <c:rich>
                  <a:bodyPr/>
                  <a:lstStyle/>
                  <a:p>
                    <a:fld id="{24F79D1B-D92E-41AB-A845-0C3F366CF11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F2B-459C-AC47-38F1A835D05B}"/>
                </c:ext>
              </c:extLst>
            </c:dLbl>
            <c:dLbl>
              <c:idx val="16"/>
              <c:tx>
                <c:rich>
                  <a:bodyPr/>
                  <a:lstStyle/>
                  <a:p>
                    <a:fld id="{C5DCE0FB-86E1-467A-9A09-53027ACFD2A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F2B-459C-AC47-38F1A835D05B}"/>
                </c:ext>
              </c:extLst>
            </c:dLbl>
            <c:dLbl>
              <c:idx val="17"/>
              <c:tx>
                <c:rich>
                  <a:bodyPr/>
                  <a:lstStyle/>
                  <a:p>
                    <a:fld id="{2B424381-83F0-4D59-BEFC-C48692F2295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C1-4C7A-88EA-67AAE2953991}"/>
                </c:ext>
              </c:extLst>
            </c:dLbl>
            <c:dLbl>
              <c:idx val="18"/>
              <c:tx>
                <c:rich>
                  <a:bodyPr/>
                  <a:lstStyle/>
                  <a:p>
                    <a:fld id="{CD61F6A7-3480-4FDE-99C1-7161DF8A22F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C1-4C7A-88EA-67AAE295399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Resumen!$B$24:$B$42</c:f>
              <c:strCache>
                <c:ptCount val="19"/>
                <c:pt idx="0">
                  <c:v>Agricultura y desarrollo rural
</c:v>
                </c:pt>
                <c:pt idx="1">
                  <c:v>Ambiente y desarrollo sostenible</c:v>
                </c:pt>
                <c:pt idx="2">
                  <c:v>Ciencia, tecnología e innovación
</c:v>
                </c:pt>
                <c:pt idx="3">
                  <c:v>Comercio, industria y turismo</c:v>
                </c:pt>
                <c:pt idx="4">
                  <c:v>Cultura</c:v>
                </c:pt>
                <c:pt idx="5">
                  <c:v>Defensa y policía</c:v>
                </c:pt>
                <c:pt idx="6">
                  <c:v>Deporte y recreación</c:v>
                </c:pt>
                <c:pt idx="7">
                  <c:v>Educación</c:v>
                </c:pt>
                <c:pt idx="8">
                  <c:v>Gobierno territorial</c:v>
                </c:pt>
                <c:pt idx="9">
                  <c:v>Inclusión social y reconciliación </c:v>
                </c:pt>
                <c:pt idx="10">
                  <c:v>Información estadística</c:v>
                </c:pt>
                <c:pt idx="11">
                  <c:v>Justicia y del derecho</c:v>
                </c:pt>
                <c:pt idx="12">
                  <c:v>Minas y energía</c:v>
                </c:pt>
                <c:pt idx="13">
                  <c:v>Organismos de control</c:v>
                </c:pt>
                <c:pt idx="14">
                  <c:v>Salud y protección social</c:v>
                </c:pt>
                <c:pt idx="15">
                  <c:v>Tecnologías de la información y las comunicaciones</c:v>
                </c:pt>
                <c:pt idx="16">
                  <c:v>Trabajo</c:v>
                </c:pt>
                <c:pt idx="17">
                  <c:v>Transporte</c:v>
                </c:pt>
                <c:pt idx="18">
                  <c:v>Vivienda, ciudad y territorio</c:v>
                </c:pt>
              </c:strCache>
            </c:strRef>
          </c:cat>
          <c:val>
            <c:numRef>
              <c:f>Resumen!$H$24:$H$42</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5="http://schemas.microsoft.com/office/drawing/2012/chart" uri="{02D57815-91ED-43cb-92C2-25804820EDAC}">
              <c15:datalabelsRange>
                <c15:f>Resumen!$I$24:$I$42</c15:f>
                <c15:dlblRangeCache>
                  <c:ptCount val="19"/>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pt idx="17">
                    <c:v>#¡DIV/0!</c:v>
                  </c:pt>
                  <c:pt idx="18">
                    <c:v>#¡DIV/0!</c:v>
                  </c:pt>
                </c15:dlblRangeCache>
              </c15:datalabelsRange>
            </c:ext>
            <c:ext xmlns:c16="http://schemas.microsoft.com/office/drawing/2014/chart" uri="{C3380CC4-5D6E-409C-BE32-E72D297353CC}">
              <c16:uniqueId val="{00000000-D22C-4ED8-BDA6-0A0B48D78EAC}"/>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Fuente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13606656108496"/>
          <c:y val="0.11659932659932661"/>
          <c:w val="0.66195950718624774"/>
          <c:h val="0.81071263819295314"/>
        </c:manualLayout>
      </c:layout>
      <c:barChart>
        <c:barDir val="bar"/>
        <c:grouping val="clustered"/>
        <c:varyColors val="0"/>
        <c:ser>
          <c:idx val="0"/>
          <c:order val="0"/>
          <c:spPr>
            <a:solidFill>
              <a:srgbClr val="60B99A"/>
            </a:solidFill>
            <a:ln>
              <a:noFill/>
            </a:ln>
            <a:effectLst/>
          </c:spPr>
          <c:invertIfNegative val="0"/>
          <c:dLbls>
            <c:dLbl>
              <c:idx val="0"/>
              <c:tx>
                <c:rich>
                  <a:bodyPr/>
                  <a:lstStyle/>
                  <a:p>
                    <a:fld id="{AF31F109-E2A0-474B-B3A5-3A9A5DB496FC}"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617-4F11-BAC5-7BA1F1DD7D9F}"/>
                </c:ext>
              </c:extLst>
            </c:dLbl>
            <c:dLbl>
              <c:idx val="1"/>
              <c:tx>
                <c:rich>
                  <a:bodyPr/>
                  <a:lstStyle/>
                  <a:p>
                    <a:fld id="{060257C4-140B-42A8-A2D9-38EFBC2E755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617-4F11-BAC5-7BA1F1DD7D9F}"/>
                </c:ext>
              </c:extLst>
            </c:dLbl>
            <c:dLbl>
              <c:idx val="2"/>
              <c:tx>
                <c:rich>
                  <a:bodyPr/>
                  <a:lstStyle/>
                  <a:p>
                    <a:fld id="{7C94BC16-5003-41C8-B7A4-4542297968E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617-4F11-BAC5-7BA1F1DD7D9F}"/>
                </c:ext>
              </c:extLst>
            </c:dLbl>
            <c:dLbl>
              <c:idx val="3"/>
              <c:tx>
                <c:rich>
                  <a:bodyPr/>
                  <a:lstStyle/>
                  <a:p>
                    <a:fld id="{E6150B31-7895-4C1C-8C69-A84BDDD5300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617-4F11-BAC5-7BA1F1DD7D9F}"/>
                </c:ext>
              </c:extLst>
            </c:dLbl>
            <c:dLbl>
              <c:idx val="4"/>
              <c:tx>
                <c:rich>
                  <a:bodyPr/>
                  <a:lstStyle/>
                  <a:p>
                    <a:fld id="{C19A5466-F034-47EE-941A-5F0A3869D00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617-4F11-BAC5-7BA1F1DD7D9F}"/>
                </c:ext>
              </c:extLst>
            </c:dLbl>
            <c:dLbl>
              <c:idx val="5"/>
              <c:tx>
                <c:rich>
                  <a:bodyPr/>
                  <a:lstStyle/>
                  <a:p>
                    <a:fld id="{5947835D-2CD4-4DFF-BC64-45F77FD0F88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617-4F11-BAC5-7BA1F1DD7D9F}"/>
                </c:ext>
              </c:extLst>
            </c:dLbl>
            <c:dLbl>
              <c:idx val="6"/>
              <c:tx>
                <c:rich>
                  <a:bodyPr/>
                  <a:lstStyle/>
                  <a:p>
                    <a:fld id="{52049E1F-F3E6-430C-AD4C-7504BB5ABB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617-4F11-BAC5-7BA1F1DD7D9F}"/>
                </c:ext>
              </c:extLst>
            </c:dLbl>
            <c:dLbl>
              <c:idx val="7"/>
              <c:tx>
                <c:rich>
                  <a:bodyPr/>
                  <a:lstStyle/>
                  <a:p>
                    <a:fld id="{EFD07103-F02D-40DF-92C7-414533F835F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617-4F11-BAC5-7BA1F1DD7D9F}"/>
                </c:ext>
              </c:extLst>
            </c:dLbl>
            <c:dLbl>
              <c:idx val="8"/>
              <c:tx>
                <c:rich>
                  <a:bodyPr/>
                  <a:lstStyle/>
                  <a:p>
                    <a:fld id="{8D9C4F3B-D655-4FC5-A40C-231B90085D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617-4F11-BAC5-7BA1F1DD7D9F}"/>
                </c:ext>
              </c:extLst>
            </c:dLbl>
            <c:dLbl>
              <c:idx val="9"/>
              <c:tx>
                <c:rich>
                  <a:bodyPr/>
                  <a:lstStyle/>
                  <a:p>
                    <a:fld id="{5C0CDC46-A759-4ED3-A91F-E795A25EAC5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617-4F11-BAC5-7BA1F1DD7D9F}"/>
                </c:ext>
              </c:extLst>
            </c:dLbl>
            <c:dLbl>
              <c:idx val="10"/>
              <c:tx>
                <c:rich>
                  <a:bodyPr/>
                  <a:lstStyle/>
                  <a:p>
                    <a:fld id="{1DA2A256-7981-40DD-B0CD-1B491907602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617-4F11-BAC5-7BA1F1DD7D9F}"/>
                </c:ext>
              </c:extLst>
            </c:dLbl>
            <c:dLbl>
              <c:idx val="11"/>
              <c:tx>
                <c:rich>
                  <a:bodyPr/>
                  <a:lstStyle/>
                  <a:p>
                    <a:fld id="{52AFE0E4-2604-44D2-A878-1E251E0083B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617-4F11-BAC5-7BA1F1DD7D9F}"/>
                </c:ext>
              </c:extLst>
            </c:dLbl>
            <c:dLbl>
              <c:idx val="12"/>
              <c:tx>
                <c:rich>
                  <a:bodyPr/>
                  <a:lstStyle/>
                  <a:p>
                    <a:fld id="{AEFD0834-552C-445A-84EF-D2E10976A9C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617-4F11-BAC5-7BA1F1DD7D9F}"/>
                </c:ext>
              </c:extLst>
            </c:dLbl>
            <c:dLbl>
              <c:idx val="13"/>
              <c:tx>
                <c:rich>
                  <a:bodyPr/>
                  <a:lstStyle/>
                  <a:p>
                    <a:fld id="{25901E1D-616C-4851-B06C-C50099DBE4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617-4F11-BAC5-7BA1F1DD7D9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Resumen!$B$43:$B$56</c:f>
              <c:strCache>
                <c:ptCount val="14"/>
                <c:pt idx="0">
                  <c:v>Recursos propios</c:v>
                </c:pt>
                <c:pt idx="1">
                  <c:v>SGP educación</c:v>
                </c:pt>
                <c:pt idx="2">
                  <c:v>SGP salud</c:v>
                </c:pt>
                <c:pt idx="3">
                  <c:v>SGP deporte</c:v>
                </c:pt>
                <c:pt idx="4">
                  <c:v>SGP cultura</c:v>
                </c:pt>
                <c:pt idx="5">
                  <c:v>SGP libre inversión</c:v>
                </c:pt>
                <c:pt idx="6">
                  <c:v>SGP libre destinación</c:v>
                </c:pt>
                <c:pt idx="7">
                  <c:v>SGP alimentación escolar</c:v>
                </c:pt>
                <c:pt idx="8">
                  <c:v>SGP municipios Rio Magdalena</c:v>
                </c:pt>
                <c:pt idx="9">
                  <c:v>SGP APSB</c:v>
                </c:pt>
                <c:pt idx="10">
                  <c:v>Crédito</c:v>
                </c:pt>
                <c:pt idx="11">
                  <c:v>Transf. capital - Cof. departamento</c:v>
                </c:pt>
                <c:pt idx="12">
                  <c:v>Transf. capital - Cof. Nación</c:v>
                </c:pt>
                <c:pt idx="13">
                  <c:v>Otros</c:v>
                </c:pt>
              </c:strCache>
            </c:strRef>
          </c:cat>
          <c:val>
            <c:numRef>
              <c:f>Resumen!$H$43:$H$56</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5="http://schemas.microsoft.com/office/drawing/2012/chart" uri="{02D57815-91ED-43cb-92C2-25804820EDAC}">
              <c15:datalabelsRange>
                <c15:f>Resumen!$I$43:$I$56</c15:f>
                <c15:dlblRangeCache>
                  <c:ptCount val="14"/>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15:dlblRangeCache>
              </c15:datalabelsRange>
            </c:ext>
            <c:ext xmlns:c16="http://schemas.microsoft.com/office/drawing/2014/chart" uri="{C3380CC4-5D6E-409C-BE32-E72D297353CC}">
              <c16:uniqueId val="{00000000-2975-4577-BF15-5AE863F38509}"/>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ODS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30024638334349618"/>
          <c:y val="0.11659932659932661"/>
          <c:w val="0.64307378244386126"/>
          <c:h val="0.81071263819295314"/>
        </c:manualLayout>
      </c:layout>
      <c:barChart>
        <c:barDir val="bar"/>
        <c:grouping val="clustered"/>
        <c:varyColors val="0"/>
        <c:ser>
          <c:idx val="0"/>
          <c:order val="0"/>
          <c:spPr>
            <a:solidFill>
              <a:srgbClr val="E5243B"/>
            </a:solidFill>
            <a:ln>
              <a:noFill/>
            </a:ln>
            <a:effectLst/>
          </c:spPr>
          <c:invertIfNegative val="0"/>
          <c:dPt>
            <c:idx val="1"/>
            <c:invertIfNegative val="0"/>
            <c:bubble3D val="0"/>
            <c:spPr>
              <a:solidFill>
                <a:srgbClr val="DDA83A"/>
              </a:solidFill>
              <a:ln>
                <a:noFill/>
              </a:ln>
              <a:effectLst/>
            </c:spPr>
            <c:extLst>
              <c:ext xmlns:c16="http://schemas.microsoft.com/office/drawing/2014/chart" uri="{C3380CC4-5D6E-409C-BE32-E72D297353CC}">
                <c16:uniqueId val="{00000001-53F3-4BB8-BEDE-49888A2550F4}"/>
              </c:ext>
            </c:extLst>
          </c:dPt>
          <c:dPt>
            <c:idx val="2"/>
            <c:invertIfNegative val="0"/>
            <c:bubble3D val="0"/>
            <c:spPr>
              <a:solidFill>
                <a:srgbClr val="4C9F38"/>
              </a:solidFill>
              <a:ln>
                <a:noFill/>
              </a:ln>
              <a:effectLst/>
            </c:spPr>
            <c:extLst>
              <c:ext xmlns:c16="http://schemas.microsoft.com/office/drawing/2014/chart" uri="{C3380CC4-5D6E-409C-BE32-E72D297353CC}">
                <c16:uniqueId val="{00000002-53F3-4BB8-BEDE-49888A2550F4}"/>
              </c:ext>
            </c:extLst>
          </c:dPt>
          <c:dPt>
            <c:idx val="3"/>
            <c:invertIfNegative val="0"/>
            <c:bubble3D val="0"/>
            <c:spPr>
              <a:solidFill>
                <a:srgbClr val="C5192D"/>
              </a:solidFill>
              <a:ln>
                <a:noFill/>
              </a:ln>
              <a:effectLst/>
            </c:spPr>
            <c:extLst>
              <c:ext xmlns:c16="http://schemas.microsoft.com/office/drawing/2014/chart" uri="{C3380CC4-5D6E-409C-BE32-E72D297353CC}">
                <c16:uniqueId val="{00000003-53F3-4BB8-BEDE-49888A2550F4}"/>
              </c:ext>
            </c:extLst>
          </c:dPt>
          <c:dPt>
            <c:idx val="4"/>
            <c:invertIfNegative val="0"/>
            <c:bubble3D val="0"/>
            <c:spPr>
              <a:solidFill>
                <a:srgbClr val="FF3A21"/>
              </a:solidFill>
              <a:ln>
                <a:noFill/>
              </a:ln>
              <a:effectLst/>
            </c:spPr>
            <c:extLst>
              <c:ext xmlns:c16="http://schemas.microsoft.com/office/drawing/2014/chart" uri="{C3380CC4-5D6E-409C-BE32-E72D297353CC}">
                <c16:uniqueId val="{00000004-53F3-4BB8-BEDE-49888A2550F4}"/>
              </c:ext>
            </c:extLst>
          </c:dPt>
          <c:dPt>
            <c:idx val="5"/>
            <c:invertIfNegative val="0"/>
            <c:bubble3D val="0"/>
            <c:spPr>
              <a:solidFill>
                <a:srgbClr val="26BDE2"/>
              </a:solidFill>
              <a:ln>
                <a:noFill/>
              </a:ln>
              <a:effectLst/>
            </c:spPr>
            <c:extLst>
              <c:ext xmlns:c16="http://schemas.microsoft.com/office/drawing/2014/chart" uri="{C3380CC4-5D6E-409C-BE32-E72D297353CC}">
                <c16:uniqueId val="{00000005-53F3-4BB8-BEDE-49888A2550F4}"/>
              </c:ext>
            </c:extLst>
          </c:dPt>
          <c:dPt>
            <c:idx val="6"/>
            <c:invertIfNegative val="0"/>
            <c:bubble3D val="0"/>
            <c:spPr>
              <a:solidFill>
                <a:srgbClr val="FCC30B"/>
              </a:solidFill>
              <a:ln>
                <a:noFill/>
              </a:ln>
              <a:effectLst/>
            </c:spPr>
            <c:extLst>
              <c:ext xmlns:c16="http://schemas.microsoft.com/office/drawing/2014/chart" uri="{C3380CC4-5D6E-409C-BE32-E72D297353CC}">
                <c16:uniqueId val="{00000006-53F3-4BB8-BEDE-49888A2550F4}"/>
              </c:ext>
            </c:extLst>
          </c:dPt>
          <c:dPt>
            <c:idx val="7"/>
            <c:invertIfNegative val="0"/>
            <c:bubble3D val="0"/>
            <c:spPr>
              <a:solidFill>
                <a:srgbClr val="A21942"/>
              </a:solidFill>
              <a:ln>
                <a:noFill/>
              </a:ln>
              <a:effectLst/>
            </c:spPr>
            <c:extLst>
              <c:ext xmlns:c16="http://schemas.microsoft.com/office/drawing/2014/chart" uri="{C3380CC4-5D6E-409C-BE32-E72D297353CC}">
                <c16:uniqueId val="{00000007-53F3-4BB8-BEDE-49888A2550F4}"/>
              </c:ext>
            </c:extLst>
          </c:dPt>
          <c:dPt>
            <c:idx val="8"/>
            <c:invertIfNegative val="0"/>
            <c:bubble3D val="0"/>
            <c:spPr>
              <a:solidFill>
                <a:srgbClr val="FD6925"/>
              </a:solidFill>
              <a:ln>
                <a:noFill/>
              </a:ln>
              <a:effectLst/>
            </c:spPr>
            <c:extLst>
              <c:ext xmlns:c16="http://schemas.microsoft.com/office/drawing/2014/chart" uri="{C3380CC4-5D6E-409C-BE32-E72D297353CC}">
                <c16:uniqueId val="{00000008-53F3-4BB8-BEDE-49888A2550F4}"/>
              </c:ext>
            </c:extLst>
          </c:dPt>
          <c:dPt>
            <c:idx val="9"/>
            <c:invertIfNegative val="0"/>
            <c:bubble3D val="0"/>
            <c:spPr>
              <a:solidFill>
                <a:srgbClr val="DD1367"/>
              </a:solidFill>
              <a:ln>
                <a:noFill/>
              </a:ln>
              <a:effectLst/>
            </c:spPr>
            <c:extLst>
              <c:ext xmlns:c16="http://schemas.microsoft.com/office/drawing/2014/chart" uri="{C3380CC4-5D6E-409C-BE32-E72D297353CC}">
                <c16:uniqueId val="{00000009-53F3-4BB8-BEDE-49888A2550F4}"/>
              </c:ext>
            </c:extLst>
          </c:dPt>
          <c:dPt>
            <c:idx val="10"/>
            <c:invertIfNegative val="0"/>
            <c:bubble3D val="0"/>
            <c:spPr>
              <a:solidFill>
                <a:srgbClr val="FD9D24"/>
              </a:solidFill>
              <a:ln>
                <a:noFill/>
              </a:ln>
              <a:effectLst/>
            </c:spPr>
            <c:extLst>
              <c:ext xmlns:c16="http://schemas.microsoft.com/office/drawing/2014/chart" uri="{C3380CC4-5D6E-409C-BE32-E72D297353CC}">
                <c16:uniqueId val="{0000000A-53F3-4BB8-BEDE-49888A2550F4}"/>
              </c:ext>
            </c:extLst>
          </c:dPt>
          <c:dPt>
            <c:idx val="11"/>
            <c:invertIfNegative val="0"/>
            <c:bubble3D val="0"/>
            <c:spPr>
              <a:solidFill>
                <a:srgbClr val="BF8B2E"/>
              </a:solidFill>
              <a:ln>
                <a:noFill/>
              </a:ln>
              <a:effectLst/>
            </c:spPr>
            <c:extLst>
              <c:ext xmlns:c16="http://schemas.microsoft.com/office/drawing/2014/chart" uri="{C3380CC4-5D6E-409C-BE32-E72D297353CC}">
                <c16:uniqueId val="{0000000B-53F3-4BB8-BEDE-49888A2550F4}"/>
              </c:ext>
            </c:extLst>
          </c:dPt>
          <c:dPt>
            <c:idx val="12"/>
            <c:invertIfNegative val="0"/>
            <c:bubble3D val="0"/>
            <c:spPr>
              <a:solidFill>
                <a:srgbClr val="3F7E44"/>
              </a:solidFill>
              <a:ln>
                <a:noFill/>
              </a:ln>
              <a:effectLst/>
            </c:spPr>
            <c:extLst>
              <c:ext xmlns:c16="http://schemas.microsoft.com/office/drawing/2014/chart" uri="{C3380CC4-5D6E-409C-BE32-E72D297353CC}">
                <c16:uniqueId val="{0000000C-53F3-4BB8-BEDE-49888A2550F4}"/>
              </c:ext>
            </c:extLst>
          </c:dPt>
          <c:dPt>
            <c:idx val="13"/>
            <c:invertIfNegative val="0"/>
            <c:bubble3D val="0"/>
            <c:spPr>
              <a:solidFill>
                <a:srgbClr val="0A97D9"/>
              </a:solidFill>
              <a:ln>
                <a:noFill/>
              </a:ln>
              <a:effectLst/>
            </c:spPr>
            <c:extLst>
              <c:ext xmlns:c16="http://schemas.microsoft.com/office/drawing/2014/chart" uri="{C3380CC4-5D6E-409C-BE32-E72D297353CC}">
                <c16:uniqueId val="{0000000D-53F3-4BB8-BEDE-49888A2550F4}"/>
              </c:ext>
            </c:extLst>
          </c:dPt>
          <c:dPt>
            <c:idx val="14"/>
            <c:invertIfNegative val="0"/>
            <c:bubble3D val="0"/>
            <c:spPr>
              <a:solidFill>
                <a:srgbClr val="56C02B"/>
              </a:solidFill>
              <a:ln>
                <a:noFill/>
              </a:ln>
              <a:effectLst/>
            </c:spPr>
            <c:extLst>
              <c:ext xmlns:c16="http://schemas.microsoft.com/office/drawing/2014/chart" uri="{C3380CC4-5D6E-409C-BE32-E72D297353CC}">
                <c16:uniqueId val="{0000000E-53F3-4BB8-BEDE-49888A2550F4}"/>
              </c:ext>
            </c:extLst>
          </c:dPt>
          <c:dPt>
            <c:idx val="15"/>
            <c:invertIfNegative val="0"/>
            <c:bubble3D val="0"/>
            <c:spPr>
              <a:solidFill>
                <a:srgbClr val="00689D"/>
              </a:solidFill>
              <a:ln>
                <a:noFill/>
              </a:ln>
              <a:effectLst/>
            </c:spPr>
            <c:extLst>
              <c:ext xmlns:c16="http://schemas.microsoft.com/office/drawing/2014/chart" uri="{C3380CC4-5D6E-409C-BE32-E72D297353CC}">
                <c16:uniqueId val="{0000000F-53F3-4BB8-BEDE-49888A2550F4}"/>
              </c:ext>
            </c:extLst>
          </c:dPt>
          <c:dPt>
            <c:idx val="16"/>
            <c:invertIfNegative val="0"/>
            <c:bubble3D val="0"/>
            <c:spPr>
              <a:solidFill>
                <a:srgbClr val="19486A"/>
              </a:solidFill>
              <a:ln>
                <a:noFill/>
              </a:ln>
              <a:effectLst/>
            </c:spPr>
            <c:extLst>
              <c:ext xmlns:c16="http://schemas.microsoft.com/office/drawing/2014/chart" uri="{C3380CC4-5D6E-409C-BE32-E72D297353CC}">
                <c16:uniqueId val="{00000010-53F3-4BB8-BEDE-49888A2550F4}"/>
              </c:ext>
            </c:extLst>
          </c:dPt>
          <c:dLbls>
            <c:dLbl>
              <c:idx val="0"/>
              <c:tx>
                <c:rich>
                  <a:bodyPr/>
                  <a:lstStyle/>
                  <a:p>
                    <a:fld id="{95F31C71-4B0F-44BE-A7A2-79BFF34C705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BBC-46F3-A28A-52E739701722}"/>
                </c:ext>
              </c:extLst>
            </c:dLbl>
            <c:dLbl>
              <c:idx val="1"/>
              <c:tx>
                <c:rich>
                  <a:bodyPr/>
                  <a:lstStyle/>
                  <a:p>
                    <a:fld id="{4543A26A-DD93-4AE9-B989-8EA46ECEE43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3F3-4BB8-BEDE-49888A2550F4}"/>
                </c:ext>
              </c:extLst>
            </c:dLbl>
            <c:dLbl>
              <c:idx val="2"/>
              <c:tx>
                <c:rich>
                  <a:bodyPr/>
                  <a:lstStyle/>
                  <a:p>
                    <a:fld id="{87A535A8-5761-43E1-B6E0-9EA25E7B8F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3F3-4BB8-BEDE-49888A2550F4}"/>
                </c:ext>
              </c:extLst>
            </c:dLbl>
            <c:dLbl>
              <c:idx val="3"/>
              <c:tx>
                <c:rich>
                  <a:bodyPr/>
                  <a:lstStyle/>
                  <a:p>
                    <a:fld id="{B9C2BA72-5580-45B0-8CE4-7E2D896CE42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3F3-4BB8-BEDE-49888A2550F4}"/>
                </c:ext>
              </c:extLst>
            </c:dLbl>
            <c:dLbl>
              <c:idx val="4"/>
              <c:tx>
                <c:rich>
                  <a:bodyPr/>
                  <a:lstStyle/>
                  <a:p>
                    <a:fld id="{D9951E17-7184-41F5-8859-B856DFC7389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3F3-4BB8-BEDE-49888A2550F4}"/>
                </c:ext>
              </c:extLst>
            </c:dLbl>
            <c:dLbl>
              <c:idx val="5"/>
              <c:tx>
                <c:rich>
                  <a:bodyPr/>
                  <a:lstStyle/>
                  <a:p>
                    <a:fld id="{0791B2CB-C2DC-4BCB-9A09-90D145631D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3F3-4BB8-BEDE-49888A2550F4}"/>
                </c:ext>
              </c:extLst>
            </c:dLbl>
            <c:dLbl>
              <c:idx val="6"/>
              <c:tx>
                <c:rich>
                  <a:bodyPr/>
                  <a:lstStyle/>
                  <a:p>
                    <a:fld id="{7F6CE039-90F7-471C-9102-3B58031251D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3F3-4BB8-BEDE-49888A2550F4}"/>
                </c:ext>
              </c:extLst>
            </c:dLbl>
            <c:dLbl>
              <c:idx val="7"/>
              <c:tx>
                <c:rich>
                  <a:bodyPr/>
                  <a:lstStyle/>
                  <a:p>
                    <a:fld id="{E1E466B3-A6F8-46A9-8271-B2855043A5A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3F3-4BB8-BEDE-49888A2550F4}"/>
                </c:ext>
              </c:extLst>
            </c:dLbl>
            <c:dLbl>
              <c:idx val="8"/>
              <c:tx>
                <c:rich>
                  <a:bodyPr/>
                  <a:lstStyle/>
                  <a:p>
                    <a:fld id="{27836B91-7814-48CE-8062-A6EF713AC21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3F3-4BB8-BEDE-49888A2550F4}"/>
                </c:ext>
              </c:extLst>
            </c:dLbl>
            <c:dLbl>
              <c:idx val="9"/>
              <c:tx>
                <c:rich>
                  <a:bodyPr/>
                  <a:lstStyle/>
                  <a:p>
                    <a:fld id="{2183AA1C-B8ED-4273-BBAC-88BDCAE4EC8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3F3-4BB8-BEDE-49888A2550F4}"/>
                </c:ext>
              </c:extLst>
            </c:dLbl>
            <c:dLbl>
              <c:idx val="10"/>
              <c:tx>
                <c:rich>
                  <a:bodyPr/>
                  <a:lstStyle/>
                  <a:p>
                    <a:fld id="{381D3F61-5D17-48B1-8110-EDB4FC3A8F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3F3-4BB8-BEDE-49888A2550F4}"/>
                </c:ext>
              </c:extLst>
            </c:dLbl>
            <c:dLbl>
              <c:idx val="11"/>
              <c:tx>
                <c:rich>
                  <a:bodyPr/>
                  <a:lstStyle/>
                  <a:p>
                    <a:fld id="{E2C84284-2FA7-4373-85D0-589B521ADF6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3F3-4BB8-BEDE-49888A2550F4}"/>
                </c:ext>
              </c:extLst>
            </c:dLbl>
            <c:dLbl>
              <c:idx val="12"/>
              <c:tx>
                <c:rich>
                  <a:bodyPr/>
                  <a:lstStyle/>
                  <a:p>
                    <a:fld id="{236AD458-E866-4359-8F6D-A09CD15AD8E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3F3-4BB8-BEDE-49888A2550F4}"/>
                </c:ext>
              </c:extLst>
            </c:dLbl>
            <c:dLbl>
              <c:idx val="13"/>
              <c:tx>
                <c:rich>
                  <a:bodyPr/>
                  <a:lstStyle/>
                  <a:p>
                    <a:fld id="{E89234FE-5B6A-4C7D-B29E-452F182B50B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3F3-4BB8-BEDE-49888A2550F4}"/>
                </c:ext>
              </c:extLst>
            </c:dLbl>
            <c:dLbl>
              <c:idx val="14"/>
              <c:tx>
                <c:rich>
                  <a:bodyPr/>
                  <a:lstStyle/>
                  <a:p>
                    <a:fld id="{64806DC4-E469-4B7B-9803-714270098FA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3F3-4BB8-BEDE-49888A2550F4}"/>
                </c:ext>
              </c:extLst>
            </c:dLbl>
            <c:dLbl>
              <c:idx val="15"/>
              <c:tx>
                <c:rich>
                  <a:bodyPr/>
                  <a:lstStyle/>
                  <a:p>
                    <a:fld id="{621E1A9D-54EA-4323-A6BB-446764CDD87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3F3-4BB8-BEDE-49888A2550F4}"/>
                </c:ext>
              </c:extLst>
            </c:dLbl>
            <c:dLbl>
              <c:idx val="16"/>
              <c:tx>
                <c:rich>
                  <a:bodyPr/>
                  <a:lstStyle/>
                  <a:p>
                    <a:fld id="{B76DF89F-72E3-4BA4-8D08-089348A021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3F3-4BB8-BEDE-49888A2550F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Resumen!$B$57:$B$73</c:f>
              <c:strCache>
                <c:ptCount val="17"/>
                <c:pt idx="0">
                  <c:v>1. Fin de la pobreza</c:v>
                </c:pt>
                <c:pt idx="1">
                  <c:v>2. Hambre cero</c:v>
                </c:pt>
                <c:pt idx="2">
                  <c:v>3. Salud y bienestar</c:v>
                </c:pt>
                <c:pt idx="3">
                  <c:v>4. Educación de calidad</c:v>
                </c:pt>
                <c:pt idx="4">
                  <c:v>5. Igualdad de género</c:v>
                </c:pt>
                <c:pt idx="5">
                  <c:v>6. Agua limpia y saneamiento</c:v>
                </c:pt>
                <c:pt idx="6">
                  <c:v>7. Energía asequible y no contaminante</c:v>
                </c:pt>
                <c:pt idx="7">
                  <c:v>8. Trabajo decente y crecimiento económico</c:v>
                </c:pt>
                <c:pt idx="8">
                  <c:v>9. Industria, innovación e infraestructura</c:v>
                </c:pt>
                <c:pt idx="9">
                  <c:v>10. Reducción de las desigualdades</c:v>
                </c:pt>
                <c:pt idx="10">
                  <c:v>11. Ciudades y comunidades sostenibles</c:v>
                </c:pt>
                <c:pt idx="11">
                  <c:v>12. Producción y consumo responsables</c:v>
                </c:pt>
                <c:pt idx="12">
                  <c:v>13. Acción por el clima</c:v>
                </c:pt>
                <c:pt idx="13">
                  <c:v>14. Vida submarina</c:v>
                </c:pt>
                <c:pt idx="14">
                  <c:v>15. Vida de ecosistemas terrestres</c:v>
                </c:pt>
                <c:pt idx="15">
                  <c:v>16. Paz, justicia e instituciones sólidas</c:v>
                </c:pt>
                <c:pt idx="16">
                  <c:v>17. Alianzas para lograr los objetivos</c:v>
                </c:pt>
              </c:strCache>
            </c:strRef>
          </c:cat>
          <c:val>
            <c:numRef>
              <c:f>Resumen!$H$57:$H$73</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5="http://schemas.microsoft.com/office/drawing/2012/chart" uri="{02D57815-91ED-43cb-92C2-25804820EDAC}">
              <c15:datalabelsRange>
                <c15:f>Resumen!$I$57:$I$73</c15:f>
                <c15:dlblRangeCache>
                  <c:ptCount val="17"/>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15:dlblRangeCache>
              </c15:datalabelsRange>
            </c:ext>
            <c:ext xmlns:c16="http://schemas.microsoft.com/office/drawing/2014/chart" uri="{C3380CC4-5D6E-409C-BE32-E72D297353CC}">
              <c16:uniqueId val="{00000000-53F3-4BB8-BEDE-49888A2550F4}"/>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línea estratégica*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7898671917919748"/>
          <c:y val="0.11659932659932661"/>
          <c:w val="0.66433337949485105"/>
          <c:h val="0.83710667416572926"/>
        </c:manualLayout>
      </c:layout>
      <c:barChart>
        <c:barDir val="bar"/>
        <c:grouping val="clustered"/>
        <c:varyColors val="0"/>
        <c:ser>
          <c:idx val="0"/>
          <c:order val="0"/>
          <c:spPr>
            <a:solidFill>
              <a:srgbClr val="60B99A"/>
            </a:solidFill>
            <a:ln>
              <a:noFill/>
            </a:ln>
            <a:effectLst/>
          </c:spPr>
          <c:invertIfNegative val="0"/>
          <c:dLbls>
            <c:dLbl>
              <c:idx val="0"/>
              <c:tx>
                <c:rich>
                  <a:bodyPr/>
                  <a:lstStyle/>
                  <a:p>
                    <a:fld id="{49A901A0-6390-4DDB-B0B9-E75752929833}" type="CELLRANGE">
                      <a:rPr lang="en-US"/>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3F4-43EE-A6A9-753ABBA3EEF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[0]!nombreslineasest</c:f>
              <c:strCache>
                <c:ptCount val="1"/>
                <c:pt idx="0">
                  <c:v>NA</c:v>
                </c:pt>
              </c:strCache>
            </c:strRef>
          </c:cat>
          <c:val>
            <c:numRef>
              <c:f>[0]!valoreslineasest</c:f>
              <c:numCache>
                <c:formatCode>#,##0</c:formatCode>
                <c:ptCount val="1"/>
                <c:pt idx="0">
                  <c:v>0</c:v>
                </c:pt>
              </c:numCache>
            </c:numRef>
          </c:val>
          <c:extLst>
            <c:ext xmlns:c15="http://schemas.microsoft.com/office/drawing/2012/chart" uri="{02D57815-91ED-43cb-92C2-25804820EDAC}">
              <c15:datalabelsRange>
                <c15:f>Resumen!$W$7:$W$75</c15:f>
                <c15:dlblRangeCache>
                  <c:ptCount val="69"/>
                </c15:dlblRangeCache>
              </c15:datalabelsRange>
            </c:ext>
            <c:ext xmlns:c16="http://schemas.microsoft.com/office/drawing/2014/chart" uri="{C3380CC4-5D6E-409C-BE32-E72D297353CC}">
              <c16:uniqueId val="{00000020-EAAB-468A-8713-3B6913F63213}"/>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0"/>
    <c:dispBlanksAs val="gap"/>
    <c:showDLblsOverMax val="0"/>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400018957477453"/>
          <c:y val="1.4814814814814815E-2"/>
          <c:w val="0.38169262531008191"/>
          <c:h val="0.96296296296296291"/>
        </c:manualLayout>
      </c:layout>
      <c:pieChart>
        <c:varyColors val="1"/>
        <c:ser>
          <c:idx val="0"/>
          <c:order val="0"/>
          <c:spPr>
            <a:solidFill>
              <a:srgbClr val="C373B6"/>
            </a:solidFill>
            <a:ln>
              <a:noFill/>
            </a:ln>
          </c:spPr>
          <c:dPt>
            <c:idx val="0"/>
            <c:bubble3D val="0"/>
            <c:spPr>
              <a:solidFill>
                <a:srgbClr val="A65CC4"/>
              </a:solidFill>
              <a:ln w="19050">
                <a:noFill/>
              </a:ln>
              <a:effectLst/>
            </c:spPr>
            <c:extLst>
              <c:ext xmlns:c16="http://schemas.microsoft.com/office/drawing/2014/chart" uri="{C3380CC4-5D6E-409C-BE32-E72D297353CC}">
                <c16:uniqueId val="{00000001-772A-4EA5-895F-383FD42FDA66}"/>
              </c:ext>
            </c:extLst>
          </c:dPt>
          <c:dPt>
            <c:idx val="1"/>
            <c:bubble3D val="0"/>
            <c:spPr>
              <a:solidFill>
                <a:srgbClr val="D165AA"/>
              </a:solidFill>
              <a:ln w="19050">
                <a:noFill/>
              </a:ln>
              <a:effectLst/>
            </c:spPr>
            <c:extLst>
              <c:ext xmlns:c16="http://schemas.microsoft.com/office/drawing/2014/chart" uri="{C3380CC4-5D6E-409C-BE32-E72D297353CC}">
                <c16:uniqueId val="{00000003-772A-4EA5-895F-383FD42FDA66}"/>
              </c:ext>
            </c:extLst>
          </c:dPt>
          <c:dPt>
            <c:idx val="2"/>
            <c:bubble3D val="0"/>
            <c:spPr>
              <a:solidFill>
                <a:srgbClr val="E68297"/>
              </a:solidFill>
              <a:ln w="19050">
                <a:noFill/>
              </a:ln>
              <a:effectLst/>
            </c:spPr>
            <c:extLst>
              <c:ext xmlns:c16="http://schemas.microsoft.com/office/drawing/2014/chart" uri="{C3380CC4-5D6E-409C-BE32-E72D297353CC}">
                <c16:uniqueId val="{00000005-772A-4EA5-895F-383FD42FDA66}"/>
              </c:ext>
            </c:extLst>
          </c:dPt>
          <c:dPt>
            <c:idx val="3"/>
            <c:bubble3D val="0"/>
            <c:spPr>
              <a:solidFill>
                <a:srgbClr val="F8A39A"/>
              </a:solidFill>
              <a:ln w="19050">
                <a:noFill/>
              </a:ln>
              <a:effectLst/>
            </c:spPr>
            <c:extLst>
              <c:ext xmlns:c16="http://schemas.microsoft.com/office/drawing/2014/chart" uri="{C3380CC4-5D6E-409C-BE32-E72D297353CC}">
                <c16:uniqueId val="{00000007-772A-4EA5-895F-383FD42FDA66}"/>
              </c:ext>
            </c:extLst>
          </c:dPt>
          <c:dPt>
            <c:idx val="4"/>
            <c:bubble3D val="0"/>
            <c:spPr>
              <a:solidFill>
                <a:srgbClr val="FBC997"/>
              </a:solidFill>
              <a:ln w="19050">
                <a:noFill/>
              </a:ln>
              <a:effectLst/>
            </c:spPr>
            <c:extLst>
              <c:ext xmlns:c16="http://schemas.microsoft.com/office/drawing/2014/chart" uri="{C3380CC4-5D6E-409C-BE32-E72D297353CC}">
                <c16:uniqueId val="{00000009-772A-4EA5-895F-383FD42FDA66}"/>
              </c:ext>
            </c:extLst>
          </c:dPt>
          <c:dPt>
            <c:idx val="5"/>
            <c:bubble3D val="0"/>
            <c:spPr>
              <a:solidFill>
                <a:srgbClr val="ADEC9E"/>
              </a:solidFill>
              <a:ln w="19050">
                <a:noFill/>
              </a:ln>
              <a:effectLst/>
            </c:spPr>
            <c:extLst>
              <c:ext xmlns:c16="http://schemas.microsoft.com/office/drawing/2014/chart" uri="{C3380CC4-5D6E-409C-BE32-E72D297353CC}">
                <c16:uniqueId val="{0000000B-9686-43CC-A90F-CD97B669F8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Resumen!$B$95:$B$100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A-772A-4EA5-895F-383FD42FDA6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249554</xdr:colOff>
      <xdr:row>0</xdr:row>
      <xdr:rowOff>171450</xdr:rowOff>
    </xdr:from>
    <xdr:to>
      <xdr:col>2</xdr:col>
      <xdr:colOff>373379</xdr:colOff>
      <xdr:row>1</xdr:row>
      <xdr:rowOff>22025</xdr:rowOff>
    </xdr:to>
    <xdr:pic>
      <xdr:nvPicPr>
        <xdr:cNvPr id="9" name="Imagen 8">
          <a:extLst>
            <a:ext uri="{FF2B5EF4-FFF2-40B4-BE49-F238E27FC236}">
              <a16:creationId xmlns:a16="http://schemas.microsoft.com/office/drawing/2014/main" id="{429447C4-62D8-7086-51BB-9F33F393A8DD}"/>
            </a:ext>
          </a:extLst>
        </xdr:cNvPr>
        <xdr:cNvPicPr>
          <a:picLocks noChangeAspect="1"/>
        </xdr:cNvPicPr>
      </xdr:nvPicPr>
      <xdr:blipFill>
        <a:blip xmlns:r="http://schemas.openxmlformats.org/officeDocument/2006/relationships" r:embed="rId1"/>
        <a:stretch>
          <a:fillRect/>
        </a:stretch>
      </xdr:blipFill>
      <xdr:spPr>
        <a:xfrm>
          <a:off x="249554" y="171450"/>
          <a:ext cx="1716405" cy="810695"/>
        </a:xfrm>
        <a:prstGeom prst="rect">
          <a:avLst/>
        </a:prstGeom>
      </xdr:spPr>
    </xdr:pic>
    <xdr:clientData/>
  </xdr:twoCellAnchor>
  <xdr:twoCellAnchor editAs="absolute">
    <xdr:from>
      <xdr:col>1</xdr:col>
      <xdr:colOff>0</xdr:colOff>
      <xdr:row>46</xdr:row>
      <xdr:rowOff>0</xdr:rowOff>
    </xdr:from>
    <xdr:to>
      <xdr:col>7</xdr:col>
      <xdr:colOff>0</xdr:colOff>
      <xdr:row>74</xdr:row>
      <xdr:rowOff>0</xdr:rowOff>
    </xdr:to>
    <xdr:graphicFrame macro="">
      <xdr:nvGraphicFramePr>
        <xdr:cNvPr id="10" name="Gráfico 9">
          <a:extLst>
            <a:ext uri="{FF2B5EF4-FFF2-40B4-BE49-F238E27FC236}">
              <a16:creationId xmlns:a16="http://schemas.microsoft.com/office/drawing/2014/main" id="{0E6B3274-7F69-07E7-C2ED-13BBD9E54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0</xdr:colOff>
      <xdr:row>46</xdr:row>
      <xdr:rowOff>0</xdr:rowOff>
    </xdr:from>
    <xdr:to>
      <xdr:col>13</xdr:col>
      <xdr:colOff>0</xdr:colOff>
      <xdr:row>74</xdr:row>
      <xdr:rowOff>0</xdr:rowOff>
    </xdr:to>
    <xdr:graphicFrame macro="">
      <xdr:nvGraphicFramePr>
        <xdr:cNvPr id="11" name="Gráfico 10">
          <a:extLst>
            <a:ext uri="{FF2B5EF4-FFF2-40B4-BE49-F238E27FC236}">
              <a16:creationId xmlns:a16="http://schemas.microsoft.com/office/drawing/2014/main" id="{DDD922E9-F3B1-4056-AD1E-D584EDB0B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0</xdr:colOff>
      <xdr:row>17</xdr:row>
      <xdr:rowOff>0</xdr:rowOff>
    </xdr:from>
    <xdr:to>
      <xdr:col>13</xdr:col>
      <xdr:colOff>0</xdr:colOff>
      <xdr:row>46</xdr:row>
      <xdr:rowOff>0</xdr:rowOff>
    </xdr:to>
    <xdr:graphicFrame macro="">
      <xdr:nvGraphicFramePr>
        <xdr:cNvPr id="29" name="Gráfico 28">
          <a:extLst>
            <a:ext uri="{FF2B5EF4-FFF2-40B4-BE49-F238E27FC236}">
              <a16:creationId xmlns:a16="http://schemas.microsoft.com/office/drawing/2014/main" id="{F900B710-7DA2-43DD-BF7C-83ADE202F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18</xdr:row>
      <xdr:rowOff>0</xdr:rowOff>
    </xdr:from>
    <xdr:to>
      <xdr:col>7</xdr:col>
      <xdr:colOff>0</xdr:colOff>
      <xdr:row>43</xdr:row>
      <xdr:rowOff>0</xdr:rowOff>
    </xdr:to>
    <xdr:graphicFrame macro="">
      <xdr:nvGraphicFramePr>
        <xdr:cNvPr id="30" name="Gráfico 29">
          <a:extLst>
            <a:ext uri="{FF2B5EF4-FFF2-40B4-BE49-F238E27FC236}">
              <a16:creationId xmlns:a16="http://schemas.microsoft.com/office/drawing/2014/main" id="{F5C341FE-74B7-4B89-8812-8722A34F1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0</xdr:colOff>
      <xdr:row>93</xdr:row>
      <xdr:rowOff>0</xdr:rowOff>
    </xdr:from>
    <xdr:to>
      <xdr:col>13</xdr:col>
      <xdr:colOff>0</xdr:colOff>
      <xdr:row>101</xdr:row>
      <xdr:rowOff>0</xdr:rowOff>
    </xdr:to>
    <xdr:graphicFrame macro="">
      <xdr:nvGraphicFramePr>
        <xdr:cNvPr id="3" name="Gráfico 2">
          <a:extLst>
            <a:ext uri="{FF2B5EF4-FFF2-40B4-BE49-F238E27FC236}">
              <a16:creationId xmlns:a16="http://schemas.microsoft.com/office/drawing/2014/main" id="{E951E863-527F-4EC4-B409-F5B020577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5</xdr:col>
      <xdr:colOff>0</xdr:colOff>
      <xdr:row>112</xdr:row>
      <xdr:rowOff>0</xdr:rowOff>
    </xdr:from>
    <xdr:to>
      <xdr:col>9</xdr:col>
      <xdr:colOff>0</xdr:colOff>
      <xdr:row>120</xdr:row>
      <xdr:rowOff>0</xdr:rowOff>
    </xdr:to>
    <xdr:grpSp>
      <xdr:nvGrpSpPr>
        <xdr:cNvPr id="4" name="Grupo 3">
          <a:extLst>
            <a:ext uri="{FF2B5EF4-FFF2-40B4-BE49-F238E27FC236}">
              <a16:creationId xmlns:a16="http://schemas.microsoft.com/office/drawing/2014/main" id="{80528A17-19CF-4C80-8F40-C3938E99294E}"/>
            </a:ext>
          </a:extLst>
        </xdr:cNvPr>
        <xdr:cNvGrpSpPr>
          <a:grpSpLocks noChangeAspect="1"/>
        </xdr:cNvGrpSpPr>
      </xdr:nvGrpSpPr>
      <xdr:grpSpPr>
        <a:xfrm>
          <a:off x="4650441" y="22860000"/>
          <a:ext cx="4123765" cy="1524000"/>
          <a:chOff x="6902824" y="29619388"/>
          <a:chExt cx="3270325" cy="2006526"/>
        </a:xfrm>
      </xdr:grpSpPr>
      <xdr:sp macro="" textlink="$R$110">
        <xdr:nvSpPr>
          <xdr:cNvPr id="5" name="Forma libre: forma 4">
            <a:extLst>
              <a:ext uri="{FF2B5EF4-FFF2-40B4-BE49-F238E27FC236}">
                <a16:creationId xmlns:a16="http://schemas.microsoft.com/office/drawing/2014/main" id="{E52B1A9E-CA54-4AB7-7433-644E9F541614}"/>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379054B-11B5-42D2-A69C-E3DE5BC30DC8}" type="TxLink">
              <a:rPr lang="en-US" sz="1400" b="0" i="0" u="none" strike="noStrike">
                <a:solidFill>
                  <a:srgbClr val="000000"/>
                </a:solidFill>
                <a:latin typeface="+mn-lt"/>
                <a:ea typeface="Verdana"/>
              </a:rPr>
              <a:pPr algn="ctr"/>
              <a:t>0 coincidencias</a:t>
            </a:fld>
            <a:endParaRPr lang="en-US" sz="1400">
              <a:latin typeface="+mn-lt"/>
            </a:endParaRPr>
          </a:p>
        </xdr:txBody>
      </xdr:sp>
      <xdr:sp macro="" textlink="$Q$109">
        <xdr:nvSpPr>
          <xdr:cNvPr id="6" name="Forma libre: forma 5">
            <a:extLst>
              <a:ext uri="{FF2B5EF4-FFF2-40B4-BE49-F238E27FC236}">
                <a16:creationId xmlns:a16="http://schemas.microsoft.com/office/drawing/2014/main" id="{7B6FDB5E-EF03-F8BE-D836-B39A11E8C503}"/>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08795D3-8938-4287-88D2-820E25FB89B4}" type="TxLink">
              <a:rPr lang="en-US" sz="1400" b="0" i="0" u="none" strike="noStrike">
                <a:solidFill>
                  <a:srgbClr val="000000"/>
                </a:solidFill>
                <a:latin typeface="+mn-lt"/>
                <a:ea typeface="Verdana"/>
              </a:rPr>
              <a:pPr algn="ctr"/>
              <a:t>0</a:t>
            </a:fld>
            <a:endParaRPr lang="en-US" sz="1400">
              <a:latin typeface="+mn-lt"/>
            </a:endParaRPr>
          </a:p>
        </xdr:txBody>
      </xdr:sp>
      <xdr:sp macro="" textlink="$Q$111">
        <xdr:nvSpPr>
          <xdr:cNvPr id="8" name="Forma libre: forma 7">
            <a:extLst>
              <a:ext uri="{FF2B5EF4-FFF2-40B4-BE49-F238E27FC236}">
                <a16:creationId xmlns:a16="http://schemas.microsoft.com/office/drawing/2014/main" id="{E5122033-FB52-1742-0D32-AABD621BFC67}"/>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C6624074-2077-4ED6-960C-0C5783F361EB}"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2" name="Elipse 11">
            <a:extLst>
              <a:ext uri="{FF2B5EF4-FFF2-40B4-BE49-F238E27FC236}">
                <a16:creationId xmlns:a16="http://schemas.microsoft.com/office/drawing/2014/main" id="{B394540E-B2D4-8E32-0D03-75E3A50C1C70}"/>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3" name="Elipse 12">
            <a:extLst>
              <a:ext uri="{FF2B5EF4-FFF2-40B4-BE49-F238E27FC236}">
                <a16:creationId xmlns:a16="http://schemas.microsoft.com/office/drawing/2014/main" id="{ADC1EE1E-0A1F-0360-A947-DA330CCCF791}"/>
              </a:ext>
            </a:extLst>
          </xdr:cNvPr>
          <xdr:cNvSpPr/>
        </xdr:nvSpPr>
        <xdr:spPr>
          <a:xfrm>
            <a:off x="7931971" y="29619389"/>
            <a:ext cx="2241177" cy="2006525"/>
          </a:xfrm>
          <a:prstGeom prst="ellipse">
            <a:avLst/>
          </a:prstGeom>
          <a:noFill/>
          <a:ln>
            <a:solidFill>
              <a:srgbClr val="AFA927">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5</xdr:col>
      <xdr:colOff>0</xdr:colOff>
      <xdr:row>82</xdr:row>
      <xdr:rowOff>0</xdr:rowOff>
    </xdr:from>
    <xdr:to>
      <xdr:col>9</xdr:col>
      <xdr:colOff>0</xdr:colOff>
      <xdr:row>90</xdr:row>
      <xdr:rowOff>0</xdr:rowOff>
    </xdr:to>
    <xdr:grpSp>
      <xdr:nvGrpSpPr>
        <xdr:cNvPr id="2" name="Grupo 1">
          <a:extLst>
            <a:ext uri="{FF2B5EF4-FFF2-40B4-BE49-F238E27FC236}">
              <a16:creationId xmlns:a16="http://schemas.microsoft.com/office/drawing/2014/main" id="{8F678206-92CC-46F4-A511-C844D62EAFB7}"/>
            </a:ext>
          </a:extLst>
        </xdr:cNvPr>
        <xdr:cNvGrpSpPr>
          <a:grpSpLocks noChangeAspect="1"/>
        </xdr:cNvGrpSpPr>
      </xdr:nvGrpSpPr>
      <xdr:grpSpPr>
        <a:xfrm>
          <a:off x="4650441" y="17111382"/>
          <a:ext cx="4123765" cy="1524000"/>
          <a:chOff x="6902824" y="29619388"/>
          <a:chExt cx="3270325" cy="2006526"/>
        </a:xfrm>
      </xdr:grpSpPr>
      <xdr:sp macro="" textlink="$R$93">
        <xdr:nvSpPr>
          <xdr:cNvPr id="14" name="Forma libre: forma 13">
            <a:extLst>
              <a:ext uri="{FF2B5EF4-FFF2-40B4-BE49-F238E27FC236}">
                <a16:creationId xmlns:a16="http://schemas.microsoft.com/office/drawing/2014/main" id="{6B786AE8-2ACB-26E4-90D6-ABB60D0553F0}"/>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fld id="{042FA624-CE2C-4285-95D0-E93D82F1F817}" type="TxLink">
              <a:rPr lang="en-US" sz="1400" b="0" i="0" u="none" strike="noStrike">
                <a:solidFill>
                  <a:srgbClr val="000000"/>
                </a:solidFill>
                <a:latin typeface="Calibri"/>
                <a:ea typeface="Calibri"/>
                <a:cs typeface="Calibri"/>
              </a:rPr>
              <a:pPr algn="ctr"/>
              <a:t>0 coincidencias</a:t>
            </a:fld>
            <a:endParaRPr lang="en-US" sz="1400">
              <a:latin typeface="+mn-lt"/>
            </a:endParaRPr>
          </a:p>
        </xdr:txBody>
      </xdr:sp>
      <xdr:sp macro="" textlink="$Q$92">
        <xdr:nvSpPr>
          <xdr:cNvPr id="15" name="Forma libre: forma 14">
            <a:extLst>
              <a:ext uri="{FF2B5EF4-FFF2-40B4-BE49-F238E27FC236}">
                <a16:creationId xmlns:a16="http://schemas.microsoft.com/office/drawing/2014/main" id="{B22F5328-AB0F-050A-2DE1-EB10E804ABC9}"/>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EEFE0424-834C-48B2-ABE1-292AEFB58B6E}" type="TxLink">
              <a:rPr lang="en-US" sz="1400" b="0" i="0" u="none" strike="noStrike">
                <a:solidFill>
                  <a:srgbClr val="000000"/>
                </a:solidFill>
                <a:latin typeface="+mn-lt"/>
                <a:ea typeface="Verdana"/>
              </a:rPr>
              <a:pPr algn="ctr"/>
              <a:t>0</a:t>
            </a:fld>
            <a:endParaRPr lang="en-US" sz="1400">
              <a:latin typeface="+mn-lt"/>
            </a:endParaRPr>
          </a:p>
        </xdr:txBody>
      </xdr:sp>
      <xdr:sp macro="" textlink="$Q$94">
        <xdr:nvSpPr>
          <xdr:cNvPr id="16" name="Forma libre: forma 15">
            <a:extLst>
              <a:ext uri="{FF2B5EF4-FFF2-40B4-BE49-F238E27FC236}">
                <a16:creationId xmlns:a16="http://schemas.microsoft.com/office/drawing/2014/main" id="{3695FD02-B6AD-5344-8F70-C380438A91F6}"/>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5D5CE236-CC04-44F4-8E4F-8203FD51087E}"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7" name="Elipse 16">
            <a:extLst>
              <a:ext uri="{FF2B5EF4-FFF2-40B4-BE49-F238E27FC236}">
                <a16:creationId xmlns:a16="http://schemas.microsoft.com/office/drawing/2014/main" id="{E992395C-DA69-DEBA-6374-EAF453941EF4}"/>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8" name="Elipse 17">
            <a:extLst>
              <a:ext uri="{FF2B5EF4-FFF2-40B4-BE49-F238E27FC236}">
                <a16:creationId xmlns:a16="http://schemas.microsoft.com/office/drawing/2014/main" id="{579E954C-2A7C-837B-ED34-247BE398BD67}"/>
              </a:ext>
            </a:extLst>
          </xdr:cNvPr>
          <xdr:cNvSpPr/>
        </xdr:nvSpPr>
        <xdr:spPr>
          <a:xfrm>
            <a:off x="7931971" y="29619389"/>
            <a:ext cx="2241177" cy="2006525"/>
          </a:xfrm>
          <a:prstGeom prst="ellipse">
            <a:avLst/>
          </a:prstGeom>
          <a:noFill/>
          <a:ln>
            <a:solidFill>
              <a:srgbClr val="786256">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11</xdr:col>
      <xdr:colOff>152401</xdr:colOff>
      <xdr:row>0</xdr:row>
      <xdr:rowOff>295836</xdr:rowOff>
    </xdr:from>
    <xdr:to>
      <xdr:col>12</xdr:col>
      <xdr:colOff>1184014</xdr:colOff>
      <xdr:row>0</xdr:row>
      <xdr:rowOff>889160</xdr:rowOff>
    </xdr:to>
    <xdr:pic>
      <xdr:nvPicPr>
        <xdr:cNvPr id="19" name="Gráfico 18">
          <a:extLst>
            <a:ext uri="{FF2B5EF4-FFF2-40B4-BE49-F238E27FC236}">
              <a16:creationId xmlns:a16="http://schemas.microsoft.com/office/drawing/2014/main" id="{3747326D-EBAD-46C7-A748-B1D2C28448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268636" y="295836"/>
          <a:ext cx="2089449" cy="593324"/>
        </a:xfrm>
        <a:prstGeom prst="rect">
          <a:avLst/>
        </a:prstGeom>
      </xdr:spPr>
    </xdr:pic>
    <xdr:clientData/>
  </xdr:twoCellAnchor>
  <xdr:twoCellAnchor editAs="absolute">
    <xdr:from>
      <xdr:col>1</xdr:col>
      <xdr:colOff>818029</xdr:colOff>
      <xdr:row>133</xdr:row>
      <xdr:rowOff>123264</xdr:rowOff>
    </xdr:from>
    <xdr:to>
      <xdr:col>5</xdr:col>
      <xdr:colOff>851647</xdr:colOff>
      <xdr:row>150</xdr:row>
      <xdr:rowOff>123263</xdr:rowOff>
    </xdr:to>
    <xdr:grpSp>
      <xdr:nvGrpSpPr>
        <xdr:cNvPr id="42" name="Grupo 41">
          <a:extLst>
            <a:ext uri="{FF2B5EF4-FFF2-40B4-BE49-F238E27FC236}">
              <a16:creationId xmlns:a16="http://schemas.microsoft.com/office/drawing/2014/main" id="{DC9A9036-9FAA-1CC4-59B2-63A29C5EFD5E}"/>
            </a:ext>
          </a:extLst>
        </xdr:cNvPr>
        <xdr:cNvGrpSpPr/>
      </xdr:nvGrpSpPr>
      <xdr:grpSpPr>
        <a:xfrm>
          <a:off x="1143000" y="27006176"/>
          <a:ext cx="4359088" cy="3238499"/>
          <a:chOff x="1467970" y="26737235"/>
          <a:chExt cx="4235824" cy="3238499"/>
        </a:xfrm>
      </xdr:grpSpPr>
      <xdr:grpSp>
        <xdr:nvGrpSpPr>
          <xdr:cNvPr id="21" name="Grupo 20">
            <a:extLst>
              <a:ext uri="{FF2B5EF4-FFF2-40B4-BE49-F238E27FC236}">
                <a16:creationId xmlns:a16="http://schemas.microsoft.com/office/drawing/2014/main" id="{CA32201B-FF8D-3BE4-78C7-6E6672A40871}"/>
              </a:ext>
            </a:extLst>
          </xdr:cNvPr>
          <xdr:cNvGrpSpPr/>
        </xdr:nvGrpSpPr>
        <xdr:grpSpPr>
          <a:xfrm>
            <a:off x="1467970" y="26737235"/>
            <a:ext cx="4235824" cy="3238499"/>
            <a:chOff x="3575352" y="239547"/>
            <a:chExt cx="5084165" cy="4634459"/>
          </a:xfrm>
        </xdr:grpSpPr>
        <xdr:grpSp>
          <xdr:nvGrpSpPr>
            <xdr:cNvPr id="22" name="Grupo 21">
              <a:extLst>
                <a:ext uri="{FF2B5EF4-FFF2-40B4-BE49-F238E27FC236}">
                  <a16:creationId xmlns:a16="http://schemas.microsoft.com/office/drawing/2014/main" id="{EC8CEA55-0D96-5FA0-5420-F8BEDA7A4B2F}"/>
                </a:ext>
              </a:extLst>
            </xdr:cNvPr>
            <xdr:cNvGrpSpPr/>
          </xdr:nvGrpSpPr>
          <xdr:grpSpPr>
            <a:xfrm>
              <a:off x="3575352" y="239547"/>
              <a:ext cx="5084165" cy="4634459"/>
              <a:chOff x="6627099" y="239547"/>
              <a:chExt cx="5084165" cy="4634459"/>
            </a:xfrm>
          </xdr:grpSpPr>
          <xdr:sp macro="" textlink="">
            <xdr:nvSpPr>
              <xdr:cNvPr id="27" name="Forma libre: forma 26">
                <a:extLst>
                  <a:ext uri="{FF2B5EF4-FFF2-40B4-BE49-F238E27FC236}">
                    <a16:creationId xmlns:a16="http://schemas.microsoft.com/office/drawing/2014/main" id="{81A819C1-C771-06A5-DFFD-8EBB17E79FD5}"/>
                  </a:ext>
                </a:extLst>
              </xdr:cNvPr>
              <xdr:cNvSpPr/>
            </xdr:nvSpPr>
            <xdr:spPr>
              <a:xfrm>
                <a:off x="8159645" y="402360"/>
                <a:ext cx="2019073" cy="1466782"/>
              </a:xfrm>
              <a:custGeom>
                <a:avLst/>
                <a:gdLst>
                  <a:gd name="connsiteX0" fmla="*/ 1009536 w 2019073"/>
                  <a:gd name="connsiteY0" fmla="*/ 0 h 1466782"/>
                  <a:gd name="connsiteX1" fmla="*/ 1090496 w 2019073"/>
                  <a:gd name="connsiteY1" fmla="*/ 36203 h 1466782"/>
                  <a:gd name="connsiteX2" fmla="*/ 2010953 w 2019073"/>
                  <a:gd name="connsiteY2" fmla="*/ 1317513 h 1466782"/>
                  <a:gd name="connsiteX3" fmla="*/ 2019073 w 2019073"/>
                  <a:gd name="connsiteY3" fmla="*/ 1466781 h 1466782"/>
                  <a:gd name="connsiteX4" fmla="*/ 2002703 w 2019073"/>
                  <a:gd name="connsiteY4" fmla="*/ 1455418 h 1466782"/>
                  <a:gd name="connsiteX5" fmla="*/ 1009537 w 2019073"/>
                  <a:gd name="connsiteY5" fmla="*/ 1173809 h 1466782"/>
                  <a:gd name="connsiteX6" fmla="*/ 16371 w 2019073"/>
                  <a:gd name="connsiteY6" fmla="*/ 1455418 h 1466782"/>
                  <a:gd name="connsiteX7" fmla="*/ 0 w 2019073"/>
                  <a:gd name="connsiteY7" fmla="*/ 1466782 h 1466782"/>
                  <a:gd name="connsiteX8" fmla="*/ 8120 w 2019073"/>
                  <a:gd name="connsiteY8" fmla="*/ 1317513 h 1466782"/>
                  <a:gd name="connsiteX9" fmla="*/ 928577 w 2019073"/>
                  <a:gd name="connsiteY9" fmla="*/ 36203 h 1466782"/>
                  <a:gd name="connsiteX10" fmla="*/ 1009536 w 2019073"/>
                  <a:gd name="connsiteY10" fmla="*/ 0 h 1466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19073" h="1466782">
                    <a:moveTo>
                      <a:pt x="1009536" y="0"/>
                    </a:moveTo>
                    <a:lnTo>
                      <a:pt x="1090496" y="36203"/>
                    </a:lnTo>
                    <a:cubicBezTo>
                      <a:pt x="1593885" y="290045"/>
                      <a:pt x="1950309" y="763195"/>
                      <a:pt x="2010953" y="1317513"/>
                    </a:cubicBezTo>
                    <a:lnTo>
                      <a:pt x="2019073" y="1466781"/>
                    </a:lnTo>
                    <a:lnTo>
                      <a:pt x="2002703" y="1455418"/>
                    </a:lnTo>
                    <a:cubicBezTo>
                      <a:pt x="1719198" y="1277625"/>
                      <a:pt x="1377428" y="1173809"/>
                      <a:pt x="1009537" y="1173809"/>
                    </a:cubicBezTo>
                    <a:cubicBezTo>
                      <a:pt x="641646" y="1173809"/>
                      <a:pt x="299876" y="1277625"/>
                      <a:pt x="16371" y="1455418"/>
                    </a:cubicBezTo>
                    <a:lnTo>
                      <a:pt x="0" y="1466782"/>
                    </a:lnTo>
                    <a:lnTo>
                      <a:pt x="8120" y="1317513"/>
                    </a:lnTo>
                    <a:cubicBezTo>
                      <a:pt x="68764" y="763195"/>
                      <a:pt x="425188" y="290045"/>
                      <a:pt x="928577" y="36203"/>
                    </a:cubicBezTo>
                    <a:lnTo>
                      <a:pt x="1009536"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8" name="Forma libre: forma 27">
                <a:extLst>
                  <a:ext uri="{FF2B5EF4-FFF2-40B4-BE49-F238E27FC236}">
                    <a16:creationId xmlns:a16="http://schemas.microsoft.com/office/drawing/2014/main" id="{675AB424-9C3B-21C5-A1F2-D284DD473788}"/>
                  </a:ext>
                </a:extLst>
              </xdr:cNvPr>
              <xdr:cNvSpPr/>
            </xdr:nvSpPr>
            <xdr:spPr>
              <a:xfrm>
                <a:off x="9169181" y="1869141"/>
                <a:ext cx="1776336" cy="1668242"/>
              </a:xfrm>
              <a:custGeom>
                <a:avLst/>
                <a:gdLst>
                  <a:gd name="connsiteX0" fmla="*/ 1009537 w 1776336"/>
                  <a:gd name="connsiteY0" fmla="*/ 0 h 1668242"/>
                  <a:gd name="connsiteX1" fmla="*/ 1129915 w 1776336"/>
                  <a:gd name="connsiteY1" fmla="*/ 83561 h 1668242"/>
                  <a:gd name="connsiteX2" fmla="*/ 1776336 w 1776336"/>
                  <a:gd name="connsiteY2" fmla="*/ 1355946 h 1668242"/>
                  <a:gd name="connsiteX3" fmla="*/ 1775285 w 1776336"/>
                  <a:gd name="connsiteY3" fmla="*/ 1375269 h 1668242"/>
                  <a:gd name="connsiteX4" fmla="*/ 1758914 w 1776336"/>
                  <a:gd name="connsiteY4" fmla="*/ 1386633 h 1668242"/>
                  <a:gd name="connsiteX5" fmla="*/ 765748 w 1776336"/>
                  <a:gd name="connsiteY5" fmla="*/ 1668242 h 1668242"/>
                  <a:gd name="connsiteX6" fmla="*/ 74318 w 1776336"/>
                  <a:gd name="connsiteY6" fmla="*/ 1538662 h 1668242"/>
                  <a:gd name="connsiteX7" fmla="*/ 0 w 1776336"/>
                  <a:gd name="connsiteY7" fmla="*/ 1505429 h 1668242"/>
                  <a:gd name="connsiteX8" fmla="*/ 80960 w 1776336"/>
                  <a:gd name="connsiteY8" fmla="*/ 1469226 h 1668242"/>
                  <a:gd name="connsiteX9" fmla="*/ 1010588 w 1776336"/>
                  <a:gd name="connsiteY9" fmla="*/ 19324 h 1668242"/>
                  <a:gd name="connsiteX10" fmla="*/ 1009537 w 1776336"/>
                  <a:gd name="connsiteY10" fmla="*/ 0 h 16682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6" h="1668242">
                    <a:moveTo>
                      <a:pt x="1009537" y="0"/>
                    </a:moveTo>
                    <a:lnTo>
                      <a:pt x="1129915" y="83561"/>
                    </a:lnTo>
                    <a:cubicBezTo>
                      <a:pt x="1524701" y="385997"/>
                      <a:pt x="1776336" y="843693"/>
                      <a:pt x="1776336" y="1355946"/>
                    </a:cubicBezTo>
                    <a:lnTo>
                      <a:pt x="1775285" y="1375269"/>
                    </a:lnTo>
                    <a:lnTo>
                      <a:pt x="1758914" y="1386633"/>
                    </a:lnTo>
                    <a:cubicBezTo>
                      <a:pt x="1475409" y="1564426"/>
                      <a:pt x="1133639" y="1668242"/>
                      <a:pt x="765748" y="1668242"/>
                    </a:cubicBezTo>
                    <a:cubicBezTo>
                      <a:pt x="520487" y="1668242"/>
                      <a:pt x="286836" y="1622102"/>
                      <a:pt x="74318" y="1538662"/>
                    </a:cubicBezTo>
                    <a:lnTo>
                      <a:pt x="0" y="1505429"/>
                    </a:lnTo>
                    <a:lnTo>
                      <a:pt x="80960" y="1469226"/>
                    </a:lnTo>
                    <a:cubicBezTo>
                      <a:pt x="634688" y="1190000"/>
                      <a:pt x="1010588" y="645411"/>
                      <a:pt x="1010588" y="19324"/>
                    </a:cubicBezTo>
                    <a:lnTo>
                      <a:pt x="1009537" y="0"/>
                    </a:lnTo>
                    <a:close/>
                  </a:path>
                </a:pathLst>
              </a:custGeom>
              <a:solidFill>
                <a:srgbClr val="D6CF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1" name="Forma libre: forma 30">
                <a:extLst>
                  <a:ext uri="{FF2B5EF4-FFF2-40B4-BE49-F238E27FC236}">
                    <a16:creationId xmlns:a16="http://schemas.microsoft.com/office/drawing/2014/main" id="{D33F7ACE-6593-8449-0D8B-106D7FD70C55}"/>
                  </a:ext>
                </a:extLst>
              </xdr:cNvPr>
              <xdr:cNvSpPr/>
            </xdr:nvSpPr>
            <xdr:spPr>
              <a:xfrm>
                <a:off x="7392847" y="1869143"/>
                <a:ext cx="1776334" cy="1668241"/>
              </a:xfrm>
              <a:custGeom>
                <a:avLst/>
                <a:gdLst>
                  <a:gd name="connsiteX0" fmla="*/ 766798 w 1776334"/>
                  <a:gd name="connsiteY0" fmla="*/ 0 h 1668241"/>
                  <a:gd name="connsiteX1" fmla="*/ 765747 w 1776334"/>
                  <a:gd name="connsiteY1" fmla="*/ 19323 h 1668241"/>
                  <a:gd name="connsiteX2" fmla="*/ 1695375 w 1776334"/>
                  <a:gd name="connsiteY2" fmla="*/ 1469225 h 1668241"/>
                  <a:gd name="connsiteX3" fmla="*/ 1776334 w 1776334"/>
                  <a:gd name="connsiteY3" fmla="*/ 1505428 h 1668241"/>
                  <a:gd name="connsiteX4" fmla="*/ 1702017 w 1776334"/>
                  <a:gd name="connsiteY4" fmla="*/ 1538661 h 1668241"/>
                  <a:gd name="connsiteX5" fmla="*/ 1010587 w 1776334"/>
                  <a:gd name="connsiteY5" fmla="*/ 1668241 h 1668241"/>
                  <a:gd name="connsiteX6" fmla="*/ 17421 w 1776334"/>
                  <a:gd name="connsiteY6" fmla="*/ 1386632 h 1668241"/>
                  <a:gd name="connsiteX7" fmla="*/ 1051 w 1776334"/>
                  <a:gd name="connsiteY7" fmla="*/ 1375269 h 1668241"/>
                  <a:gd name="connsiteX8" fmla="*/ 0 w 1776334"/>
                  <a:gd name="connsiteY8" fmla="*/ 1355945 h 1668241"/>
                  <a:gd name="connsiteX9" fmla="*/ 646421 w 1776334"/>
                  <a:gd name="connsiteY9" fmla="*/ 83560 h 1668241"/>
                  <a:gd name="connsiteX10" fmla="*/ 766798 w 1776334"/>
                  <a:gd name="connsiteY10" fmla="*/ 0 h 16682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4" h="1668241">
                    <a:moveTo>
                      <a:pt x="766798" y="0"/>
                    </a:moveTo>
                    <a:lnTo>
                      <a:pt x="765747" y="19323"/>
                    </a:lnTo>
                    <a:cubicBezTo>
                      <a:pt x="765747" y="645410"/>
                      <a:pt x="1141647" y="1189999"/>
                      <a:pt x="1695375" y="1469225"/>
                    </a:cubicBezTo>
                    <a:lnTo>
                      <a:pt x="1776334" y="1505428"/>
                    </a:lnTo>
                    <a:lnTo>
                      <a:pt x="1702017" y="1538661"/>
                    </a:lnTo>
                    <a:cubicBezTo>
                      <a:pt x="1489499" y="1622101"/>
                      <a:pt x="1255848" y="1668241"/>
                      <a:pt x="1010587" y="1668241"/>
                    </a:cubicBezTo>
                    <a:cubicBezTo>
                      <a:pt x="642696" y="1668241"/>
                      <a:pt x="300926" y="1564425"/>
                      <a:pt x="17421" y="1386632"/>
                    </a:cubicBezTo>
                    <a:lnTo>
                      <a:pt x="1051" y="1375269"/>
                    </a:lnTo>
                    <a:lnTo>
                      <a:pt x="0" y="1355945"/>
                    </a:lnTo>
                    <a:cubicBezTo>
                      <a:pt x="0" y="843692"/>
                      <a:pt x="251636" y="385996"/>
                      <a:pt x="646421" y="83560"/>
                    </a:cubicBezTo>
                    <a:lnTo>
                      <a:pt x="766798"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sz="1200"/>
              </a:p>
            </xdr:txBody>
          </xdr:sp>
          <xdr:sp macro="" textlink="">
            <xdr:nvSpPr>
              <xdr:cNvPr id="32" name="Forma libre: forma 31">
                <a:extLst>
                  <a:ext uri="{FF2B5EF4-FFF2-40B4-BE49-F238E27FC236}">
                    <a16:creationId xmlns:a16="http://schemas.microsoft.com/office/drawing/2014/main" id="{D0F2E677-18B6-50F5-EE1F-C9A53F3D4454}"/>
                  </a:ext>
                </a:extLst>
              </xdr:cNvPr>
              <xdr:cNvSpPr/>
            </xdr:nvSpPr>
            <xdr:spPr>
              <a:xfrm>
                <a:off x="6627099" y="239547"/>
                <a:ext cx="2542082" cy="3004864"/>
              </a:xfrm>
              <a:custGeom>
                <a:avLst/>
                <a:gdLst>
                  <a:gd name="connsiteX0" fmla="*/ 1776335 w 2542082"/>
                  <a:gd name="connsiteY0" fmla="*/ 0 h 3004864"/>
                  <a:gd name="connsiteX1" fmla="*/ 2467765 w 2542082"/>
                  <a:gd name="connsiteY1" fmla="*/ 129580 h 3004864"/>
                  <a:gd name="connsiteX2" fmla="*/ 2542082 w 2542082"/>
                  <a:gd name="connsiteY2" fmla="*/ 162813 h 3004864"/>
                  <a:gd name="connsiteX3" fmla="*/ 2461123 w 2542082"/>
                  <a:gd name="connsiteY3" fmla="*/ 199016 h 3004864"/>
                  <a:gd name="connsiteX4" fmla="*/ 1540666 w 2542082"/>
                  <a:gd name="connsiteY4" fmla="*/ 1480326 h 3004864"/>
                  <a:gd name="connsiteX5" fmla="*/ 1532546 w 2542082"/>
                  <a:gd name="connsiteY5" fmla="*/ 1629595 h 3004864"/>
                  <a:gd name="connsiteX6" fmla="*/ 1412169 w 2542082"/>
                  <a:gd name="connsiteY6" fmla="*/ 1713155 h 3004864"/>
                  <a:gd name="connsiteX7" fmla="*/ 765748 w 2542082"/>
                  <a:gd name="connsiteY7" fmla="*/ 2985540 h 3004864"/>
                  <a:gd name="connsiteX8" fmla="*/ 766799 w 2542082"/>
                  <a:gd name="connsiteY8" fmla="*/ 3004864 h 3004864"/>
                  <a:gd name="connsiteX9" fmla="*/ 646421 w 2542082"/>
                  <a:gd name="connsiteY9" fmla="*/ 2921303 h 3004864"/>
                  <a:gd name="connsiteX10" fmla="*/ 0 w 2542082"/>
                  <a:gd name="connsiteY10" fmla="*/ 1648918 h 3004864"/>
                  <a:gd name="connsiteX11" fmla="*/ 1776335 w 2542082"/>
                  <a:gd name="connsiteY11" fmla="*/ 0 h 30048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2" h="3004864">
                    <a:moveTo>
                      <a:pt x="1776335" y="0"/>
                    </a:moveTo>
                    <a:cubicBezTo>
                      <a:pt x="2021596" y="0"/>
                      <a:pt x="2255247" y="46140"/>
                      <a:pt x="2467765" y="129580"/>
                    </a:cubicBezTo>
                    <a:lnTo>
                      <a:pt x="2542082" y="162813"/>
                    </a:lnTo>
                    <a:lnTo>
                      <a:pt x="2461123" y="199016"/>
                    </a:lnTo>
                    <a:cubicBezTo>
                      <a:pt x="1957734" y="452858"/>
                      <a:pt x="1601310" y="926008"/>
                      <a:pt x="1540666" y="1480326"/>
                    </a:cubicBezTo>
                    <a:lnTo>
                      <a:pt x="1532546" y="1629595"/>
                    </a:lnTo>
                    <a:lnTo>
                      <a:pt x="1412169" y="1713155"/>
                    </a:lnTo>
                    <a:cubicBezTo>
                      <a:pt x="1017384" y="2015591"/>
                      <a:pt x="765748" y="2473287"/>
                      <a:pt x="765748" y="2985540"/>
                    </a:cubicBezTo>
                    <a:lnTo>
                      <a:pt x="766799" y="3004864"/>
                    </a:lnTo>
                    <a:lnTo>
                      <a:pt x="646421" y="2921303"/>
                    </a:lnTo>
                    <a:cubicBezTo>
                      <a:pt x="251636" y="2618867"/>
                      <a:pt x="0" y="2161171"/>
                      <a:pt x="0" y="1648918"/>
                    </a:cubicBezTo>
                    <a:cubicBezTo>
                      <a:pt x="0" y="738246"/>
                      <a:pt x="795292" y="0"/>
                      <a:pt x="1776335"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3" name="Forma libre: forma 32">
                <a:extLst>
                  <a:ext uri="{FF2B5EF4-FFF2-40B4-BE49-F238E27FC236}">
                    <a16:creationId xmlns:a16="http://schemas.microsoft.com/office/drawing/2014/main" id="{15581FA3-A38C-2C58-3648-4ECC92677BB2}"/>
                  </a:ext>
                </a:extLst>
              </xdr:cNvPr>
              <xdr:cNvSpPr/>
            </xdr:nvSpPr>
            <xdr:spPr>
              <a:xfrm>
                <a:off x="9169181" y="239548"/>
                <a:ext cx="2542083" cy="3004863"/>
              </a:xfrm>
              <a:custGeom>
                <a:avLst/>
                <a:gdLst>
                  <a:gd name="connsiteX0" fmla="*/ 765748 w 2542083"/>
                  <a:gd name="connsiteY0" fmla="*/ 0 h 3004863"/>
                  <a:gd name="connsiteX1" fmla="*/ 2542083 w 2542083"/>
                  <a:gd name="connsiteY1" fmla="*/ 1648918 h 3004863"/>
                  <a:gd name="connsiteX2" fmla="*/ 1895662 w 2542083"/>
                  <a:gd name="connsiteY2" fmla="*/ 2921303 h 3004863"/>
                  <a:gd name="connsiteX3" fmla="*/ 1775285 w 2542083"/>
                  <a:gd name="connsiteY3" fmla="*/ 3004863 h 3004863"/>
                  <a:gd name="connsiteX4" fmla="*/ 1776336 w 2542083"/>
                  <a:gd name="connsiteY4" fmla="*/ 2985540 h 3004863"/>
                  <a:gd name="connsiteX5" fmla="*/ 1129915 w 2542083"/>
                  <a:gd name="connsiteY5" fmla="*/ 1713155 h 3004863"/>
                  <a:gd name="connsiteX6" fmla="*/ 1009537 w 2542083"/>
                  <a:gd name="connsiteY6" fmla="*/ 1629594 h 3004863"/>
                  <a:gd name="connsiteX7" fmla="*/ 1001417 w 2542083"/>
                  <a:gd name="connsiteY7" fmla="*/ 1480326 h 3004863"/>
                  <a:gd name="connsiteX8" fmla="*/ 80960 w 2542083"/>
                  <a:gd name="connsiteY8" fmla="*/ 199016 h 3004863"/>
                  <a:gd name="connsiteX9" fmla="*/ 0 w 2542083"/>
                  <a:gd name="connsiteY9" fmla="*/ 162813 h 3004863"/>
                  <a:gd name="connsiteX10" fmla="*/ 74318 w 2542083"/>
                  <a:gd name="connsiteY10" fmla="*/ 129580 h 3004863"/>
                  <a:gd name="connsiteX11" fmla="*/ 765748 w 2542083"/>
                  <a:gd name="connsiteY11" fmla="*/ 0 h 30048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3" h="3004863">
                    <a:moveTo>
                      <a:pt x="765748" y="0"/>
                    </a:moveTo>
                    <a:cubicBezTo>
                      <a:pt x="1746791" y="0"/>
                      <a:pt x="2542083" y="738246"/>
                      <a:pt x="2542083" y="1648918"/>
                    </a:cubicBezTo>
                    <a:cubicBezTo>
                      <a:pt x="2542083" y="2161171"/>
                      <a:pt x="2290448" y="2618867"/>
                      <a:pt x="1895662" y="2921303"/>
                    </a:cubicBezTo>
                    <a:lnTo>
                      <a:pt x="1775285" y="3004863"/>
                    </a:lnTo>
                    <a:lnTo>
                      <a:pt x="1776336" y="2985540"/>
                    </a:lnTo>
                    <a:cubicBezTo>
                      <a:pt x="1776336" y="2473287"/>
                      <a:pt x="1524701" y="2015591"/>
                      <a:pt x="1129915" y="1713155"/>
                    </a:cubicBezTo>
                    <a:lnTo>
                      <a:pt x="1009537" y="1629594"/>
                    </a:lnTo>
                    <a:lnTo>
                      <a:pt x="1001417" y="1480326"/>
                    </a:lnTo>
                    <a:cubicBezTo>
                      <a:pt x="940773" y="926008"/>
                      <a:pt x="584349" y="452858"/>
                      <a:pt x="80960" y="199016"/>
                    </a:cubicBezTo>
                    <a:lnTo>
                      <a:pt x="0" y="162813"/>
                    </a:lnTo>
                    <a:lnTo>
                      <a:pt x="74318" y="129580"/>
                    </a:lnTo>
                    <a:cubicBezTo>
                      <a:pt x="286836" y="46140"/>
                      <a:pt x="520487" y="0"/>
                      <a:pt x="765748"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4" name="Forma libre: forma 33">
                <a:extLst>
                  <a:ext uri="{FF2B5EF4-FFF2-40B4-BE49-F238E27FC236}">
                    <a16:creationId xmlns:a16="http://schemas.microsoft.com/office/drawing/2014/main" id="{568F44BD-5506-FAC7-DBE3-BD730422540A}"/>
                  </a:ext>
                </a:extLst>
              </xdr:cNvPr>
              <xdr:cNvSpPr/>
            </xdr:nvSpPr>
            <xdr:spPr>
              <a:xfrm>
                <a:off x="8158594" y="1576170"/>
                <a:ext cx="2021175" cy="1798401"/>
              </a:xfrm>
              <a:custGeom>
                <a:avLst/>
                <a:gdLst>
                  <a:gd name="connsiteX0" fmla="*/ 1010588 w 2021175"/>
                  <a:gd name="connsiteY0" fmla="*/ 0 h 1798401"/>
                  <a:gd name="connsiteX1" fmla="*/ 2003754 w 2021175"/>
                  <a:gd name="connsiteY1" fmla="*/ 281609 h 1798401"/>
                  <a:gd name="connsiteX2" fmla="*/ 2020124 w 2021175"/>
                  <a:gd name="connsiteY2" fmla="*/ 292972 h 1798401"/>
                  <a:gd name="connsiteX3" fmla="*/ 2021175 w 2021175"/>
                  <a:gd name="connsiteY3" fmla="*/ 312296 h 1798401"/>
                  <a:gd name="connsiteX4" fmla="*/ 1091547 w 2021175"/>
                  <a:gd name="connsiteY4" fmla="*/ 1762198 h 1798401"/>
                  <a:gd name="connsiteX5" fmla="*/ 1010587 w 2021175"/>
                  <a:gd name="connsiteY5" fmla="*/ 1798401 h 1798401"/>
                  <a:gd name="connsiteX6" fmla="*/ 929628 w 2021175"/>
                  <a:gd name="connsiteY6" fmla="*/ 1762198 h 1798401"/>
                  <a:gd name="connsiteX7" fmla="*/ 0 w 2021175"/>
                  <a:gd name="connsiteY7" fmla="*/ 312296 h 1798401"/>
                  <a:gd name="connsiteX8" fmla="*/ 1051 w 2021175"/>
                  <a:gd name="connsiteY8" fmla="*/ 292973 h 1798401"/>
                  <a:gd name="connsiteX9" fmla="*/ 17422 w 2021175"/>
                  <a:gd name="connsiteY9" fmla="*/ 281609 h 1798401"/>
                  <a:gd name="connsiteX10" fmla="*/ 1010588 w 2021175"/>
                  <a:gd name="connsiteY10" fmla="*/ 0 h 17984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21175" h="1798401">
                    <a:moveTo>
                      <a:pt x="1010588" y="0"/>
                    </a:moveTo>
                    <a:cubicBezTo>
                      <a:pt x="1378479" y="0"/>
                      <a:pt x="1720249" y="103816"/>
                      <a:pt x="2003754" y="281609"/>
                    </a:cubicBezTo>
                    <a:lnTo>
                      <a:pt x="2020124" y="292972"/>
                    </a:lnTo>
                    <a:lnTo>
                      <a:pt x="2021175" y="312296"/>
                    </a:lnTo>
                    <a:cubicBezTo>
                      <a:pt x="2021175" y="938383"/>
                      <a:pt x="1645275" y="1482972"/>
                      <a:pt x="1091547" y="1762198"/>
                    </a:cubicBezTo>
                    <a:lnTo>
                      <a:pt x="1010587" y="1798401"/>
                    </a:lnTo>
                    <a:lnTo>
                      <a:pt x="929628" y="1762198"/>
                    </a:lnTo>
                    <a:cubicBezTo>
                      <a:pt x="375900" y="1482972"/>
                      <a:pt x="0" y="938383"/>
                      <a:pt x="0" y="312296"/>
                    </a:cubicBezTo>
                    <a:lnTo>
                      <a:pt x="1051" y="292973"/>
                    </a:lnTo>
                    <a:lnTo>
                      <a:pt x="17422" y="281609"/>
                    </a:lnTo>
                    <a:cubicBezTo>
                      <a:pt x="300927" y="103816"/>
                      <a:pt x="642697" y="0"/>
                      <a:pt x="1010588" y="0"/>
                    </a:cubicBezTo>
                    <a:close/>
                  </a:path>
                </a:pathLst>
              </a:custGeom>
              <a:solidFill>
                <a:srgbClr val="BECA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5" name="Forma libre: forma 34">
                <a:extLst>
                  <a:ext uri="{FF2B5EF4-FFF2-40B4-BE49-F238E27FC236}">
                    <a16:creationId xmlns:a16="http://schemas.microsoft.com/office/drawing/2014/main" id="{BF6EF3CF-08B7-B377-9C5D-FD1128F221A1}"/>
                  </a:ext>
                </a:extLst>
              </xdr:cNvPr>
              <xdr:cNvSpPr/>
            </xdr:nvSpPr>
            <xdr:spPr>
              <a:xfrm>
                <a:off x="7393898" y="3244411"/>
                <a:ext cx="3550568" cy="1629595"/>
              </a:xfrm>
              <a:custGeom>
                <a:avLst/>
                <a:gdLst>
                  <a:gd name="connsiteX0" fmla="*/ 3550568 w 3550568"/>
                  <a:gd name="connsiteY0" fmla="*/ 0 h 1629595"/>
                  <a:gd name="connsiteX1" fmla="*/ 3542448 w 3550568"/>
                  <a:gd name="connsiteY1" fmla="*/ 149269 h 1629595"/>
                  <a:gd name="connsiteX2" fmla="*/ 1775284 w 3550568"/>
                  <a:gd name="connsiteY2" fmla="*/ 1629595 h 1629595"/>
                  <a:gd name="connsiteX3" fmla="*/ 8120 w 3550568"/>
                  <a:gd name="connsiteY3" fmla="*/ 149269 h 1629595"/>
                  <a:gd name="connsiteX4" fmla="*/ 0 w 3550568"/>
                  <a:gd name="connsiteY4" fmla="*/ 1 h 1629595"/>
                  <a:gd name="connsiteX5" fmla="*/ 16370 w 3550568"/>
                  <a:gd name="connsiteY5" fmla="*/ 11364 h 1629595"/>
                  <a:gd name="connsiteX6" fmla="*/ 1009536 w 3550568"/>
                  <a:gd name="connsiteY6" fmla="*/ 292973 h 1629595"/>
                  <a:gd name="connsiteX7" fmla="*/ 1700966 w 3550568"/>
                  <a:gd name="connsiteY7" fmla="*/ 163393 h 1629595"/>
                  <a:gd name="connsiteX8" fmla="*/ 1775283 w 3550568"/>
                  <a:gd name="connsiteY8" fmla="*/ 130160 h 1629595"/>
                  <a:gd name="connsiteX9" fmla="*/ 1849601 w 3550568"/>
                  <a:gd name="connsiteY9" fmla="*/ 163393 h 1629595"/>
                  <a:gd name="connsiteX10" fmla="*/ 2541031 w 3550568"/>
                  <a:gd name="connsiteY10" fmla="*/ 292973 h 1629595"/>
                  <a:gd name="connsiteX11" fmla="*/ 3534197 w 3550568"/>
                  <a:gd name="connsiteY11" fmla="*/ 11364 h 1629595"/>
                  <a:gd name="connsiteX12" fmla="*/ 3550568 w 3550568"/>
                  <a:gd name="connsiteY12" fmla="*/ 0 h 16295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550568" h="1629595">
                    <a:moveTo>
                      <a:pt x="3550568" y="0"/>
                    </a:moveTo>
                    <a:lnTo>
                      <a:pt x="3542448" y="149269"/>
                    </a:lnTo>
                    <a:cubicBezTo>
                      <a:pt x="3451482" y="980746"/>
                      <a:pt x="2695012" y="1629595"/>
                      <a:pt x="1775284" y="1629595"/>
                    </a:cubicBezTo>
                    <a:cubicBezTo>
                      <a:pt x="855556" y="1629595"/>
                      <a:pt x="99086" y="980746"/>
                      <a:pt x="8120" y="149269"/>
                    </a:cubicBezTo>
                    <a:lnTo>
                      <a:pt x="0" y="1"/>
                    </a:lnTo>
                    <a:lnTo>
                      <a:pt x="16370" y="11364"/>
                    </a:lnTo>
                    <a:cubicBezTo>
                      <a:pt x="299875" y="189157"/>
                      <a:pt x="641645" y="292973"/>
                      <a:pt x="1009536" y="292973"/>
                    </a:cubicBezTo>
                    <a:cubicBezTo>
                      <a:pt x="1254797" y="292973"/>
                      <a:pt x="1488448" y="246833"/>
                      <a:pt x="1700966" y="163393"/>
                    </a:cubicBezTo>
                    <a:lnTo>
                      <a:pt x="1775283" y="130160"/>
                    </a:lnTo>
                    <a:lnTo>
                      <a:pt x="1849601" y="163393"/>
                    </a:lnTo>
                    <a:cubicBezTo>
                      <a:pt x="2062119" y="246833"/>
                      <a:pt x="2295770" y="292973"/>
                      <a:pt x="2541031" y="292973"/>
                    </a:cubicBezTo>
                    <a:cubicBezTo>
                      <a:pt x="2908922" y="292973"/>
                      <a:pt x="3250692" y="189157"/>
                      <a:pt x="3534197" y="11364"/>
                    </a:cubicBezTo>
                    <a:lnTo>
                      <a:pt x="3550568" y="0"/>
                    </a:ln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nvGrpSpPr>
            <xdr:cNvPr id="23" name="Grupo 22">
              <a:extLst>
                <a:ext uri="{FF2B5EF4-FFF2-40B4-BE49-F238E27FC236}">
                  <a16:creationId xmlns:a16="http://schemas.microsoft.com/office/drawing/2014/main" id="{DD4AEF0C-B10C-A8B9-D991-9529A1F6DE6D}"/>
                </a:ext>
              </a:extLst>
            </xdr:cNvPr>
            <xdr:cNvGrpSpPr/>
          </xdr:nvGrpSpPr>
          <xdr:grpSpPr>
            <a:xfrm>
              <a:off x="3575352" y="239547"/>
              <a:ext cx="5084164" cy="4634458"/>
              <a:chOff x="523604" y="239547"/>
              <a:chExt cx="5084164" cy="4634458"/>
            </a:xfrm>
          </xdr:grpSpPr>
          <xdr:sp macro="" textlink="">
            <xdr:nvSpPr>
              <xdr:cNvPr id="24" name="Elipse 23">
                <a:extLst>
                  <a:ext uri="{FF2B5EF4-FFF2-40B4-BE49-F238E27FC236}">
                    <a16:creationId xmlns:a16="http://schemas.microsoft.com/office/drawing/2014/main" id="{4E3DBF42-5E40-C347-B854-BB453442E205}"/>
                  </a:ext>
                </a:extLst>
              </xdr:cNvPr>
              <xdr:cNvSpPr/>
            </xdr:nvSpPr>
            <xdr:spPr>
              <a:xfrm>
                <a:off x="523604" y="239547"/>
                <a:ext cx="3552669" cy="3297836"/>
              </a:xfrm>
              <a:prstGeom prst="ellipse">
                <a:avLst/>
              </a:prstGeom>
              <a:noFill/>
              <a:ln w="19050">
                <a:solidFill>
                  <a:srgbClr val="4D947B">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5" name="Elipse 24">
                <a:extLst>
                  <a:ext uri="{FF2B5EF4-FFF2-40B4-BE49-F238E27FC236}">
                    <a16:creationId xmlns:a16="http://schemas.microsoft.com/office/drawing/2014/main" id="{06DC2029-39D5-DE35-7B99-7F42D9089A99}"/>
                  </a:ext>
                </a:extLst>
              </xdr:cNvPr>
              <xdr:cNvSpPr/>
            </xdr:nvSpPr>
            <xdr:spPr>
              <a:xfrm>
                <a:off x="2055099" y="239547"/>
                <a:ext cx="3552669" cy="3297836"/>
              </a:xfrm>
              <a:prstGeom prst="ellipse">
                <a:avLst/>
              </a:prstGeom>
              <a:noFill/>
              <a:ln>
                <a:solidFill>
                  <a:srgbClr val="AFA927">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6" name="Elipse 25">
                <a:extLst>
                  <a:ext uri="{FF2B5EF4-FFF2-40B4-BE49-F238E27FC236}">
                    <a16:creationId xmlns:a16="http://schemas.microsoft.com/office/drawing/2014/main" id="{F44A9F4F-1E37-30A8-7FDB-DE0B3B675F16}"/>
                  </a:ext>
                </a:extLst>
              </xdr:cNvPr>
              <xdr:cNvSpPr/>
            </xdr:nvSpPr>
            <xdr:spPr>
              <a:xfrm>
                <a:off x="1289352" y="1576169"/>
                <a:ext cx="3552669" cy="3297836"/>
              </a:xfrm>
              <a:prstGeom prst="ellipse">
                <a:avLst/>
              </a:prstGeom>
              <a:noFill/>
              <a:ln>
                <a:solidFill>
                  <a:srgbClr val="786256">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sp macro="" textlink="$Q$137">
        <xdr:nvSpPr>
          <xdr:cNvPr id="20" name="Rectángulo 19">
            <a:extLst>
              <a:ext uri="{FF2B5EF4-FFF2-40B4-BE49-F238E27FC236}">
                <a16:creationId xmlns:a16="http://schemas.microsoft.com/office/drawing/2014/main" id="{CA9E4E4C-FD8F-19A1-79EE-CD7DDFC8E7BB}"/>
              </a:ext>
            </a:extLst>
          </xdr:cNvPr>
          <xdr:cNvSpPr/>
        </xdr:nvSpPr>
        <xdr:spPr>
          <a:xfrm>
            <a:off x="1748117"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3AB5FD-64A0-451F-810B-6A268EF63418}"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9">
        <xdr:nvSpPr>
          <xdr:cNvPr id="36" name="Rectángulo 35">
            <a:extLst>
              <a:ext uri="{FF2B5EF4-FFF2-40B4-BE49-F238E27FC236}">
                <a16:creationId xmlns:a16="http://schemas.microsoft.com/office/drawing/2014/main" id="{66BB8732-B4F8-4CFE-BFAF-78E35FFEAC23}"/>
              </a:ext>
            </a:extLst>
          </xdr:cNvPr>
          <xdr:cNvSpPr/>
        </xdr:nvSpPr>
        <xdr:spPr>
          <a:xfrm>
            <a:off x="3036794" y="2696807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FA99A5-4A81-43B1-A827-47FE10D7AC2A}"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5">
        <xdr:nvSpPr>
          <xdr:cNvPr id="37" name="Rectángulo 36">
            <a:extLst>
              <a:ext uri="{FF2B5EF4-FFF2-40B4-BE49-F238E27FC236}">
                <a16:creationId xmlns:a16="http://schemas.microsoft.com/office/drawing/2014/main" id="{8FF6CEF4-E796-4858-923B-674928982723}"/>
              </a:ext>
            </a:extLst>
          </xdr:cNvPr>
          <xdr:cNvSpPr/>
        </xdr:nvSpPr>
        <xdr:spPr>
          <a:xfrm>
            <a:off x="4428564"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4A8655-7CBE-4D83-9B86-321BEDABEDAE}"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1">
        <xdr:nvSpPr>
          <xdr:cNvPr id="38" name="Rectángulo 37">
            <a:extLst>
              <a:ext uri="{FF2B5EF4-FFF2-40B4-BE49-F238E27FC236}">
                <a16:creationId xmlns:a16="http://schemas.microsoft.com/office/drawing/2014/main" id="{CCE9E713-D289-4FB6-B50C-F828877A3731}"/>
              </a:ext>
            </a:extLst>
          </xdr:cNvPr>
          <xdr:cNvSpPr/>
        </xdr:nvSpPr>
        <xdr:spPr>
          <a:xfrm>
            <a:off x="3036794" y="2786678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186150-E99F-4EDF-8AF4-A42A480808FB}"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6">
        <xdr:nvSpPr>
          <xdr:cNvPr id="39" name="Rectángulo 38">
            <a:extLst>
              <a:ext uri="{FF2B5EF4-FFF2-40B4-BE49-F238E27FC236}">
                <a16:creationId xmlns:a16="http://schemas.microsoft.com/office/drawing/2014/main" id="{D7022232-7633-470D-AC59-79A9CAAB76C7}"/>
              </a:ext>
            </a:extLst>
          </xdr:cNvPr>
          <xdr:cNvSpPr/>
        </xdr:nvSpPr>
        <xdr:spPr>
          <a:xfrm>
            <a:off x="3036794" y="29128568"/>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04954D-3CC5-4A0F-A86A-F886C203DAB3}"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0">
        <xdr:nvSpPr>
          <xdr:cNvPr id="40" name="Rectángulo 39">
            <a:extLst>
              <a:ext uri="{FF2B5EF4-FFF2-40B4-BE49-F238E27FC236}">
                <a16:creationId xmlns:a16="http://schemas.microsoft.com/office/drawing/2014/main" id="{DE3B68EA-F957-4994-8F5B-A4DD4203C160}"/>
              </a:ext>
            </a:extLst>
          </xdr:cNvPr>
          <xdr:cNvSpPr/>
        </xdr:nvSpPr>
        <xdr:spPr>
          <a:xfrm>
            <a:off x="2073088"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94A8EE-E92F-471A-BEAE-4AF2F38805C6}"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8">
        <xdr:nvSpPr>
          <xdr:cNvPr id="41" name="Rectángulo 40">
            <a:extLst>
              <a:ext uri="{FF2B5EF4-FFF2-40B4-BE49-F238E27FC236}">
                <a16:creationId xmlns:a16="http://schemas.microsoft.com/office/drawing/2014/main" id="{73989F5C-EDDA-43C6-AF67-C23AA72543D0}"/>
              </a:ext>
            </a:extLst>
          </xdr:cNvPr>
          <xdr:cNvSpPr/>
        </xdr:nvSpPr>
        <xdr:spPr>
          <a:xfrm>
            <a:off x="3973606"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AD7A93-3181-4FBC-A018-1EE8993B2BA1}"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grpSp>
    <xdr:clientData/>
  </xdr:twoCellAnchor>
  <xdr:twoCellAnchor editAs="absolute">
    <xdr:from>
      <xdr:col>1</xdr:col>
      <xdr:colOff>-1</xdr:colOff>
      <xdr:row>43</xdr:row>
      <xdr:rowOff>0</xdr:rowOff>
    </xdr:from>
    <xdr:to>
      <xdr:col>7</xdr:col>
      <xdr:colOff>-1</xdr:colOff>
      <xdr:row>46</xdr:row>
      <xdr:rowOff>0</xdr:rowOff>
    </xdr:to>
    <xdr:sp macro="" textlink="$X$2">
      <xdr:nvSpPr>
        <xdr:cNvPr id="43" name="Rectángulo 42">
          <a:extLst>
            <a:ext uri="{FF2B5EF4-FFF2-40B4-BE49-F238E27FC236}">
              <a16:creationId xmlns:a16="http://schemas.microsoft.com/office/drawing/2014/main" id="{3C1E4657-30A1-326E-2163-CAB5CD55B74B}"/>
            </a:ext>
          </a:extLst>
        </xdr:cNvPr>
        <xdr:cNvSpPr/>
      </xdr:nvSpPr>
      <xdr:spPr>
        <a:xfrm>
          <a:off x="324970" y="9648265"/>
          <a:ext cx="6387353" cy="571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3D56F34-9384-41CE-B1E3-FAE1552480EE}" type="TxLink">
            <a:rPr lang="en-US" sz="1100" b="0" i="0" u="none" strike="noStrike">
              <a:solidFill>
                <a:srgbClr val="FF0000"/>
              </a:solidFill>
              <a:latin typeface="+mj-lt"/>
              <a:ea typeface="Calibri"/>
              <a:cs typeface="Calibri"/>
            </a:rPr>
            <a:pPr algn="l"/>
            <a:t> </a:t>
          </a:fld>
          <a:endParaRPr lang="es-CO" sz="1100">
            <a:solidFill>
              <a:srgbClr val="FF0000"/>
            </a:solidFill>
            <a:latin typeface="+mj-lt"/>
          </a:endParaRPr>
        </a:p>
      </xdr:txBody>
    </xdr:sp>
    <xdr:clientData/>
  </xdr:twoCellAnchor>
</xdr:wsDr>
</file>

<file path=xl/tables/table1.xml><?xml version="1.0" encoding="utf-8"?>
<table xmlns="http://schemas.openxmlformats.org/spreadsheetml/2006/main" xmlns:mc="http://schemas.openxmlformats.org/markup-compatibility/2006" id="1" name="seguim_fciero" displayName="seguim_fciero" ref="A7:X99" totalsRowCount="0" totalsRowShown="0">
  <autoFilter ref="A7:X99"/>
  <tableColumns count="24">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Descripción del Producto (MGA)"/>
    <tableColumn id="9" name="Códigos BPIN Asociados"/>
    <tableColumn id="10" name="Programación Cuatrienio SisPT"/>
    <tableColumn id="11" name="Programado 2024 (SisPT)"/>
    <tableColumn id="12" name="Programado 2025 (SisPT)"/>
    <tableColumn id="13" name="Programado 2026 (SisPT)"/>
    <tableColumn id="14" name="Programado 2027 (SisPT)"/>
    <tableColumn id="15" name="Compromisos 2024 (CUIPO)"/>
    <tableColumn id="16" name="Obligaciones 2024 (CUIPO)"/>
    <tableColumn id="17" name="Pagos 2024 (CUIPO)"/>
    <tableColumn id="18" name="Obligaciones como % de lo programado (2024)"/>
    <tableColumn id="19" name="Explicación del valor 2024"/>
    <tableColumn id="20" name="Compromisos 2025 (CUIPO)"/>
    <tableColumn id="21" name="Obligaciones 2025 (CUIPO)"/>
    <tableColumn id="22" name="Pagos 2025 (CUIPO)"/>
    <tableColumn id="23" name="Obligaciones como % de lo programado (2025)"/>
    <tableColumn id="24" name="Explicación del valor 20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id="2" name="seguim_fisico" displayName="seguim_fisico" ref="A7:W120" totalsRowCount="0" totalsRowShown="0">
  <autoFilter ref="A7:W120"/>
  <tableColumns count="23">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Código Indicador Producto (MGA)"/>
    <tableColumn id="9" name="Indicador Producto (MGA)"/>
    <tableColumn id="10" name="Códigos BPIN Asociados"/>
    <tableColumn id="11" name="Acumulativo"/>
    <tableColumn id="12" name="Unidad de Medida"/>
    <tableColumn id="13" name="Meta del Cuatrenio (SisPT)"/>
    <tableColumn id="14" name="Programado 2024 (SisPT)"/>
    <tableColumn id="15" name="Programado 2025 (SisPT)"/>
    <tableColumn id="16" name="Programado 2026 (SisPT)"/>
    <tableColumn id="17" name="Programado 2027 (SisPT)"/>
    <tableColumn id="18" name="Ejecución Física 2024 (PIIP)"/>
    <tableColumn id="19" name="Avance físico 2024 (%)"/>
    <tableColumn id="20" name="Explicación del valor 2024"/>
    <tableColumn id="21" name="Ejecución Física 2025 (PIIP)"/>
    <tableColumn id="22" name="Avance físico 2025 (%)"/>
    <tableColumn id="23" name="Explicación del valor 2025"/>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ersonalizado 4">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AB154"/>
  <sheetViews>
    <sheetView showRowColHeaders="0" tabSelected="1" zoomScale="85" zoomScaleNormal="85" workbookViewId="0">
      <selection activeCell="D16" sqref="D16:E16"/>
    </sheetView>
  </sheetViews>
  <sheetFormatPr baseColWidth="10" defaultColWidth="0" defaultRowHeight="15" zeroHeight="1" x14ac:dyDescent="0.25"/>
  <cols>
    <col min="1" max="1" width="4.85546875" style="1" customWidth="1"/>
    <col min="2" max="2" width="18.42578125" style="1" customWidth="1"/>
    <col min="3" max="12" width="15.42578125" style="1" customWidth="1"/>
    <col min="13" max="13" width="18.42578125" style="1" customWidth="1"/>
    <col min="14" max="14" width="4.85546875" style="1" customWidth="1"/>
    <col min="15" max="15" width="14.28515625" style="1" hidden="1"/>
    <col min="16" max="23" width="11.5703125" style="1" hidden="1"/>
    <col min="24" max="27" width="8" style="1" hidden="1"/>
    <col min="28" max="16384" width="11.5703125" style="1" hidden="1"/>
  </cols>
  <sheetData>
    <row r="1" spans="2:28" ht="75.599999999999994" customHeight="1" x14ac:dyDescent="0.25">
      <c r="D1" s="80" t="str">
        <f>CONCATENATE("Informe de Seguimiento al PDT
Vigencia ",X1)</f>
        <v>Informe de Seguimiento al PDT
Vigencia (Dar clic en Habilitar Edición)</v>
      </c>
      <c r="E1" s="80"/>
      <c r="F1" s="80"/>
      <c r="G1" s="80"/>
      <c r="H1" s="80"/>
      <c r="I1" s="80"/>
      <c r="J1" s="80"/>
      <c r="K1" s="80"/>
      <c r="P1" s="2"/>
      <c r="Q1" s="1" t="s">
        <v>50</v>
      </c>
      <c r="R1" s="1" t="str">
        <f>MID(TEXT(R2,"#.#"),2,1)</f>
        <v>.</v>
      </c>
      <c r="S1" s="1" t="s">
        <v>104</v>
      </c>
      <c r="X1" s="50" t="inlineStr">
        <is>
          <t>2025 - tercer trimestre</t>
        </is>
      </c>
      <c r="Y1" s="1" t="str">
        <f>LEFT(X1,4)</f>
        <v>(Dar</v>
      </c>
      <c r="Z1" s="1" t="str">
        <f>IF(Y1="2025","2024",IF(Y1="2026","2024, 2025","2024, 2025, 2026"))</f>
        <v>2024, 2025, 2026</v>
      </c>
    </row>
    <row r="2" spans="2:28" x14ac:dyDescent="0.25">
      <c r="C2" s="3"/>
      <c r="D2" s="3"/>
      <c r="E2" s="3"/>
      <c r="F2" s="3"/>
      <c r="G2" s="3"/>
      <c r="H2" s="3"/>
      <c r="I2" s="3"/>
      <c r="J2" s="3"/>
      <c r="K2" s="3"/>
      <c r="L2" s="3"/>
      <c r="P2" s="2"/>
      <c r="Q2" s="1" t="s">
        <v>51</v>
      </c>
      <c r="R2" s="1">
        <v>1.1000000000000001</v>
      </c>
      <c r="S2" s="1" t="str">
        <f>IF(S1=R1,".",",")</f>
        <v>.</v>
      </c>
      <c r="U2" s="1" t="str">
        <f>_xlfn.CONCAT("#",$S$3,"##0")</f>
        <v>#,##0</v>
      </c>
      <c r="X2" s="55" t="str">
        <f>IF($X$3=0,"",CONCATENATE("Nota: Hay indicadores asociados a más de una línea estratégica, por lo que la suma de los montos por línea NO equivale al monto total mostrado arriba. La diferencia es de $",TEXT($X$3,$U$2),"."))</f>
      </c>
    </row>
    <row r="3" spans="2:28" ht="18.600000000000001" customHeight="1" x14ac:dyDescent="0.3">
      <c r="B3" s="4"/>
      <c r="C3" s="78" t="inlineStr">
        <is>
          <t>MI COMPROMISO ES GACHANCIPÁ 2024-2027</t>
        </is>
      </c>
      <c r="D3" s="78"/>
      <c r="E3" s="78"/>
      <c r="F3" s="78"/>
      <c r="G3" s="78"/>
      <c r="H3" s="78"/>
      <c r="I3" s="78"/>
      <c r="J3" s="78"/>
      <c r="K3" s="78"/>
      <c r="L3" s="78"/>
      <c r="M3" s="4"/>
      <c r="Q3" s="1" t="s">
        <v>52</v>
      </c>
      <c r="S3" s="1" t="str">
        <f>IF(S2=".",",",".")</f>
        <v>,</v>
      </c>
      <c r="U3" s="1" t="str">
        <f>_xlfn.CONCAT("#",$S$3,"##0",$S$2,"0")</f>
        <v>#,##0.0</v>
      </c>
      <c r="X3" s="1">
        <f>IFERROR(INDEX(X5:AB5,MATCH($D$16,$C$23:$G$23,0)),0)</f>
        <v>0</v>
      </c>
    </row>
    <row r="4" spans="2:28" ht="18.600000000000001" customHeight="1" x14ac:dyDescent="0.3">
      <c r="B4" s="4"/>
      <c r="C4" s="78"/>
      <c r="D4" s="78"/>
      <c r="E4" s="78"/>
      <c r="F4" s="78"/>
      <c r="G4" s="78"/>
      <c r="H4" s="78"/>
      <c r="I4" s="78"/>
      <c r="J4" s="78"/>
      <c r="K4" s="78"/>
      <c r="L4" s="78"/>
      <c r="M4" s="4"/>
      <c r="Q4" s="1" t="s">
        <v>53</v>
      </c>
      <c r="X4" s="1">
        <v>2024</v>
      </c>
      <c r="Y4" s="1">
        <v>2025</v>
      </c>
      <c r="Z4" s="1">
        <v>2026</v>
      </c>
      <c r="AA4" s="1">
        <v>2027</v>
      </c>
      <c r="AB4" s="1" t="s">
        <v>6</v>
      </c>
    </row>
    <row r="5" spans="2:28" ht="25.5" x14ac:dyDescent="0.5">
      <c r="B5" s="79" t="inlineStr">
        <is>
          <t>Gachancipá, Cundinamarca</t>
        </is>
      </c>
      <c r="C5" s="79"/>
      <c r="D5" s="79"/>
      <c r="E5" s="79"/>
      <c r="F5" s="79"/>
      <c r="G5" s="79"/>
      <c r="H5" s="79"/>
      <c r="I5" s="79"/>
      <c r="J5" s="79"/>
      <c r="K5" s="79"/>
      <c r="L5" s="79"/>
      <c r="M5" s="79"/>
      <c r="Q5" s="2" t="s">
        <v>6</v>
      </c>
      <c r="X5" s="1">
        <v>0</v>
      </c>
      <c r="Y5" s="1">
        <v>0</v>
      </c>
      <c r="Z5" s="1">
        <v>0</v>
      </c>
      <c r="AA5" s="1">
        <v>0</v>
      </c>
      <c r="AB5" s="1">
        <f>IFERROR(SUM(X5:AA5),0)</f>
        <v>0</v>
      </c>
    </row>
    <row r="6" spans="2:28" x14ac:dyDescent="0.25">
      <c r="P6" t="inlineStr">
        <is>
          <t>LineaEstrategica</t>
        </is>
      </c>
      <c r="Q6" t="inlineStr">
        <is>
          <t>2024</t>
        </is>
      </c>
      <c r="R6" t="inlineStr">
        <is>
          <t>2025</t>
        </is>
      </c>
      <c r="S6" t="inlineStr">
        <is>
          <t>2026</t>
        </is>
      </c>
      <c r="T6" t="inlineStr">
        <is>
          <t>2027</t>
        </is>
      </c>
    </row>
    <row r="7" spans="2:28" x14ac:dyDescent="0.25">
      <c r="E7" s="28"/>
      <c r="F7" s="28"/>
      <c r="G7" s="28"/>
      <c r="H7" s="30" t="s">
        <v>49</v>
      </c>
      <c r="I7" s="22" t="inlineStr">
        <is>
          <t>31 de diciembre de 2025</t>
        </is>
      </c>
      <c r="J7" s="28"/>
      <c r="O7" s="5"/>
      <c r="P7" s="6" t="inlineStr">
        <is>
          <t>Mi Compromiso Es Gachancipá Agropecuaria e Industrial</t>
        </is>
      </c>
      <c r="Q7" s="6">
        <v>304.5338902196</v>
      </c>
      <c r="R7" s="6">
        <v>316.3058352527</v>
      </c>
      <c r="S7" s="6">
        <v>323.930812514</v>
      </c>
      <c r="T7" s="6">
        <v>222.2646414489</v>
      </c>
      <c r="U7" s="7">
        <f t="shared" ref="U7" si="0">SUM(Q7:T7)</f>
        <v>0</v>
      </c>
      <c r="V7" s="8">
        <f t="shared" ref="V7:V70" si="1">IF(P7="","",INDEX(Q7:U7,MATCH($D$16,$C$23:$G$23,0)))</f>
        <v>0</v>
      </c>
      <c r="W7" s="42" t="str">
        <f>IFERROR(IF(P7="","",CONCATENATE(TEXT(V7,$U$2)," (",TEXT(V7*100/$I$23,$U$3),"%)")),"")</f>
      </c>
    </row>
    <row r="8" spans="2:28" x14ac:dyDescent="0.25">
      <c r="P8" s="6" t="inlineStr">
        <is>
          <t>Mi Compromiso Es Gachancipá Con Gestión del Riegos</t>
        </is>
      </c>
      <c r="Q8" s="6">
        <v>640.856455</v>
      </c>
      <c r="R8" s="6">
        <v>665.849856745</v>
      </c>
      <c r="S8" s="6">
        <v>691.8180011579</v>
      </c>
      <c r="T8" s="6">
        <v>599.6680003435</v>
      </c>
      <c r="U8" s="7">
        <f t="shared" ref="U8" si="2">SUM(Q8:T8)</f>
        <v>0</v>
      </c>
      <c r="V8" s="8" t="str">
        <f t="shared" si="1"/>
      </c>
      <c r="W8" s="42" t="str">
        <f t="shared" ref="W8:W71" si="3">IFERROR(IF(P8="","",CONCATENATE(TEXT(V8,$U$2)," (",TEXT(V8*100/$I$23,$U$3),"%)")),"")</f>
      </c>
    </row>
    <row r="9" spans="2:28" ht="30" customHeight="1" x14ac:dyDescent="0.25">
      <c r="B9" s="77" t="s">
        <v>128</v>
      </c>
      <c r="C9" s="77"/>
      <c r="D9" s="77"/>
      <c r="E9" s="77"/>
      <c r="F9" s="77"/>
      <c r="G9" s="77"/>
      <c r="H9" s="77"/>
      <c r="I9" s="77"/>
      <c r="J9" s="77"/>
      <c r="K9" s="77"/>
      <c r="L9" s="77"/>
      <c r="M9" s="77"/>
      <c r="P9" s="6" t="inlineStr">
        <is>
          <t>Mi Compromiso Es Gachancipá Planificada y Sostenible</t>
        </is>
      </c>
      <c r="Q9" s="6">
        <v>4198.9158610736</v>
      </c>
      <c r="R9" s="6">
        <v>4394.7581335015</v>
      </c>
      <c r="S9" s="6">
        <v>4596.4110380432</v>
      </c>
      <c r="T9" s="6">
        <v>4715.3035179123</v>
      </c>
      <c r="U9" s="7">
        <f t="shared" ref="U9:U40" si="4">SUM(Q9:T9)</f>
        <v>0</v>
      </c>
      <c r="V9" s="8" t="str">
        <f t="shared" si="1"/>
      </c>
      <c r="W9" s="42" t="str">
        <f t="shared" si="3"/>
      </c>
    </row>
    <row r="10" spans="2:28" ht="30" customHeight="1" x14ac:dyDescent="0.25">
      <c r="B10" s="77"/>
      <c r="C10" s="77"/>
      <c r="D10" s="77"/>
      <c r="E10" s="77"/>
      <c r="F10" s="77"/>
      <c r="G10" s="77"/>
      <c r="H10" s="77"/>
      <c r="I10" s="77"/>
      <c r="J10" s="77"/>
      <c r="K10" s="77"/>
      <c r="L10" s="77"/>
      <c r="M10" s="77"/>
      <c r="P10" s="6" t="inlineStr">
        <is>
          <t>Mi Compromiso Es Gachancipá con Desarrollo Social y Cultural</t>
        </is>
      </c>
      <c r="Q10" s="6">
        <v>8000.9010017086</v>
      </c>
      <c r="R10" s="6">
        <v>8306.9828100284</v>
      </c>
      <c r="S10" s="6">
        <v>8668.5560280998</v>
      </c>
      <c r="T10" s="6">
        <v>9058.8103538111</v>
      </c>
      <c r="U10" s="7">
        <f t="shared" si="4"/>
        <v>0</v>
      </c>
      <c r="V10" s="8" t="str">
        <f t="shared" si="1"/>
      </c>
      <c r="W10" s="42" t="str">
        <f t="shared" si="3"/>
      </c>
    </row>
    <row r="11" spans="2:28" x14ac:dyDescent="0.25">
      <c r="P11" s="6" t="inlineStr">
        <is>
          <t>Mi Compromiso Es Gachancipá con El Medio Ambiente</t>
        </is>
      </c>
      <c r="Q11" s="6">
        <v>1597.2976755401</v>
      </c>
      <c r="R11" s="6">
        <v>1659.5922848865</v>
      </c>
      <c r="S11" s="6">
        <v>1744.3163839965</v>
      </c>
      <c r="T11" s="6">
        <v>1688.3233751282</v>
      </c>
      <c r="U11" s="7">
        <f t="shared" si="4"/>
        <v>0</v>
      </c>
      <c r="V11" s="8" t="str">
        <f t="shared" si="1"/>
      </c>
      <c r="W11" s="42" t="str">
        <f t="shared" si="3"/>
      </c>
    </row>
    <row r="12" spans="2:28" ht="17.25" x14ac:dyDescent="0.3">
      <c r="B12" s="11" t="s">
        <v>105</v>
      </c>
      <c r="C12" s="12"/>
      <c r="D12" s="12"/>
      <c r="E12" s="12"/>
      <c r="F12" s="12"/>
      <c r="G12" s="12"/>
      <c r="H12" s="12"/>
      <c r="I12" s="12"/>
      <c r="J12" s="12"/>
      <c r="K12" s="12"/>
      <c r="L12" s="12"/>
      <c r="M12" s="12"/>
      <c r="P12" s="6" t="inlineStr">
        <is>
          <t>Mi Compromiso Es Gachancipá con Gestión Deportiva</t>
        </is>
      </c>
      <c r="Q12" s="6">
        <v>720.8413184139</v>
      </c>
      <c r="R12" s="6">
        <v>738.9541298321</v>
      </c>
      <c r="S12" s="6">
        <v>779.2057362019</v>
      </c>
      <c r="T12" s="6">
        <v>807.3997599139</v>
      </c>
      <c r="U12" s="7">
        <f t="shared" si="4"/>
        <v>0</v>
      </c>
      <c r="V12" s="8" t="str">
        <f t="shared" si="1"/>
      </c>
      <c r="W12" s="42" t="str">
        <f t="shared" si="3"/>
      </c>
    </row>
    <row r="13" spans="2:28" x14ac:dyDescent="0.25">
      <c r="P13" s="6" t="inlineStr">
        <is>
          <t>Mi Compromiso Es Gachancipá con Prosperidad</t>
        </is>
      </c>
      <c r="Q13" s="6">
        <v>386.4</v>
      </c>
      <c r="R13" s="6">
        <v>411.4696</v>
      </c>
      <c r="S13" s="6">
        <v>387.5999831407</v>
      </c>
      <c r="T13" s="6">
        <v>434.6694348786</v>
      </c>
      <c r="U13" s="7">
        <f t="shared" si="4"/>
        <v>0</v>
      </c>
      <c r="V13" s="8" t="str">
        <f t="shared" si="1"/>
      </c>
      <c r="W13" s="42" t="str">
        <f t="shared" si="3"/>
      </c>
    </row>
    <row r="14" spans="2:28" x14ac:dyDescent="0.25">
      <c r="B14" s="28" t="s">
        <v>4</v>
      </c>
      <c r="C14" s="28"/>
      <c r="D14" s="28"/>
      <c r="E14" s="28"/>
      <c r="F14" s="28"/>
      <c r="G14" s="28"/>
      <c r="H14" s="28"/>
      <c r="I14" s="28"/>
      <c r="P14" t="inlineStr">
        <is>
          <t>Mi Compromiso Es Gachancipá con Seguridad</t>
        </is>
      </c>
      <c r="Q14">
        <v>502.1162644138</v>
      </c>
      <c r="R14">
        <v>524.7310078651</v>
      </c>
      <c r="S14">
        <v>486.454999395</v>
      </c>
      <c r="T14">
        <v>508.3330014175</v>
      </c>
      <c r="U14" s="7">
        <f t="shared" si="4"/>
        <v>0</v>
      </c>
      <c r="V14" s="8" t="str">
        <f t="shared" si="1"/>
      </c>
      <c r="W14" s="42" t="str">
        <f t="shared" si="3"/>
      </c>
    </row>
    <row r="15" spans="2:28" x14ac:dyDescent="0.25">
      <c r="B15" s="28"/>
      <c r="C15" s="29"/>
      <c r="D15" s="28"/>
      <c r="E15" s="28"/>
      <c r="F15" s="28"/>
      <c r="G15" s="28"/>
      <c r="H15" s="35"/>
      <c r="I15" s="35"/>
      <c r="J15" s="3"/>
      <c r="P15" t="inlineStr">
        <is>
          <t>Mi compromiso es Gachancipá con la transparencia y la Gestión Institucional.</t>
        </is>
      </c>
      <c r="Q15">
        <v>924.3433769189</v>
      </c>
      <c r="R15">
        <v>962.4420793612</v>
      </c>
      <c r="S15">
        <v>976.557785854</v>
      </c>
      <c r="T15">
        <v>1059.0918819538</v>
      </c>
      <c r="U15" s="7">
        <f t="shared" si="4"/>
        <v>0</v>
      </c>
      <c r="V15" s="8" t="str">
        <f t="shared" si="1"/>
      </c>
      <c r="W15" s="42" t="str">
        <f t="shared" si="3"/>
      </c>
    </row>
    <row r="16" spans="2:28" x14ac:dyDescent="0.25">
      <c r="B16" s="81" t="s">
        <v>5</v>
      </c>
      <c r="C16" s="81"/>
      <c r="D16" s="82" t="s">
        <v>6</v>
      </c>
      <c r="E16" s="83"/>
      <c r="F16" s="28"/>
      <c r="G16" s="28"/>
      <c r="H16" s="35"/>
      <c r="I16" s="35"/>
      <c r="J16" s="3"/>
      <c r="U16" s="7">
        <f t="shared" si="4"/>
        <v>0</v>
      </c>
      <c r="V16" s="8" t="str">
        <f t="shared" si="1"/>
      </c>
      <c r="W16" s="42" t="str">
        <f t="shared" si="3"/>
      </c>
    </row>
    <row r="17" spans="1:23" x14ac:dyDescent="0.25">
      <c r="B17" s="28"/>
      <c r="C17" s="28"/>
      <c r="D17" s="28"/>
      <c r="E17" s="28"/>
      <c r="F17" s="28"/>
      <c r="G17" s="28"/>
      <c r="H17" s="35"/>
      <c r="I17" s="35"/>
      <c r="J17" s="3"/>
      <c r="U17" s="7">
        <f t="shared" si="4"/>
        <v>0</v>
      </c>
      <c r="V17" s="8" t="str">
        <f t="shared" si="1"/>
      </c>
      <c r="W17" s="42" t="str">
        <f t="shared" si="3"/>
      </c>
    </row>
    <row r="18" spans="1:23" ht="21" customHeight="1" x14ac:dyDescent="0.25">
      <c r="B18" s="76" t="str">
        <f>CONCATENATE("Monto total programado ",D16," (en millones de pesos): ",TEXT(I23,$U$2))</f>
        <v>Monto total programado Total Cuatrienio (en millones de pesos): 0</v>
      </c>
      <c r="C18" s="76"/>
      <c r="D18" s="76"/>
      <c r="E18" s="76"/>
      <c r="F18" s="76"/>
      <c r="G18" s="76"/>
      <c r="H18" s="35"/>
      <c r="I18" s="35"/>
      <c r="J18" s="3"/>
      <c r="U18" s="7">
        <f t="shared" si="4"/>
        <v>0</v>
      </c>
      <c r="V18" s="8" t="str">
        <f t="shared" si="1"/>
      </c>
      <c r="W18" s="42" t="str">
        <f t="shared" si="3"/>
      </c>
    </row>
    <row r="19" spans="1:23" x14ac:dyDescent="0.25">
      <c r="A19" s="3"/>
      <c r="B19" s="36"/>
      <c r="C19" s="36"/>
      <c r="D19" s="36"/>
      <c r="E19" s="3"/>
      <c r="F19" s="3"/>
      <c r="G19" s="3"/>
      <c r="H19" s="3"/>
      <c r="I19" s="3"/>
      <c r="J19" s="3"/>
      <c r="U19" s="7">
        <f t="shared" si="4"/>
        <v>0</v>
      </c>
      <c r="V19" s="8" t="str">
        <f t="shared" si="1"/>
      </c>
      <c r="W19" s="42" t="str">
        <f t="shared" si="3"/>
      </c>
    </row>
    <row r="20" spans="1:23" x14ac:dyDescent="0.25">
      <c r="A20" s="3"/>
      <c r="B20" s="36"/>
      <c r="C20" s="36"/>
      <c r="D20" s="36"/>
      <c r="E20" s="3"/>
      <c r="F20" s="3"/>
      <c r="G20" s="3"/>
      <c r="H20" s="3"/>
      <c r="I20" s="3"/>
      <c r="J20" s="3"/>
      <c r="U20" s="7">
        <f t="shared" si="4"/>
        <v>0</v>
      </c>
      <c r="V20" s="8" t="str">
        <f t="shared" si="1"/>
      </c>
      <c r="W20" s="42" t="str">
        <f t="shared" si="3"/>
      </c>
    </row>
    <row r="21" spans="1:23" x14ac:dyDescent="0.25">
      <c r="A21" s="3"/>
      <c r="B21" s="3"/>
      <c r="C21" s="3"/>
      <c r="D21" s="3"/>
      <c r="E21" s="3"/>
      <c r="F21" s="3"/>
      <c r="G21" s="3"/>
      <c r="H21" s="3"/>
      <c r="I21" s="3"/>
      <c r="J21" s="3"/>
      <c r="U21" s="7">
        <f t="shared" si="4"/>
        <v>0</v>
      </c>
      <c r="V21" s="8" t="str">
        <f t="shared" si="1"/>
      </c>
      <c r="W21" s="42" t="str">
        <f t="shared" si="3"/>
      </c>
    </row>
    <row r="22" spans="1:23" x14ac:dyDescent="0.25">
      <c r="A22" s="3"/>
      <c r="B22" s="3"/>
      <c r="C22" s="3"/>
      <c r="D22" s="3"/>
      <c r="E22" s="3"/>
      <c r="F22" s="3"/>
      <c r="G22" s="3"/>
      <c r="H22" s="3"/>
      <c r="I22" s="3"/>
      <c r="J22" s="3"/>
      <c r="K22" s="9"/>
      <c r="L22" s="9"/>
      <c r="M22" s="9"/>
      <c r="N22" s="9"/>
      <c r="O22" s="9"/>
      <c r="U22" s="7">
        <f t="shared" si="4"/>
        <v>0</v>
      </c>
      <c r="V22" s="8" t="str">
        <f t="shared" si="1"/>
      </c>
      <c r="W22" s="42" t="str">
        <f t="shared" si="3"/>
      </c>
    </row>
    <row r="23" spans="1:23" x14ac:dyDescent="0.25">
      <c r="A23" s="9"/>
      <c r="B23" s="9" t="inlineStr">
        <is>
          <t>Var</t>
        </is>
      </c>
      <c r="C23" s="9" t="inlineStr">
        <is>
          <t>2024</t>
        </is>
      </c>
      <c r="D23" s="9" t="inlineStr">
        <is>
          <t>2025</t>
        </is>
      </c>
      <c r="E23" s="9" t="inlineStr">
        <is>
          <t>2026</t>
        </is>
      </c>
      <c r="F23" s="9" t="inlineStr">
        <is>
          <t>2027</t>
        </is>
      </c>
      <c r="G23" s="9" t="s">
        <v>6</v>
      </c>
      <c r="H23" s="9" t="str">
        <f t="shared" ref="H23:H54" si="5">INDEX(C23:G23,MATCH($D$16,$C$23:$G$23,0))</f>
        <v>Total Cuatrienio</v>
      </c>
      <c r="I23" s="13">
        <f>SUM(H24:H42)</f>
        <v>0</v>
      </c>
      <c r="J23" s="9"/>
      <c r="K23" s="9"/>
      <c r="L23" s="9"/>
      <c r="M23" s="9"/>
      <c r="N23" s="9"/>
      <c r="O23" s="9"/>
      <c r="U23" s="7">
        <f t="shared" si="4"/>
        <v>0</v>
      </c>
      <c r="V23" s="8" t="str">
        <f t="shared" si="1"/>
      </c>
      <c r="W23" s="42" t="str">
        <f t="shared" si="3"/>
      </c>
    </row>
    <row r="24" spans="1:23" x14ac:dyDescent="0.25">
      <c r="A24" s="9"/>
      <c r="B24" s="9" t="inlineStr">
        <is>
          <t xml:space="preserve">Agricultura y desarrollo rural
</t>
        </is>
      </c>
      <c r="C24" s="9">
        <v>434.2526440863</v>
      </c>
      <c r="D24" s="14">
        <v>451.0836205202</v>
      </c>
      <c r="E24" s="14">
        <v>463.9649314068</v>
      </c>
      <c r="F24" s="14">
        <v>367.7600909786</v>
      </c>
      <c r="G24" s="14">
        <f>SUM(C24:F24)</f>
        <v>0</v>
      </c>
      <c r="H24" s="13">
        <f t="shared" si="5"/>
        <v>0</v>
      </c>
      <c r="I24" s="9" t="e">
        <f>CONCATENATE(TEXT(H24,$U$2)," (",TEXT(H24*100/$I$23,$U$3),"%)")</f>
        <v>#DIV/0!</v>
      </c>
      <c r="J24" s="9"/>
      <c r="K24" s="9"/>
      <c r="L24" s="9"/>
      <c r="M24" s="9"/>
      <c r="N24" s="9"/>
      <c r="O24" s="9"/>
      <c r="U24" s="7">
        <f t="shared" si="4"/>
        <v>0</v>
      </c>
      <c r="V24" s="8" t="str">
        <f t="shared" si="1"/>
      </c>
      <c r="W24" s="42" t="str">
        <f t="shared" si="3"/>
      </c>
    </row>
    <row r="25" spans="1:23" x14ac:dyDescent="0.25">
      <c r="A25" s="9"/>
      <c r="B25" s="9" t="inlineStr">
        <is>
          <t>Ambiente y desarrollo sostenible</t>
        </is>
      </c>
      <c r="C25" s="9">
        <v>1176.09767554</v>
      </c>
      <c r="D25" s="14">
        <v>1216.9654848864</v>
      </c>
      <c r="E25" s="14">
        <v>1350.8243380704</v>
      </c>
      <c r="F25" s="14">
        <v>1326.1374022099</v>
      </c>
      <c r="G25" s="14">
        <f t="shared" ref="G25:G40" si="6">SUM(C25:F25)</f>
        <v>0</v>
      </c>
      <c r="H25" s="13">
        <f t="shared" si="5"/>
        <v>0</v>
      </c>
      <c r="I25" s="9" t="e">
        <f t="shared" ref="I25:I73" si="7">CONCATENATE(TEXT(H25,$U$2)," (",TEXT(H25*100/$I$23,$U$3),"%)")</f>
        <v>#DIV/0!</v>
      </c>
      <c r="J25" s="9"/>
      <c r="K25" s="9"/>
      <c r="L25" s="9"/>
      <c r="M25" s="9"/>
      <c r="N25" s="9"/>
      <c r="O25" s="9"/>
      <c r="U25" s="7">
        <f t="shared" si="4"/>
        <v>0</v>
      </c>
      <c r="V25" s="8" t="str">
        <f t="shared" si="1"/>
      </c>
      <c r="W25" s="42" t="str">
        <f t="shared" si="3"/>
      </c>
    </row>
    <row r="26" spans="1:23" x14ac:dyDescent="0.25">
      <c r="A26" s="9"/>
      <c r="B26" s="9" t="inlineStr">
        <is>
          <t xml:space="preserve">Ciencia, tecnología e innovación
</t>
        </is>
      </c>
      <c r="C26" s="9">
        <v>0</v>
      </c>
      <c r="D26" s="14">
        <v>0</v>
      </c>
      <c r="E26" s="14">
        <v>0</v>
      </c>
      <c r="F26" s="14">
        <v>0</v>
      </c>
      <c r="G26" s="14">
        <f t="shared" si="6"/>
        <v>0</v>
      </c>
      <c r="H26" s="13">
        <f t="shared" si="5"/>
        <v>0</v>
      </c>
      <c r="I26" s="9" t="e">
        <f t="shared" si="7"/>
        <v>#DIV/0!</v>
      </c>
      <c r="J26" s="9"/>
      <c r="K26" s="9"/>
      <c r="L26" s="9"/>
      <c r="M26" s="9"/>
      <c r="N26" s="9"/>
      <c r="O26" s="9"/>
      <c r="U26" s="7">
        <f t="shared" si="4"/>
        <v>0</v>
      </c>
      <c r="V26" s="8" t="str">
        <f t="shared" si="1"/>
      </c>
      <c r="W26" s="42" t="str">
        <f t="shared" si="3"/>
      </c>
    </row>
    <row r="27" spans="1:23" x14ac:dyDescent="0.25">
      <c r="A27" s="9"/>
      <c r="B27" s="9" t="inlineStr">
        <is>
          <t>Comercio, industria y turismo</t>
        </is>
      </c>
      <c r="C27" s="9">
        <v>386.4</v>
      </c>
      <c r="D27" s="9">
        <v>411.4696</v>
      </c>
      <c r="E27" s="9">
        <v>387.5999831407</v>
      </c>
      <c r="F27" s="9">
        <v>434.6694348786</v>
      </c>
      <c r="G27" s="14">
        <f t="shared" si="6"/>
        <v>0</v>
      </c>
      <c r="H27" s="13">
        <f t="shared" si="5"/>
        <v>0</v>
      </c>
      <c r="I27" s="9" t="e">
        <f t="shared" si="7"/>
        <v>#DIV/0!</v>
      </c>
      <c r="J27" s="9"/>
      <c r="K27" s="9"/>
      <c r="L27" s="9"/>
      <c r="M27" s="9"/>
      <c r="N27" s="9"/>
      <c r="O27" s="9"/>
      <c r="U27" s="7">
        <f t="shared" si="4"/>
        <v>0</v>
      </c>
      <c r="V27" s="8" t="str">
        <f t="shared" si="1"/>
      </c>
      <c r="W27" s="42" t="str">
        <f t="shared" si="3"/>
      </c>
    </row>
    <row r="28" spans="1:23" x14ac:dyDescent="0.25">
      <c r="A28" s="9"/>
      <c r="B28" s="9" t="inlineStr">
        <is>
          <t>Cultura</t>
        </is>
      </c>
      <c r="C28" s="9">
        <v>1974.3721858401</v>
      </c>
      <c r="D28" s="9">
        <v>2071.3727010878</v>
      </c>
      <c r="E28" s="9">
        <v>2108.8715137798</v>
      </c>
      <c r="F28" s="9">
        <v>2321.8532087719</v>
      </c>
      <c r="G28" s="14">
        <f t="shared" si="6"/>
        <v>0</v>
      </c>
      <c r="H28" s="13">
        <f t="shared" si="5"/>
        <v>0</v>
      </c>
      <c r="I28" s="9" t="e">
        <f t="shared" si="7"/>
        <v>#DIV/0!</v>
      </c>
      <c r="J28" s="9"/>
      <c r="K28" s="9"/>
      <c r="L28" s="9"/>
      <c r="M28" s="9"/>
      <c r="N28" s="9"/>
      <c r="O28" s="9"/>
      <c r="U28" s="7">
        <f t="shared" si="4"/>
        <v>0</v>
      </c>
      <c r="V28" s="8" t="str">
        <f t="shared" si="1"/>
      </c>
      <c r="W28" s="42" t="str">
        <f t="shared" si="3"/>
      </c>
    </row>
    <row r="29" spans="1:23" x14ac:dyDescent="0.25">
      <c r="A29" s="9"/>
      <c r="B29" s="9" t="inlineStr">
        <is>
          <t>Defensa y Policía</t>
        </is>
      </c>
      <c r="C29" s="9">
        <v>0</v>
      </c>
      <c r="D29" s="9">
        <v>0</v>
      </c>
      <c r="E29" s="9">
        <v>0</v>
      </c>
      <c r="F29" s="9">
        <v>0</v>
      </c>
      <c r="G29" s="14">
        <f t="shared" si="6"/>
        <v>0</v>
      </c>
      <c r="H29" s="13">
        <f t="shared" si="5"/>
        <v>0</v>
      </c>
      <c r="I29" s="9" t="e">
        <f t="shared" si="7"/>
        <v>#DIV/0!</v>
      </c>
      <c r="J29" s="9"/>
      <c r="K29" s="9"/>
      <c r="L29" s="9"/>
      <c r="M29" s="9"/>
      <c r="N29" s="9"/>
      <c r="O29" s="9"/>
      <c r="U29" s="7">
        <f t="shared" si="4"/>
        <v>0</v>
      </c>
      <c r="V29" s="8" t="str">
        <f t="shared" si="1"/>
      </c>
      <c r="W29" s="42" t="str">
        <f t="shared" si="3"/>
      </c>
    </row>
    <row r="30" spans="1:23" x14ac:dyDescent="0.25">
      <c r="A30" s="9"/>
      <c r="B30" s="9" t="inlineStr">
        <is>
          <t>Deporte y Recreación</t>
        </is>
      </c>
      <c r="C30" s="9">
        <v>720.8413184139</v>
      </c>
      <c r="D30" s="9">
        <v>738.9541298321</v>
      </c>
      <c r="E30" s="9">
        <v>779.2057362019</v>
      </c>
      <c r="F30" s="9">
        <v>807.3997599139</v>
      </c>
      <c r="G30" s="14">
        <f t="shared" si="6"/>
        <v>0</v>
      </c>
      <c r="H30" s="13">
        <f t="shared" si="5"/>
        <v>0</v>
      </c>
      <c r="I30" s="9" t="e">
        <f t="shared" si="7"/>
        <v>#DIV/0!</v>
      </c>
      <c r="J30" s="9"/>
      <c r="K30" s="9"/>
      <c r="L30" s="9"/>
      <c r="M30" s="9"/>
      <c r="N30" s="9"/>
      <c r="O30" s="9"/>
      <c r="U30" s="7">
        <f t="shared" si="4"/>
        <v>0</v>
      </c>
      <c r="V30" s="8" t="str">
        <f t="shared" si="1"/>
      </c>
      <c r="W30" s="42" t="str">
        <f t="shared" si="3"/>
      </c>
    </row>
    <row r="31" spans="1:23" x14ac:dyDescent="0.25">
      <c r="A31" s="9"/>
      <c r="B31" s="9" t="inlineStr">
        <is>
          <t>Educación</t>
        </is>
      </c>
      <c r="C31" s="9">
        <v>1268.3912631072</v>
      </c>
      <c r="D31" s="9">
        <v>1317.8585223681</v>
      </c>
      <c r="E31" s="9">
        <v>1384.2550047405</v>
      </c>
      <c r="F31" s="9">
        <v>1453.6559499251</v>
      </c>
      <c r="G31" s="14">
        <f t="shared" si="6"/>
        <v>0</v>
      </c>
      <c r="H31" s="13">
        <f t="shared" si="5"/>
        <v>0</v>
      </c>
      <c r="I31" s="9" t="e">
        <f t="shared" si="7"/>
        <v>#DIV/0!</v>
      </c>
      <c r="J31" s="9"/>
      <c r="K31" s="9"/>
      <c r="L31" s="9"/>
      <c r="M31" s="9"/>
      <c r="N31" s="9"/>
      <c r="O31" s="9"/>
      <c r="U31" s="7">
        <f t="shared" si="4"/>
        <v>0</v>
      </c>
      <c r="V31" s="8" t="str">
        <f t="shared" si="1"/>
      </c>
      <c r="W31" s="42" t="str">
        <f t="shared" si="3"/>
      </c>
    </row>
    <row r="32" spans="1:23" x14ac:dyDescent="0.25">
      <c r="A32" s="9"/>
      <c r="B32" s="9" t="inlineStr">
        <is>
          <t>Gobierno Territorial</t>
        </is>
      </c>
      <c r="C32" s="9">
        <v>2069.0160963327</v>
      </c>
      <c r="D32" s="9">
        <v>2154.7892439713</v>
      </c>
      <c r="E32" s="9">
        <v>2157.6659721069</v>
      </c>
      <c r="F32" s="9">
        <v>2169.9996416569</v>
      </c>
      <c r="G32" s="14">
        <f t="shared" si="6"/>
        <v>0</v>
      </c>
      <c r="H32" s="13">
        <f t="shared" si="5"/>
        <v>0</v>
      </c>
      <c r="I32" s="9" t="e">
        <f t="shared" si="7"/>
        <v>#DIV/0!</v>
      </c>
      <c r="J32" s="9"/>
      <c r="K32" s="9"/>
      <c r="L32" s="9"/>
      <c r="M32" s="9"/>
      <c r="N32" s="9"/>
      <c r="O32" s="9"/>
      <c r="U32" s="7">
        <f t="shared" si="4"/>
        <v>0</v>
      </c>
      <c r="V32" s="8" t="str">
        <f t="shared" si="1"/>
      </c>
      <c r="W32" s="42" t="str">
        <f t="shared" si="3"/>
      </c>
    </row>
    <row r="33" spans="1:23" x14ac:dyDescent="0.25">
      <c r="A33" s="9"/>
      <c r="B33" s="9" t="inlineStr">
        <is>
          <t xml:space="preserve">Inclusión social y reconciliación </t>
        </is>
      </c>
      <c r="C33" s="9">
        <v>2086.76489082</v>
      </c>
      <c r="D33" s="9">
        <v>2161.6133908153</v>
      </c>
      <c r="E33" s="9">
        <v>2203.8861044108</v>
      </c>
      <c r="F33" s="9">
        <v>2281.145369266</v>
      </c>
      <c r="G33" s="14">
        <f t="shared" si="6"/>
        <v>0</v>
      </c>
      <c r="H33" s="13">
        <f t="shared" si="5"/>
        <v>0</v>
      </c>
      <c r="I33" s="9" t="e">
        <f t="shared" si="7"/>
        <v>#DIV/0!</v>
      </c>
      <c r="J33" s="9"/>
      <c r="K33" s="9"/>
      <c r="L33" s="9"/>
      <c r="M33" s="9"/>
      <c r="N33" s="9"/>
      <c r="O33" s="9"/>
      <c r="U33" s="7">
        <f t="shared" si="4"/>
        <v>0</v>
      </c>
      <c r="V33" s="8" t="str">
        <f t="shared" si="1"/>
      </c>
      <c r="W33" s="42" t="str">
        <f t="shared" si="3"/>
      </c>
    </row>
    <row r="34" spans="1:23" x14ac:dyDescent="0.25">
      <c r="A34" s="9"/>
      <c r="B34" s="9" t="inlineStr">
        <is>
          <t>Información Estadística</t>
        </is>
      </c>
      <c r="C34" s="9">
        <v>0</v>
      </c>
      <c r="D34" s="9">
        <v>0</v>
      </c>
      <c r="E34" s="9">
        <v>0</v>
      </c>
      <c r="F34" s="9">
        <v>0</v>
      </c>
      <c r="G34" s="14">
        <f t="shared" si="6"/>
        <v>0</v>
      </c>
      <c r="H34" s="13">
        <f t="shared" si="5"/>
        <v>0</v>
      </c>
      <c r="I34" s="9" t="e">
        <f t="shared" si="7"/>
        <v>#DIV/0!</v>
      </c>
      <c r="J34" s="9"/>
      <c r="K34" s="9"/>
      <c r="L34" s="9"/>
      <c r="M34" s="9"/>
      <c r="N34" s="9"/>
      <c r="O34" s="9"/>
      <c r="U34" s="7">
        <f t="shared" si="4"/>
        <v>0</v>
      </c>
      <c r="V34" s="8" t="str">
        <f t="shared" si="1"/>
      </c>
      <c r="W34" s="42" t="str">
        <f t="shared" si="3"/>
      </c>
    </row>
    <row r="35" spans="1:23" x14ac:dyDescent="0.25">
      <c r="A35" s="9"/>
      <c r="B35" s="9" t="inlineStr">
        <is>
          <t>Justicia y del derecho</t>
        </is>
      </c>
      <c r="C35" s="9">
        <v>0</v>
      </c>
      <c r="D35" s="9">
        <v>0</v>
      </c>
      <c r="E35" s="9">
        <v>0</v>
      </c>
      <c r="F35" s="9">
        <v>0</v>
      </c>
      <c r="G35" s="14">
        <f t="shared" si="6"/>
        <v>0</v>
      </c>
      <c r="H35" s="13">
        <f t="shared" si="5"/>
        <v>0</v>
      </c>
      <c r="I35" s="9" t="e">
        <f t="shared" si="7"/>
        <v>#DIV/0!</v>
      </c>
      <c r="J35" s="9"/>
      <c r="K35" s="9"/>
      <c r="L35" s="9"/>
      <c r="M35" s="9"/>
      <c r="N35" s="9"/>
      <c r="O35" s="9"/>
      <c r="U35" s="7">
        <f t="shared" si="4"/>
        <v>0</v>
      </c>
      <c r="V35" s="8" t="str">
        <f t="shared" si="1"/>
      </c>
      <c r="W35" s="42" t="str">
        <f t="shared" si="3"/>
      </c>
    </row>
    <row r="36" spans="1:23" x14ac:dyDescent="0.25">
      <c r="A36" s="9"/>
      <c r="B36" s="9" t="inlineStr">
        <is>
          <t>Minas y Energía</t>
        </is>
      </c>
      <c r="C36" s="9">
        <v>0</v>
      </c>
      <c r="D36" s="9">
        <v>0</v>
      </c>
      <c r="E36" s="9">
        <v>0</v>
      </c>
      <c r="F36" s="9">
        <v>0</v>
      </c>
      <c r="G36" s="14">
        <f t="shared" si="6"/>
        <v>0</v>
      </c>
      <c r="H36" s="13">
        <f t="shared" si="5"/>
        <v>0</v>
      </c>
      <c r="I36" s="9" t="e">
        <f t="shared" si="7"/>
        <v>#DIV/0!</v>
      </c>
      <c r="J36" s="9"/>
      <c r="K36" s="9"/>
      <c r="L36" s="9"/>
      <c r="M36" s="9"/>
      <c r="N36" s="9"/>
      <c r="O36" s="9"/>
      <c r="U36" s="7">
        <f t="shared" si="4"/>
        <v>0</v>
      </c>
      <c r="V36" s="8" t="str">
        <f t="shared" si="1"/>
      </c>
      <c r="W36" s="42" t="str">
        <f t="shared" si="3"/>
      </c>
    </row>
    <row r="37" spans="1:23" x14ac:dyDescent="0.25">
      <c r="A37" s="9"/>
      <c r="B37" s="9" t="inlineStr">
        <is>
          <t>Organismos de Control</t>
        </is>
      </c>
      <c r="C37" s="9">
        <v>0</v>
      </c>
      <c r="D37" s="9">
        <v>0</v>
      </c>
      <c r="E37" s="9">
        <v>0</v>
      </c>
      <c r="F37" s="9">
        <v>0</v>
      </c>
      <c r="G37" s="14">
        <f t="shared" si="6"/>
        <v>0</v>
      </c>
      <c r="H37" s="13">
        <f t="shared" si="5"/>
        <v>0</v>
      </c>
      <c r="I37" s="9" t="e">
        <f t="shared" si="7"/>
        <v>#DIV/0!</v>
      </c>
      <c r="J37" s="9"/>
      <c r="K37" s="9"/>
      <c r="L37" s="9"/>
      <c r="M37" s="9"/>
      <c r="N37" s="9"/>
      <c r="O37" s="9"/>
      <c r="U37" s="7">
        <f t="shared" si="4"/>
        <v>0</v>
      </c>
      <c r="V37" s="8" t="str">
        <f t="shared" si="1"/>
      </c>
      <c r="W37" s="42" t="str">
        <f t="shared" si="3"/>
      </c>
    </row>
    <row r="38" spans="1:23" x14ac:dyDescent="0.25">
      <c r="A38" s="9"/>
      <c r="B38" s="9" t="inlineStr">
        <is>
          <t>Salud y protección social</t>
        </is>
      </c>
      <c r="C38" s="9">
        <v>2492.4863419397</v>
      </c>
      <c r="D38" s="9">
        <v>2589.6933092755</v>
      </c>
      <c r="E38" s="9">
        <v>2716.2296668407</v>
      </c>
      <c r="F38" s="9">
        <v>2800.5129367708</v>
      </c>
      <c r="G38" s="14">
        <f t="shared" si="6"/>
        <v>0</v>
      </c>
      <c r="H38" s="13">
        <f t="shared" si="5"/>
        <v>0</v>
      </c>
      <c r="I38" s="9" t="e">
        <f t="shared" si="7"/>
        <v>#DIV/0!</v>
      </c>
      <c r="J38" s="9"/>
      <c r="K38" s="9"/>
      <c r="L38" s="9"/>
      <c r="M38" s="9"/>
      <c r="N38" s="9"/>
      <c r="O38" s="9"/>
      <c r="U38" s="7">
        <f t="shared" si="4"/>
        <v>0</v>
      </c>
      <c r="V38" s="8" t="str">
        <f t="shared" si="1"/>
      </c>
      <c r="W38" s="42" t="str">
        <f t="shared" si="3"/>
      </c>
    </row>
    <row r="39" spans="1:23" x14ac:dyDescent="0.25">
      <c r="A39" s="9"/>
      <c r="B39" s="9" t="inlineStr">
        <is>
          <t>Tecnologías de la información y las comunicaciones</t>
        </is>
      </c>
      <c r="C39" s="9">
        <v>10.1863200016</v>
      </c>
      <c r="D39" s="9">
        <v>10.5835864817</v>
      </c>
      <c r="E39" s="9">
        <v>10.9963463544</v>
      </c>
      <c r="F39" s="9">
        <v>11.4252038622</v>
      </c>
      <c r="G39" s="14">
        <f t="shared" si="6"/>
        <v>0</v>
      </c>
      <c r="H39" s="13">
        <f t="shared" si="5"/>
        <v>0</v>
      </c>
      <c r="I39" s="9" t="e">
        <f t="shared" si="7"/>
        <v>#DIV/0!</v>
      </c>
      <c r="J39" s="9"/>
      <c r="K39" s="9"/>
      <c r="L39" s="9"/>
      <c r="M39" s="9"/>
      <c r="N39" s="9"/>
      <c r="O39" s="9"/>
      <c r="U39" s="7">
        <f t="shared" si="4"/>
        <v>0</v>
      </c>
      <c r="V39" s="8" t="str">
        <f t="shared" si="1"/>
      </c>
      <c r="W39" s="42" t="str">
        <f t="shared" si="3"/>
      </c>
    </row>
    <row r="40" spans="1:23" x14ac:dyDescent="0.25">
      <c r="A40" s="9"/>
      <c r="B40" s="9" t="inlineStr">
        <is>
          <t>Trabajo</t>
        </is>
      </c>
      <c r="C40" s="9">
        <v>0</v>
      </c>
      <c r="D40" s="9">
        <v>0</v>
      </c>
      <c r="E40" s="9">
        <v>0</v>
      </c>
      <c r="F40" s="9">
        <v>0</v>
      </c>
      <c r="G40" s="14">
        <f t="shared" si="6"/>
        <v>0</v>
      </c>
      <c r="H40" s="13">
        <f t="shared" si="5"/>
        <v>0</v>
      </c>
      <c r="I40" s="9" t="e">
        <f t="shared" si="7"/>
        <v>#DIV/0!</v>
      </c>
      <c r="J40" s="9"/>
      <c r="K40" s="9"/>
      <c r="L40" s="9"/>
      <c r="M40" s="9"/>
      <c r="N40" s="9"/>
      <c r="O40" s="9"/>
      <c r="U40" s="7">
        <f t="shared" si="4"/>
        <v>0</v>
      </c>
      <c r="V40" s="8" t="str">
        <f t="shared" si="1"/>
      </c>
      <c r="W40" s="42" t="str">
        <f t="shared" si="3"/>
      </c>
    </row>
    <row r="41" spans="1:23" x14ac:dyDescent="0.25">
      <c r="A41" s="9"/>
      <c r="B41" s="9" t="inlineStr">
        <is>
          <t>Transporte</t>
        </is>
      </c>
      <c r="C41" s="9">
        <v>1969.9999996901</v>
      </c>
      <c r="D41" s="9">
        <v>2073.8761535241</v>
      </c>
      <c r="E41" s="9">
        <v>2190.2495584466</v>
      </c>
      <c r="F41" s="9">
        <v>2207.3017406113</v>
      </c>
      <c r="G41" s="14">
        <f t="shared" ref="G41:G42" si="8">SUM(C41:F41)</f>
        <v>0</v>
      </c>
      <c r="H41" s="13">
        <f t="shared" si="5"/>
        <v>0</v>
      </c>
      <c r="I41" s="9" t="e">
        <f t="shared" si="7"/>
        <v>#DIV/0!</v>
      </c>
      <c r="J41" s="9"/>
      <c r="K41" s="9"/>
      <c r="L41" s="9"/>
      <c r="M41" s="9"/>
      <c r="N41" s="9"/>
      <c r="O41" s="9"/>
      <c r="U41" s="7">
        <f t="shared" ref="U41:U71" si="9">SUM(Q41:T41)</f>
        <v>0</v>
      </c>
      <c r="V41" s="8" t="str">
        <f t="shared" si="1"/>
      </c>
      <c r="W41" s="42" t="str">
        <f t="shared" si="3"/>
      </c>
    </row>
    <row r="42" spans="1:23" x14ac:dyDescent="0.25">
      <c r="A42" s="9"/>
      <c r="B42" s="9" t="inlineStr">
        <is>
          <t>Vivienda, ciudad y territorio</t>
        </is>
      </c>
      <c r="C42" s="9">
        <v>2687.3971075169</v>
      </c>
      <c r="D42" s="9">
        <v>2782.82599471</v>
      </c>
      <c r="E42" s="9">
        <v>2901.1016129035</v>
      </c>
      <c r="F42" s="9">
        <v>2912.0032279626</v>
      </c>
      <c r="G42" s="14">
        <f t="shared" si="8"/>
        <v>0</v>
      </c>
      <c r="H42" s="13">
        <f t="shared" si="5"/>
        <v>0</v>
      </c>
      <c r="I42" s="9" t="e">
        <f t="shared" si="7"/>
        <v>#DIV/0!</v>
      </c>
      <c r="J42" s="9"/>
      <c r="K42" s="9"/>
      <c r="L42" s="9"/>
      <c r="M42" s="9"/>
      <c r="N42" s="9"/>
      <c r="O42" s="9"/>
      <c r="U42" s="7">
        <f t="shared" si="9"/>
        <v>0</v>
      </c>
      <c r="V42" s="8" t="str">
        <f t="shared" si="1"/>
      </c>
      <c r="W42" s="42" t="str">
        <f t="shared" si="3"/>
      </c>
    </row>
    <row r="43" spans="1:23" x14ac:dyDescent="0.25">
      <c r="A43" s="9"/>
      <c r="B43" s="9" t="inlineStr">
        <is>
          <t>Recursos Propios</t>
        </is>
      </c>
      <c r="C43" s="9">
        <v>8211.2327078451</v>
      </c>
      <c r="D43" s="9">
        <v>8562.2386133825</v>
      </c>
      <c r="E43" s="9">
        <v>8868.6686064722</v>
      </c>
      <c r="F43" s="9">
        <v>8926.0207005635</v>
      </c>
      <c r="G43" s="14">
        <f t="shared" ref="G43:G56" si="10">SUM(C43:F43)</f>
        <v>0</v>
      </c>
      <c r="H43" s="13">
        <f t="shared" si="5"/>
        <v>0</v>
      </c>
      <c r="I43" s="9" t="e">
        <f t="shared" si="7"/>
        <v>#DIV/0!</v>
      </c>
      <c r="J43" s="9"/>
      <c r="K43" s="9"/>
      <c r="L43" s="9"/>
      <c r="M43" s="9"/>
      <c r="N43" s="9"/>
      <c r="O43" s="9"/>
      <c r="U43" s="7">
        <f t="shared" si="9"/>
        <v>0</v>
      </c>
      <c r="V43" s="8" t="str">
        <f t="shared" si="1"/>
      </c>
      <c r="W43" s="42" t="str">
        <f t="shared" si="3"/>
      </c>
    </row>
    <row r="44" spans="1:23" x14ac:dyDescent="0.25">
      <c r="A44" s="9"/>
      <c r="B44" s="9" t="inlineStr">
        <is>
          <t>SGP Educación</t>
        </is>
      </c>
      <c r="C44" s="9">
        <v>288.65295132</v>
      </c>
      <c r="D44" s="9">
        <v>299.9104164215</v>
      </c>
      <c r="E44" s="9">
        <v>311.6069226619</v>
      </c>
      <c r="F44" s="9">
        <v>323.7595926457</v>
      </c>
      <c r="G44" s="14">
        <f t="shared" si="10"/>
        <v>0</v>
      </c>
      <c r="H44" s="13">
        <f t="shared" si="5"/>
        <v>0</v>
      </c>
      <c r="I44" s="9" t="e">
        <f t="shared" si="7"/>
        <v>#DIV/0!</v>
      </c>
      <c r="J44" s="9"/>
      <c r="K44" s="9"/>
      <c r="L44" s="9"/>
      <c r="M44" s="9"/>
      <c r="N44" s="9"/>
      <c r="O44" s="9"/>
      <c r="U44" s="7">
        <f t="shared" si="9"/>
        <v>0</v>
      </c>
      <c r="V44" s="8" t="str">
        <f t="shared" si="1"/>
      </c>
      <c r="W44" s="42" t="str">
        <f t="shared" si="3"/>
      </c>
    </row>
    <row r="45" spans="1:23" x14ac:dyDescent="0.25">
      <c r="A45" s="9"/>
      <c r="B45" s="9" t="inlineStr">
        <is>
          <t>SGP Salud</t>
        </is>
      </c>
      <c r="C45" s="9">
        <v>1755.89670686</v>
      </c>
      <c r="D45" s="9">
        <v>1824.3766784275</v>
      </c>
      <c r="E45" s="9">
        <v>1895.5273688862</v>
      </c>
      <c r="F45" s="9">
        <v>1969.4529362729</v>
      </c>
      <c r="G45" s="14">
        <f t="shared" si="10"/>
        <v>0</v>
      </c>
      <c r="H45" s="13">
        <f t="shared" si="5"/>
        <v>0</v>
      </c>
      <c r="I45" s="9" t="e">
        <f t="shared" si="7"/>
        <v>#DIV/0!</v>
      </c>
      <c r="J45" s="9"/>
      <c r="K45" s="9"/>
      <c r="L45" s="9"/>
      <c r="M45" s="9"/>
      <c r="N45" s="9"/>
      <c r="O45" s="9"/>
      <c r="U45" s="7">
        <f t="shared" si="9"/>
        <v>0</v>
      </c>
      <c r="V45" s="8" t="str">
        <f t="shared" si="1"/>
      </c>
      <c r="W45" s="42" t="str">
        <f t="shared" si="3"/>
      </c>
    </row>
    <row r="46" spans="1:23" x14ac:dyDescent="0.25">
      <c r="A46" s="9"/>
      <c r="B46" s="9" t="inlineStr">
        <is>
          <t>SGP Deporte</t>
        </is>
      </c>
      <c r="C46" s="9">
        <v>123.5761158339</v>
      </c>
      <c r="D46" s="9">
        <v>128.3955843515</v>
      </c>
      <c r="E46" s="9">
        <v>133.4030121411</v>
      </c>
      <c r="F46" s="9">
        <v>138.6057296146</v>
      </c>
      <c r="G46" s="14">
        <f t="shared" si="10"/>
        <v>0</v>
      </c>
      <c r="H46" s="13">
        <f t="shared" si="5"/>
        <v>0</v>
      </c>
      <c r="I46" s="9" t="e">
        <f t="shared" si="7"/>
        <v>#DIV/0!</v>
      </c>
      <c r="J46" s="9"/>
      <c r="K46" s="9"/>
      <c r="L46" s="9"/>
      <c r="M46" s="9"/>
      <c r="N46" s="9"/>
      <c r="O46" s="9"/>
      <c r="U46" s="7">
        <f t="shared" si="9"/>
        <v>0</v>
      </c>
      <c r="V46" s="8" t="str">
        <f t="shared" si="1"/>
      </c>
      <c r="W46" s="42" t="str">
        <f t="shared" si="3"/>
      </c>
    </row>
    <row r="47" spans="1:23" x14ac:dyDescent="0.25">
      <c r="A47" s="9"/>
      <c r="B47" s="9" t="inlineStr">
        <is>
          <t>SGP Cultura</t>
        </is>
      </c>
      <c r="C47" s="9">
        <v>18.996402</v>
      </c>
      <c r="D47" s="9">
        <v>19.737261678</v>
      </c>
      <c r="E47" s="9">
        <v>20.5070148834</v>
      </c>
      <c r="F47" s="9">
        <v>21.3067884639</v>
      </c>
      <c r="G47" s="14">
        <f t="shared" si="10"/>
        <v>0</v>
      </c>
      <c r="H47" s="13">
        <f t="shared" si="5"/>
        <v>0</v>
      </c>
      <c r="I47" s="9" t="e">
        <f t="shared" si="7"/>
        <v>#DIV/0!</v>
      </c>
      <c r="J47" s="9"/>
      <c r="K47" s="9"/>
      <c r="L47" s="9"/>
      <c r="M47" s="9"/>
      <c r="N47" s="9"/>
      <c r="O47" s="9"/>
      <c r="U47" s="7">
        <f t="shared" si="9"/>
        <v>0</v>
      </c>
      <c r="V47" s="8" t="str">
        <f t="shared" si="1"/>
      </c>
      <c r="W47" s="42" t="str">
        <f t="shared" si="3"/>
      </c>
    </row>
    <row r="48" spans="1:23" x14ac:dyDescent="0.25">
      <c r="A48" s="9"/>
      <c r="B48" s="9" t="inlineStr">
        <is>
          <t>SGP Libre Inversión</t>
        </is>
      </c>
      <c r="C48" s="9">
        <v>2296.0609979907</v>
      </c>
      <c r="D48" s="9">
        <v>2385.6073769126</v>
      </c>
      <c r="E48" s="9">
        <v>2478.6460646129</v>
      </c>
      <c r="F48" s="9">
        <v>2575.3132611318</v>
      </c>
      <c r="G48" s="14">
        <f t="shared" si="10"/>
        <v>0</v>
      </c>
      <c r="H48" s="13">
        <f t="shared" si="5"/>
        <v>0</v>
      </c>
      <c r="I48" s="9" t="e">
        <f t="shared" si="7"/>
        <v>#DIV/0!</v>
      </c>
      <c r="J48" s="9"/>
      <c r="K48" s="9"/>
      <c r="L48" s="9"/>
      <c r="M48" s="9"/>
      <c r="N48" s="9"/>
      <c r="O48" s="9"/>
      <c r="U48" s="7">
        <f t="shared" si="9"/>
        <v>0</v>
      </c>
      <c r="V48" s="8" t="str">
        <f t="shared" si="1"/>
      </c>
      <c r="W48" s="42" t="str">
        <f t="shared" si="3"/>
      </c>
    </row>
    <row r="49" spans="1:23" x14ac:dyDescent="0.25">
      <c r="A49" s="9"/>
      <c r="B49" s="9" t="inlineStr">
        <is>
          <t>SGP Libre Destinación</t>
        </is>
      </c>
      <c r="C49" s="9">
        <v>1689.4657746405</v>
      </c>
      <c r="D49" s="9">
        <v>1755.6949762154</v>
      </c>
      <c r="E49" s="9">
        <v>1824.1670802881</v>
      </c>
      <c r="F49" s="9">
        <v>1895.3095964186</v>
      </c>
      <c r="G49" s="14">
        <f t="shared" si="10"/>
        <v>0</v>
      </c>
      <c r="H49" s="13">
        <f t="shared" si="5"/>
        <v>0</v>
      </c>
      <c r="I49" s="9" t="e">
        <f t="shared" si="7"/>
        <v>#DIV/0!</v>
      </c>
      <c r="J49" s="9"/>
      <c r="K49" s="9"/>
      <c r="L49" s="9"/>
      <c r="M49" s="9"/>
      <c r="N49" s="9"/>
      <c r="O49" s="9"/>
      <c r="U49" s="7">
        <f t="shared" si="9"/>
        <v>0</v>
      </c>
      <c r="V49" s="8" t="str">
        <f t="shared" si="1"/>
      </c>
      <c r="W49" s="42" t="str">
        <f t="shared" si="3"/>
      </c>
    </row>
    <row r="50" spans="1:23" x14ac:dyDescent="0.25">
      <c r="A50" s="9"/>
      <c r="B50" s="9" t="inlineStr">
        <is>
          <t>SGP Alimentación Escolar</t>
        </is>
      </c>
      <c r="C50" s="9">
        <v>42.5395874885</v>
      </c>
      <c r="D50" s="9">
        <v>44.1986314005</v>
      </c>
      <c r="E50" s="9">
        <v>45.9223780252</v>
      </c>
      <c r="F50" s="9">
        <v>47.7133507681</v>
      </c>
      <c r="G50" s="14">
        <f t="shared" si="10"/>
        <v>0</v>
      </c>
      <c r="H50" s="13">
        <f t="shared" si="5"/>
        <v>0</v>
      </c>
      <c r="I50" s="9" t="e">
        <f t="shared" si="7"/>
        <v>#DIV/0!</v>
      </c>
      <c r="J50" s="9"/>
      <c r="K50" s="9"/>
      <c r="L50" s="9"/>
      <c r="M50" s="9"/>
      <c r="N50" s="9"/>
      <c r="O50" s="9"/>
      <c r="U50" s="7">
        <f t="shared" si="9"/>
        <v>0</v>
      </c>
      <c r="V50" s="8" t="str">
        <f t="shared" si="1"/>
      </c>
      <c r="W50" s="42" t="str">
        <f t="shared" si="3"/>
      </c>
    </row>
    <row r="51" spans="1:23" x14ac:dyDescent="0.25">
      <c r="A51" s="9"/>
      <c r="B51" s="9" t="inlineStr">
        <is>
          <t>SGP municipios Río Magdalena</t>
        </is>
      </c>
      <c r="C51" s="9">
        <v>0</v>
      </c>
      <c r="D51" s="9">
        <v>0</v>
      </c>
      <c r="E51" s="9">
        <v>0</v>
      </c>
      <c r="F51" s="9">
        <v>0</v>
      </c>
      <c r="G51" s="14">
        <f t="shared" si="10"/>
        <v>0</v>
      </c>
      <c r="H51" s="13">
        <f t="shared" si="5"/>
        <v>0</v>
      </c>
      <c r="I51" s="9" t="e">
        <f t="shared" si="7"/>
        <v>#DIV/0!</v>
      </c>
      <c r="J51" s="9"/>
      <c r="K51" s="9"/>
      <c r="L51" s="9"/>
      <c r="M51" s="9"/>
      <c r="N51" s="9"/>
      <c r="O51" s="9"/>
      <c r="U51" s="7">
        <f t="shared" si="9"/>
        <v>0</v>
      </c>
      <c r="V51" s="8" t="str">
        <f t="shared" si="1"/>
      </c>
      <c r="W51" s="42" t="str">
        <f t="shared" si="3"/>
      </c>
    </row>
    <row r="52" spans="1:23" x14ac:dyDescent="0.25">
      <c r="A52" s="9"/>
      <c r="B52" s="9" t="inlineStr">
        <is>
          <t>SGP APSB</t>
        </is>
      </c>
      <c r="C52" s="9">
        <v>1051.07498682</v>
      </c>
      <c r="D52" s="9">
        <v>1092.066911306</v>
      </c>
      <c r="E52" s="9">
        <v>1134.6575208469</v>
      </c>
      <c r="F52" s="9">
        <v>1178.90916416</v>
      </c>
      <c r="G52" s="14">
        <f t="shared" si="10"/>
        <v>0</v>
      </c>
      <c r="H52" s="13">
        <f t="shared" si="5"/>
        <v>0</v>
      </c>
      <c r="I52" s="9" t="e">
        <f t="shared" si="7"/>
        <v>#DIV/0!</v>
      </c>
      <c r="J52" s="9"/>
      <c r="K52" s="9"/>
      <c r="L52" s="9"/>
      <c r="M52" s="9"/>
      <c r="N52" s="9"/>
      <c r="O52" s="9"/>
      <c r="U52" s="7">
        <f t="shared" si="9"/>
        <v>0</v>
      </c>
      <c r="V52" s="8" t="str">
        <f t="shared" si="1"/>
      </c>
      <c r="W52" s="42" t="str">
        <f t="shared" si="3"/>
      </c>
    </row>
    <row r="53" spans="1:23" x14ac:dyDescent="0.25">
      <c r="A53" s="9"/>
      <c r="B53" s="9" t="inlineStr">
        <is>
          <t>Crédito</t>
        </is>
      </c>
      <c r="C53" s="9">
        <v>0</v>
      </c>
      <c r="D53" s="9">
        <v>0</v>
      </c>
      <c r="E53" s="9">
        <v>0</v>
      </c>
      <c r="F53" s="9">
        <v>0</v>
      </c>
      <c r="G53" s="14">
        <f t="shared" si="10"/>
        <v>0</v>
      </c>
      <c r="H53" s="13">
        <f t="shared" si="5"/>
        <v>0</v>
      </c>
      <c r="I53" s="9" t="e">
        <f t="shared" si="7"/>
        <v>#DIV/0!</v>
      </c>
      <c r="J53" s="9"/>
      <c r="K53" s="9"/>
      <c r="L53" s="9"/>
      <c r="M53" s="9"/>
      <c r="N53" s="9"/>
      <c r="O53" s="9"/>
      <c r="U53" s="7">
        <f t="shared" si="9"/>
        <v>0</v>
      </c>
      <c r="V53" s="8" t="str">
        <f t="shared" si="1"/>
      </c>
      <c r="W53" s="42" t="str">
        <f t="shared" si="3"/>
      </c>
    </row>
    <row r="54" spans="1:23" x14ac:dyDescent="0.25">
      <c r="A54" s="9"/>
      <c r="B54" s="9" t="inlineStr">
        <is>
          <t>Transf. capital - Cof. Territorial</t>
        </is>
      </c>
      <c r="C54" s="9">
        <v>81.31613169</v>
      </c>
      <c r="D54" s="9">
        <v>84.4874608259</v>
      </c>
      <c r="E54" s="9">
        <v>87.7824717981</v>
      </c>
      <c r="F54" s="9">
        <v>91.2059881983</v>
      </c>
      <c r="G54" s="14">
        <f t="shared" si="10"/>
        <v>0</v>
      </c>
      <c r="H54" s="13">
        <f t="shared" si="5"/>
        <v>0</v>
      </c>
      <c r="I54" s="9" t="e">
        <f t="shared" si="7"/>
        <v>#DIV/0!</v>
      </c>
      <c r="J54" s="9"/>
      <c r="K54" s="9"/>
      <c r="L54" s="9"/>
      <c r="M54" s="9"/>
      <c r="N54" s="9"/>
      <c r="O54" s="9"/>
      <c r="U54" s="7">
        <f t="shared" si="9"/>
        <v>0</v>
      </c>
      <c r="V54" s="8" t="str">
        <f t="shared" si="1"/>
      </c>
      <c r="W54" s="42" t="str">
        <f t="shared" si="3"/>
      </c>
    </row>
    <row r="55" spans="1:23" x14ac:dyDescent="0.25">
      <c r="A55" s="9"/>
      <c r="B55" s="9" t="inlineStr">
        <is>
          <t>Transf. capital - Cof. Nación</t>
        </is>
      </c>
      <c r="C55" s="9">
        <v>0</v>
      </c>
      <c r="D55" s="9">
        <v>0</v>
      </c>
      <c r="E55" s="9">
        <v>0</v>
      </c>
      <c r="F55" s="9">
        <v>0</v>
      </c>
      <c r="G55" s="14">
        <f t="shared" si="10"/>
        <v>0</v>
      </c>
      <c r="H55" s="13">
        <f t="shared" ref="H55:H73" si="11">INDEX(C55:G55,MATCH($D$16,$C$23:$G$23,0))</f>
        <v>0</v>
      </c>
      <c r="I55" s="9" t="e">
        <f t="shared" si="7"/>
        <v>#DIV/0!</v>
      </c>
      <c r="J55" s="9"/>
      <c r="K55" s="9"/>
      <c r="L55" s="9"/>
      <c r="M55" s="9"/>
      <c r="N55" s="9"/>
      <c r="O55" s="9"/>
      <c r="U55" s="7">
        <f t="shared" si="9"/>
        <v>0</v>
      </c>
      <c r="V55" s="8" t="str">
        <f t="shared" si="1"/>
      </c>
      <c r="W55" s="42" t="str">
        <f t="shared" si="3"/>
      </c>
    </row>
    <row r="56" spans="1:23" x14ac:dyDescent="0.25">
      <c r="A56" s="9"/>
      <c r="B56" s="9" t="inlineStr">
        <is>
          <t>Otros</t>
        </is>
      </c>
      <c r="C56" s="9">
        <v>1717.3934807998</v>
      </c>
      <c r="D56" s="9">
        <v>1784.3718265511</v>
      </c>
      <c r="E56" s="9">
        <v>1853.962327787</v>
      </c>
      <c r="F56" s="9">
        <v>1926.2668585704</v>
      </c>
      <c r="G56" s="14">
        <f t="shared" si="10"/>
        <v>0</v>
      </c>
      <c r="H56" s="13">
        <f t="shared" si="11"/>
        <v>0</v>
      </c>
      <c r="I56" s="9" t="e">
        <f t="shared" si="7"/>
        <v>#DIV/0!</v>
      </c>
      <c r="J56" s="9"/>
      <c r="K56" s="9"/>
      <c r="L56" s="9"/>
      <c r="M56" s="9"/>
      <c r="N56" s="9"/>
      <c r="O56" s="9"/>
      <c r="U56" s="7">
        <f t="shared" si="9"/>
        <v>0</v>
      </c>
      <c r="V56" s="8" t="str">
        <f t="shared" si="1"/>
      </c>
      <c r="W56" s="42" t="str">
        <f t="shared" si="3"/>
      </c>
    </row>
    <row r="57" spans="1:23" x14ac:dyDescent="0.25">
      <c r="A57" s="9"/>
      <c r="B57" s="9" t="inlineStr">
        <is>
          <t>1. Fin de la pobreza</t>
        </is>
      </c>
      <c r="C57" s="9">
        <v>1810.8463436157</v>
      </c>
      <c r="D57" s="9">
        <v>1864.9340202701</v>
      </c>
      <c r="E57" s="9">
        <v>1848.2063212242</v>
      </c>
      <c r="F57" s="9">
        <v>1902.7110745349</v>
      </c>
      <c r="G57" s="14">
        <f t="shared" ref="G57:G73" si="12">SUM(C57:F57)</f>
        <v>0</v>
      </c>
      <c r="H57" s="13">
        <f t="shared" si="11"/>
        <v>0</v>
      </c>
      <c r="I57" s="9" t="e">
        <f t="shared" si="7"/>
        <v>#DIV/0!</v>
      </c>
      <c r="J57" s="9"/>
      <c r="K57" s="9"/>
      <c r="L57" s="9"/>
      <c r="M57" s="9"/>
      <c r="N57" s="9"/>
      <c r="O57" s="9"/>
      <c r="U57" s="7">
        <f t="shared" si="9"/>
        <v>0</v>
      </c>
      <c r="V57" s="8" t="str">
        <f t="shared" si="1"/>
      </c>
      <c r="W57" s="42" t="str">
        <f t="shared" si="3"/>
      </c>
    </row>
    <row r="58" spans="1:23" x14ac:dyDescent="0.25">
      <c r="A58" s="9"/>
      <c r="B58" s="9" t="inlineStr">
        <is>
          <t>2. Hambre cero</t>
        </is>
      </c>
      <c r="C58" s="9">
        <v>94.5105176544</v>
      </c>
      <c r="D58" s="9">
        <v>98.1964278429</v>
      </c>
      <c r="E58" s="9">
        <v>102.0260885289</v>
      </c>
      <c r="F58" s="9">
        <v>60.4387908129</v>
      </c>
      <c r="G58" s="14">
        <f t="shared" si="12"/>
        <v>0</v>
      </c>
      <c r="H58" s="13">
        <f t="shared" si="11"/>
        <v>0</v>
      </c>
      <c r="I58" s="9" t="e">
        <f t="shared" si="7"/>
        <v>#DIV/0!</v>
      </c>
      <c r="J58" s="9"/>
      <c r="K58" s="9"/>
      <c r="L58" s="9"/>
      <c r="M58" s="9"/>
      <c r="N58" s="9"/>
      <c r="O58" s="9"/>
      <c r="U58" s="7">
        <f t="shared" si="9"/>
        <v>0</v>
      </c>
      <c r="V58" s="8" t="str">
        <f t="shared" si="1"/>
      </c>
      <c r="W58" s="42" t="str">
        <f t="shared" si="3"/>
      </c>
    </row>
    <row r="59" spans="1:23" x14ac:dyDescent="0.25">
      <c r="A59" s="9"/>
      <c r="B59" s="9" t="inlineStr">
        <is>
          <t>3. Salud y bienestar</t>
        </is>
      </c>
      <c r="C59" s="9">
        <v>599.434103819</v>
      </c>
      <c r="D59" s="9">
        <v>622.8120338682</v>
      </c>
      <c r="E59" s="9">
        <v>723.6824169986</v>
      </c>
      <c r="F59" s="9">
        <v>677.1113441852</v>
      </c>
      <c r="G59" s="14">
        <f t="shared" si="12"/>
        <v>0</v>
      </c>
      <c r="H59" s="13">
        <f t="shared" si="11"/>
        <v>0</v>
      </c>
      <c r="I59" s="9" t="e">
        <f t="shared" si="7"/>
        <v>#DIV/0!</v>
      </c>
      <c r="J59" s="9"/>
      <c r="K59" s="9"/>
      <c r="L59" s="9"/>
      <c r="M59" s="9"/>
      <c r="N59" s="9"/>
      <c r="O59" s="9"/>
      <c r="U59" s="7">
        <f t="shared" si="9"/>
        <v>0</v>
      </c>
      <c r="V59" s="8" t="str">
        <f t="shared" si="1"/>
      </c>
      <c r="W59" s="42" t="str">
        <f t="shared" si="3"/>
      </c>
    </row>
    <row r="60" spans="1:23" x14ac:dyDescent="0.25">
      <c r="A60" s="9"/>
      <c r="B60" s="9" t="inlineStr">
        <is>
          <t>4. Educación de calidad</t>
        </is>
      </c>
      <c r="C60" s="9">
        <v>2392.1962167099</v>
      </c>
      <c r="D60" s="9">
        <v>2485.4918691613</v>
      </c>
      <c r="E60" s="9">
        <v>2604.4260520586</v>
      </c>
      <c r="F60" s="9">
        <v>2688.2526193654</v>
      </c>
      <c r="G60" s="14">
        <f t="shared" si="12"/>
        <v>0</v>
      </c>
      <c r="H60" s="13">
        <f t="shared" si="11"/>
        <v>0</v>
      </c>
      <c r="I60" s="9" t="e">
        <f t="shared" si="7"/>
        <v>#DIV/0!</v>
      </c>
      <c r="J60" s="9"/>
      <c r="K60" s="9"/>
      <c r="L60" s="9"/>
      <c r="M60" s="9"/>
      <c r="N60" s="9"/>
      <c r="O60" s="9"/>
      <c r="U60" s="7">
        <f t="shared" si="9"/>
        <v>0</v>
      </c>
      <c r="V60" s="8" t="str">
        <f t="shared" si="1"/>
      </c>
      <c r="W60" s="42" t="str">
        <f t="shared" si="3"/>
      </c>
    </row>
    <row r="61" spans="1:23" x14ac:dyDescent="0.25">
      <c r="A61" s="9"/>
      <c r="B61" s="9" t="inlineStr">
        <is>
          <t>5. Igualdad de género</t>
        </is>
      </c>
      <c r="C61" s="9">
        <v>25.2</v>
      </c>
      <c r="D61" s="9">
        <v>26.1828</v>
      </c>
      <c r="E61" s="9">
        <v>28.2039292</v>
      </c>
      <c r="F61" s="9">
        <v>29.2648824386</v>
      </c>
      <c r="G61" s="14">
        <f t="shared" si="12"/>
        <v>0</v>
      </c>
      <c r="H61" s="13">
        <f t="shared" si="11"/>
        <v>0</v>
      </c>
      <c r="I61" s="9" t="e">
        <f t="shared" si="7"/>
        <v>#DIV/0!</v>
      </c>
      <c r="J61" s="9"/>
      <c r="K61" s="9"/>
      <c r="L61" s="9"/>
      <c r="M61" s="9"/>
      <c r="N61" s="9"/>
      <c r="O61" s="9"/>
      <c r="U61" s="7">
        <f t="shared" si="9"/>
        <v>0</v>
      </c>
      <c r="V61" s="8" t="str">
        <f t="shared" si="1"/>
      </c>
      <c r="W61" s="42" t="str">
        <f t="shared" si="3"/>
      </c>
    </row>
    <row r="62" spans="1:23" x14ac:dyDescent="0.25">
      <c r="A62" s="9"/>
      <c r="B62" s="9" t="inlineStr">
        <is>
          <t>6. Agua limpia y saneamiento</t>
        </is>
      </c>
      <c r="C62" s="9">
        <v>1976.8488398697</v>
      </c>
      <c r="D62" s="9">
        <v>2056.9459446249</v>
      </c>
      <c r="E62" s="9">
        <v>2154.0498364651</v>
      </c>
      <c r="F62" s="9">
        <v>2217.2777800873</v>
      </c>
      <c r="G62" s="14">
        <f t="shared" si="12"/>
        <v>0</v>
      </c>
      <c r="H62" s="13">
        <f t="shared" si="11"/>
        <v>0</v>
      </c>
      <c r="I62" s="9" t="e">
        <f t="shared" si="7"/>
        <v>#DIV/0!</v>
      </c>
      <c r="J62" s="9"/>
      <c r="K62" s="9"/>
      <c r="L62" s="9"/>
      <c r="M62" s="9"/>
      <c r="N62" s="9"/>
      <c r="O62" s="9"/>
      <c r="U62" s="7">
        <f t="shared" si="9"/>
        <v>0</v>
      </c>
      <c r="V62" s="8" t="str">
        <f t="shared" si="1"/>
      </c>
      <c r="W62" s="42" t="str">
        <f t="shared" si="3"/>
      </c>
    </row>
    <row r="63" spans="1:23" x14ac:dyDescent="0.25">
      <c r="A63" s="9"/>
      <c r="B63" s="9" t="inlineStr">
        <is>
          <t>7. Energía asequible y no contaminante</t>
        </is>
      </c>
      <c r="C63" s="9">
        <v>0</v>
      </c>
      <c r="D63" s="9">
        <v>0</v>
      </c>
      <c r="E63" s="9">
        <v>0</v>
      </c>
      <c r="F63" s="9">
        <v>0</v>
      </c>
      <c r="G63" s="14">
        <f t="shared" si="12"/>
        <v>0</v>
      </c>
      <c r="H63" s="13">
        <f t="shared" si="11"/>
        <v>0</v>
      </c>
      <c r="I63" s="9" t="e">
        <f t="shared" si="7"/>
        <v>#DIV/0!</v>
      </c>
      <c r="J63" s="9"/>
      <c r="K63" s="9"/>
      <c r="L63" s="9"/>
      <c r="M63" s="9"/>
      <c r="N63" s="9"/>
      <c r="O63" s="9"/>
      <c r="U63" s="7">
        <f t="shared" si="9"/>
        <v>0</v>
      </c>
      <c r="V63" s="8" t="str">
        <f t="shared" si="1"/>
      </c>
      <c r="W63" s="42" t="str">
        <f t="shared" si="3"/>
      </c>
    </row>
    <row r="64" spans="1:23" x14ac:dyDescent="0.25">
      <c r="A64" s="9"/>
      <c r="B64" s="9" t="inlineStr">
        <is>
          <t>8. Trabajo decente y crecimiento económico</t>
        </is>
      </c>
      <c r="C64" s="9">
        <v>1083.8881411623</v>
      </c>
      <c r="D64" s="9">
        <v>1161.1597786676</v>
      </c>
      <c r="E64" s="9">
        <v>1138.3007174511</v>
      </c>
      <c r="F64" s="9">
        <v>1325.2290490882</v>
      </c>
      <c r="G64" s="14">
        <f t="shared" si="12"/>
        <v>0</v>
      </c>
      <c r="H64" s="13">
        <f t="shared" si="11"/>
        <v>0</v>
      </c>
      <c r="I64" s="9" t="e">
        <f t="shared" si="7"/>
        <v>#DIV/0!</v>
      </c>
      <c r="J64" s="9"/>
      <c r="K64" s="9"/>
      <c r="L64" s="9"/>
      <c r="M64" s="9"/>
      <c r="N64" s="9"/>
      <c r="O64" s="9"/>
      <c r="U64" s="7">
        <f t="shared" si="9"/>
        <v>0</v>
      </c>
      <c r="V64" s="8" t="str">
        <f t="shared" si="1"/>
      </c>
      <c r="W64" s="42" t="str">
        <f t="shared" si="3"/>
      </c>
    </row>
    <row r="65" spans="1:23" x14ac:dyDescent="0.25">
      <c r="A65" s="9"/>
      <c r="B65" s="9" t="inlineStr">
        <is>
          <t>9. Industria, innovación e infraestructura</t>
        </is>
      </c>
      <c r="C65" s="9">
        <v>2102.05544449</v>
      </c>
      <c r="D65" s="9">
        <v>2211.0817606712</v>
      </c>
      <c r="E65" s="9">
        <v>2305.5538229471</v>
      </c>
      <c r="F65" s="9">
        <v>2355.4180748443</v>
      </c>
      <c r="G65" s="14">
        <f t="shared" si="12"/>
        <v>0</v>
      </c>
      <c r="H65" s="13">
        <f t="shared" si="11"/>
        <v>0</v>
      </c>
      <c r="I65" s="9" t="e">
        <f t="shared" si="7"/>
        <v>#DIV/0!</v>
      </c>
      <c r="J65" s="9"/>
      <c r="K65" s="9"/>
      <c r="L65" s="9"/>
      <c r="M65" s="9"/>
      <c r="N65" s="9"/>
      <c r="O65" s="9"/>
      <c r="U65" s="7">
        <f t="shared" si="9"/>
        <v>0</v>
      </c>
      <c r="V65" s="8" t="str">
        <f t="shared" si="1"/>
      </c>
      <c r="W65" s="42" t="str">
        <f t="shared" si="3"/>
      </c>
    </row>
    <row r="66" spans="1:23" x14ac:dyDescent="0.25">
      <c r="A66" s="9"/>
      <c r="B66" s="9" t="inlineStr">
        <is>
          <t>10. Reducción de las desigualdades</t>
        </is>
      </c>
      <c r="C66" s="9">
        <v>129.7187538667</v>
      </c>
      <c r="D66" s="9">
        <v>134.7777852675</v>
      </c>
      <c r="E66" s="9">
        <v>140.0341188928</v>
      </c>
      <c r="F66" s="9">
        <v>145.4954495297</v>
      </c>
      <c r="G66" s="14">
        <f t="shared" si="12"/>
        <v>0</v>
      </c>
      <c r="H66" s="13">
        <f t="shared" si="11"/>
        <v>0</v>
      </c>
      <c r="I66" s="9" t="e">
        <f t="shared" si="7"/>
        <v>#DIV/0!</v>
      </c>
      <c r="J66" s="9"/>
      <c r="K66" s="9"/>
      <c r="L66" s="9"/>
      <c r="M66" s="9"/>
      <c r="N66" s="9"/>
      <c r="O66" s="9"/>
      <c r="U66" s="7">
        <f t="shared" si="9"/>
        <v>0</v>
      </c>
      <c r="V66" s="8" t="str">
        <f t="shared" si="1"/>
      </c>
      <c r="W66" s="42" t="str">
        <f t="shared" si="3"/>
      </c>
    </row>
    <row r="67" spans="1:23" x14ac:dyDescent="0.25">
      <c r="A67" s="9"/>
      <c r="B67" s="9" t="inlineStr">
        <is>
          <t>11. Ciudades y comunidades sostenibles</t>
        </is>
      </c>
      <c r="C67" s="9">
        <v>1235.439540347</v>
      </c>
      <c r="D67" s="9">
        <v>1264.2036824206</v>
      </c>
      <c r="E67" s="9">
        <v>1394.8851273083</v>
      </c>
      <c r="F67" s="9">
        <v>1266.5656593685</v>
      </c>
      <c r="G67" s="14">
        <f t="shared" si="12"/>
        <v>0</v>
      </c>
      <c r="H67" s="13">
        <f t="shared" si="11"/>
        <v>0</v>
      </c>
      <c r="I67" s="9" t="e">
        <f t="shared" si="7"/>
        <v>#DIV/0!</v>
      </c>
      <c r="J67" s="9"/>
      <c r="K67" s="9"/>
      <c r="L67" s="9"/>
      <c r="M67" s="9"/>
      <c r="N67" s="9"/>
      <c r="O67" s="9"/>
      <c r="U67" s="7">
        <f t="shared" si="9"/>
        <v>0</v>
      </c>
      <c r="V67" s="8" t="str">
        <f t="shared" si="1"/>
      </c>
      <c r="W67" s="42" t="str">
        <f t="shared" si="3"/>
      </c>
    </row>
    <row r="68" spans="1:23" x14ac:dyDescent="0.25">
      <c r="A68" s="9"/>
      <c r="B68" s="9" t="inlineStr">
        <is>
          <t>12. Producción y consumo responsables</t>
        </is>
      </c>
      <c r="C68" s="9">
        <v>0</v>
      </c>
      <c r="D68" s="9">
        <v>0</v>
      </c>
      <c r="E68" s="9">
        <v>0</v>
      </c>
      <c r="F68" s="9">
        <v>0</v>
      </c>
      <c r="G68" s="14">
        <f t="shared" si="12"/>
        <v>0</v>
      </c>
      <c r="H68" s="13">
        <f t="shared" si="11"/>
        <v>0</v>
      </c>
      <c r="I68" s="9" t="e">
        <f t="shared" si="7"/>
        <v>#DIV/0!</v>
      </c>
      <c r="J68" s="9"/>
      <c r="K68" s="9"/>
      <c r="L68" s="9"/>
      <c r="M68" s="9"/>
      <c r="N68" s="9"/>
      <c r="O68" s="9"/>
      <c r="U68" s="7">
        <f t="shared" si="9"/>
        <v>0</v>
      </c>
      <c r="V68" s="8" t="str">
        <f t="shared" si="1"/>
      </c>
      <c r="W68" s="42" t="str">
        <f t="shared" si="3"/>
      </c>
    </row>
    <row r="69" spans="1:23" x14ac:dyDescent="0.25">
      <c r="A69" s="9"/>
      <c r="B69" s="9" t="inlineStr">
        <is>
          <t>13. Acción por el clima</t>
        </is>
      </c>
      <c r="C69" s="9">
        <v>157.4899511538</v>
      </c>
      <c r="D69" s="9">
        <v>168.6320592488</v>
      </c>
      <c r="E69" s="9">
        <v>170.0137095594</v>
      </c>
      <c r="F69" s="9">
        <v>183.6442442323</v>
      </c>
      <c r="G69" s="14">
        <f t="shared" si="12"/>
        <v>0</v>
      </c>
      <c r="H69" s="13">
        <f t="shared" si="11"/>
        <v>0</v>
      </c>
      <c r="I69" s="9" t="e">
        <f t="shared" si="7"/>
        <v>#DIV/0!</v>
      </c>
      <c r="J69" s="9"/>
      <c r="K69" s="9"/>
      <c r="L69" s="9"/>
      <c r="M69" s="9"/>
      <c r="N69" s="9"/>
      <c r="O69" s="9"/>
      <c r="U69" s="7">
        <f t="shared" si="9"/>
        <v>0</v>
      </c>
      <c r="V69" s="8" t="str">
        <f t="shared" si="1"/>
      </c>
      <c r="W69" s="42" t="str">
        <f t="shared" si="3"/>
      </c>
    </row>
    <row r="70" spans="1:23" x14ac:dyDescent="0.25">
      <c r="A70" s="9"/>
      <c r="B70" s="9" t="inlineStr">
        <is>
          <t>14. Vida submarina</t>
        </is>
      </c>
      <c r="C70" s="9">
        <v>0</v>
      </c>
      <c r="D70" s="9">
        <v>0</v>
      </c>
      <c r="E70" s="9">
        <v>0</v>
      </c>
      <c r="F70" s="9">
        <v>0</v>
      </c>
      <c r="G70" s="14">
        <f t="shared" si="12"/>
        <v>0</v>
      </c>
      <c r="H70" s="13">
        <f t="shared" si="11"/>
        <v>0</v>
      </c>
      <c r="I70" s="9" t="e">
        <f t="shared" si="7"/>
        <v>#DIV/0!</v>
      </c>
      <c r="J70" s="9"/>
      <c r="K70" s="9"/>
      <c r="L70" s="9"/>
      <c r="M70" s="9"/>
      <c r="N70" s="9"/>
      <c r="O70" s="9"/>
      <c r="U70" s="7">
        <f t="shared" si="9"/>
        <v>0</v>
      </c>
      <c r="V70" s="8" t="str">
        <f t="shared" si="1"/>
      </c>
      <c r="W70" s="42" t="str">
        <f t="shared" si="3"/>
      </c>
    </row>
    <row r="71" spans="1:23" x14ac:dyDescent="0.25">
      <c r="A71" s="9"/>
      <c r="B71" s="9" t="inlineStr">
        <is>
          <t>15. Vida de ecosistemas terrestres</t>
        </is>
      </c>
      <c r="C71" s="9">
        <v>0</v>
      </c>
      <c r="D71" s="9">
        <v>0</v>
      </c>
      <c r="E71" s="9">
        <v>0</v>
      </c>
      <c r="F71" s="9">
        <v>0</v>
      </c>
      <c r="G71" s="14">
        <f t="shared" si="12"/>
        <v>0</v>
      </c>
      <c r="H71" s="13">
        <f t="shared" si="11"/>
        <v>0</v>
      </c>
      <c r="I71" s="9" t="e">
        <f t="shared" si="7"/>
        <v>#DIV/0!</v>
      </c>
      <c r="J71" s="9"/>
      <c r="K71" s="9"/>
      <c r="L71" s="9"/>
      <c r="M71" s="9"/>
      <c r="N71" s="9"/>
      <c r="O71" s="9"/>
      <c r="U71" s="7">
        <f t="shared" si="9"/>
        <v>0</v>
      </c>
      <c r="V71" s="8" t="str">
        <f t="shared" ref="V71:V75" si="13">IF(P71="","",INDEX(Q71:U71,MATCH($D$16,$C$23:$G$23,0)))</f>
      </c>
      <c r="W71" s="42" t="str">
        <f t="shared" si="3"/>
      </c>
    </row>
    <row r="72" spans="1:23" x14ac:dyDescent="0.25">
      <c r="A72" s="9"/>
      <c r="B72" s="9" t="inlineStr">
        <is>
          <t>16. Paz, justicia e instituciones sólidas</t>
        </is>
      </c>
      <c r="C72" s="9">
        <v>5668.5779906</v>
      </c>
      <c r="D72" s="9">
        <v>5886.6675754294</v>
      </c>
      <c r="E72" s="9">
        <v>6045.4686277689</v>
      </c>
      <c r="F72" s="9">
        <v>6242.4549983205</v>
      </c>
      <c r="G72" s="14">
        <f t="shared" si="12"/>
        <v>0</v>
      </c>
      <c r="H72" s="13">
        <f t="shared" si="11"/>
        <v>0</v>
      </c>
      <c r="I72" s="9" t="e">
        <f t="shared" si="7"/>
        <v>#DIV/0!</v>
      </c>
      <c r="J72" s="9"/>
      <c r="K72" s="9"/>
      <c r="L72" s="9"/>
      <c r="M72" s="9"/>
      <c r="N72" s="9"/>
      <c r="O72" s="9"/>
      <c r="U72" s="7">
        <f t="shared" ref="U72:U73" si="14">SUM(Q72:T72)</f>
        <v>0</v>
      </c>
      <c r="V72" s="8" t="str">
        <f t="shared" si="13"/>
      </c>
      <c r="W72" s="42" t="str">
        <f t="shared" ref="W72:W75" si="15">IFERROR(IF(P72="","",CONCATENATE(TEXT(V72,$U$2)," (",TEXT(V72*100/$I$23,$U$3),"%)")),"")</f>
      </c>
    </row>
    <row r="73" spans="1:23" x14ac:dyDescent="0.25">
      <c r="A73" s="9"/>
      <c r="B73" s="9" t="inlineStr">
        <is>
          <t>17. Alianzas para lograr los objetivos</t>
        </is>
      </c>
      <c r="C73" s="9">
        <v>0</v>
      </c>
      <c r="D73" s="9">
        <v>0</v>
      </c>
      <c r="E73" s="9">
        <v>0</v>
      </c>
      <c r="F73" s="9">
        <v>0</v>
      </c>
      <c r="G73" s="14">
        <f t="shared" si="12"/>
        <v>0</v>
      </c>
      <c r="H73" s="13">
        <f t="shared" si="11"/>
        <v>0</v>
      </c>
      <c r="I73" s="9" t="e">
        <f t="shared" si="7"/>
        <v>#DIV/0!</v>
      </c>
      <c r="J73" s="9"/>
      <c r="K73" s="9"/>
      <c r="L73" s="9"/>
      <c r="M73" s="9"/>
      <c r="N73" s="9"/>
      <c r="O73" s="9"/>
      <c r="U73" s="7">
        <f t="shared" si="14"/>
        <v>0</v>
      </c>
      <c r="V73" s="8" t="str">
        <f t="shared" si="13"/>
      </c>
      <c r="W73" s="42" t="str">
        <f t="shared" si="15"/>
      </c>
    </row>
    <row r="74" spans="1:23" x14ac:dyDescent="0.25">
      <c r="A74" s="9"/>
      <c r="B74" s="9"/>
      <c r="C74" s="9"/>
      <c r="D74" s="9"/>
      <c r="E74" s="9"/>
      <c r="F74" s="9"/>
      <c r="G74" s="9"/>
      <c r="H74" s="9"/>
      <c r="I74" s="9"/>
      <c r="J74" s="9"/>
      <c r="K74" s="9"/>
      <c r="L74" s="9"/>
      <c r="M74" s="9"/>
      <c r="N74" s="9"/>
      <c r="O74" s="9"/>
      <c r="U74" s="7">
        <f t="shared" ref="U74:U75" si="16">SUM(Q74:T74)</f>
        <v>0</v>
      </c>
      <c r="V74" s="8" t="str">
        <f t="shared" si="13"/>
      </c>
      <c r="W74" s="42" t="str">
        <f t="shared" si="15"/>
      </c>
    </row>
    <row r="75" spans="1:23" x14ac:dyDescent="0.25">
      <c r="K75" s="3"/>
      <c r="U75" s="7">
        <f t="shared" si="16"/>
        <v>0</v>
      </c>
      <c r="V75" s="8" t="str">
        <f t="shared" si="13"/>
      </c>
      <c r="W75" s="42" t="str">
        <f t="shared" si="15"/>
      </c>
    </row>
    <row r="76" spans="1:23" ht="17.25" x14ac:dyDescent="0.3">
      <c r="B76" s="11" t="str">
        <f>CONCATENATE("Seguimiento físico al Plan de Desarrollo - Vigencia ",$X$1)</f>
        <v>Seguimiento físico al Plan de Desarrollo - Vigencia (Dar clic en Habilitar Edición)</v>
      </c>
      <c r="C76" s="12"/>
      <c r="D76" s="12"/>
      <c r="E76" s="12"/>
      <c r="F76" s="12"/>
      <c r="G76" s="12"/>
      <c r="H76" s="12"/>
      <c r="I76" s="12"/>
      <c r="J76" s="12"/>
      <c r="K76" s="12"/>
      <c r="L76" s="12"/>
      <c r="M76" s="12"/>
    </row>
    <row r="77" spans="1:23" x14ac:dyDescent="0.25"/>
    <row r="78" spans="1:23" x14ac:dyDescent="0.25">
      <c r="B78" s="70" t="str">
        <f>CONCATENATE("El seguimiento físico se hace a nivel de código BPIN e indicador de producto, junto con su modo de acumulación respectivo. Esta información, consignada en SisPT, la contrastamos con la ejecución acumulada en PIIP al corte de la vigencia ",$X$1,", de los proyectos cuya entidad ejecutora es la entidad territorial en cuestión.")</f>
        <v>El seguimiento físico se hace a nivel de código BPIN e indicador de producto, junto con su modo de acumulación respectivo. Esta información, consignada en SisPT, la contrastamos con la ejecución acumulada en PIIP al corte de la vigencia (Dar clic en Habilitar Edición), de los proyectos cuya entidad ejecutora es la entidad territorial en cuestión.</v>
      </c>
      <c r="C78" s="70"/>
      <c r="D78" s="70"/>
      <c r="E78" s="70"/>
      <c r="F78" s="70"/>
      <c r="G78" s="70"/>
      <c r="H78" s="70"/>
      <c r="I78" s="70"/>
      <c r="J78" s="70"/>
      <c r="K78" s="70"/>
      <c r="L78" s="70"/>
      <c r="M78" s="70"/>
    </row>
    <row r="79" spans="1:23" ht="15.6" customHeight="1" x14ac:dyDescent="0.25">
      <c r="B79" s="70"/>
      <c r="C79" s="70"/>
      <c r="D79" s="70"/>
      <c r="E79" s="70"/>
      <c r="F79" s="70"/>
      <c r="G79" s="70"/>
      <c r="H79" s="70"/>
      <c r="I79" s="70"/>
      <c r="J79" s="70"/>
      <c r="K79" s="70"/>
      <c r="L79" s="70"/>
      <c r="M79" s="70"/>
    </row>
    <row r="80" spans="1:23" ht="15.6" customHeight="1" x14ac:dyDescent="0.25">
      <c r="B80" s="70" t="str">
        <f>CONCATENATE("En el Plan Indicativo del Presupuesto Ordinario de SisPT, la entidad cuenta con ",SUM(B95:B100)," combinaciones únicas de BPIN, indicador de producto, y modo de acumulación. El siguiente diagrama de Venn ilustra, en el lenguaje de teoría de conjuntos, el nivel de coincidencia en la información entre SisPT y PIIP:")</f>
        <v>En el Plan Indicativo del Presupuesto Ordinario de SisPT, la entidad cuenta con 0 combinaciones únicas de BPIN, indicador de producto, y modo de acumulación. El siguiente diagrama de Venn ilustra, en el lenguaje de teoría de conjuntos, el nivel de coincidencia en la información entre SisPT y PIIP:</v>
      </c>
      <c r="C80" s="70"/>
      <c r="D80" s="70"/>
      <c r="E80" s="70"/>
      <c r="F80" s="70"/>
      <c r="G80" s="70"/>
      <c r="H80" s="70"/>
      <c r="I80" s="70"/>
      <c r="J80" s="70"/>
      <c r="K80" s="70"/>
      <c r="L80" s="70"/>
      <c r="M80" s="70"/>
    </row>
    <row r="81" spans="2:20" ht="15.6" customHeight="1" x14ac:dyDescent="0.25">
      <c r="B81" s="70"/>
      <c r="C81" s="70"/>
      <c r="D81" s="70"/>
      <c r="E81" s="70"/>
      <c r="F81" s="70"/>
      <c r="G81" s="70"/>
      <c r="H81" s="70"/>
      <c r="I81" s="70"/>
      <c r="J81" s="70"/>
      <c r="K81" s="70"/>
      <c r="L81" s="70"/>
      <c r="M81" s="70"/>
    </row>
    <row r="82" spans="2:20" ht="15.6" customHeight="1" x14ac:dyDescent="0.25">
      <c r="F82" s="10"/>
      <c r="G82" s="10"/>
      <c r="H82" s="10"/>
      <c r="I82" s="10"/>
      <c r="J82" s="10"/>
      <c r="K82" s="10"/>
      <c r="L82" s="10"/>
      <c r="M82" s="10"/>
    </row>
    <row r="83" spans="2:20" ht="15.6" customHeight="1" x14ac:dyDescent="0.25">
      <c r="F83" s="10"/>
      <c r="G83" s="10"/>
      <c r="H83" s="10"/>
      <c r="I83" s="10"/>
      <c r="J83" s="10"/>
      <c r="K83" s="10"/>
      <c r="L83" s="10"/>
      <c r="M83" s="10"/>
    </row>
    <row r="84" spans="2:20" ht="15.6" customHeight="1" x14ac:dyDescent="0.25">
      <c r="D84" s="71" t="s">
        <v>82</v>
      </c>
      <c r="E84" s="71"/>
      <c r="F84" s="33"/>
      <c r="G84" s="33"/>
      <c r="H84" s="33"/>
      <c r="I84" s="34"/>
      <c r="J84" s="74" t="s">
        <v>88</v>
      </c>
      <c r="K84" s="74"/>
      <c r="L84" s="10"/>
      <c r="M84" s="10"/>
    </row>
    <row r="85" spans="2:20" ht="15.6" customHeight="1" x14ac:dyDescent="0.25">
      <c r="D85" s="68" t="str">
        <f>CONCATENATE(SUM(Q92:Q93)," combinaciones BPIN-Ind. Producto-Tipo Acumulación")</f>
        <v>0 combinaciones BPIN-Ind. Producto-Tipo Acumulación</v>
      </c>
      <c r="E85" s="68"/>
      <c r="F85" s="33"/>
      <c r="G85" s="33"/>
      <c r="H85" s="33"/>
      <c r="I85" s="34"/>
      <c r="J85" s="68" t="str">
        <f>CONCATENATE(SUM(Q93:Q94)," combinaciones BPIN-Ind. Producto-Tipo Acumulación")</f>
        <v>0 combinaciones BPIN-Ind. Producto-Tipo Acumulación</v>
      </c>
      <c r="K85" s="68"/>
      <c r="L85" s="10"/>
      <c r="M85" s="10"/>
    </row>
    <row r="86" spans="2:20" ht="15.6" customHeight="1" x14ac:dyDescent="0.25">
      <c r="D86" s="68"/>
      <c r="E86" s="68"/>
      <c r="F86" s="33"/>
      <c r="G86" s="33"/>
      <c r="H86" s="33"/>
      <c r="I86" s="34"/>
      <c r="J86" s="68"/>
      <c r="K86" s="68"/>
      <c r="L86" s="10"/>
      <c r="M86" s="10"/>
    </row>
    <row r="87" spans="2:20" ht="15.6" customHeight="1" x14ac:dyDescent="0.3">
      <c r="D87" s="68"/>
      <c r="E87" s="68"/>
      <c r="F87" s="33"/>
      <c r="G87" s="33"/>
      <c r="H87" s="33"/>
      <c r="I87" s="34"/>
      <c r="J87" s="68"/>
      <c r="K87" s="68"/>
      <c r="L87" s="10"/>
      <c r="M87" s="10"/>
      <c r="T87" s="49"/>
    </row>
    <row r="88" spans="2:20" ht="15.6" customHeight="1" x14ac:dyDescent="0.25">
      <c r="D88" s="15"/>
      <c r="E88" s="10"/>
      <c r="F88" s="10"/>
      <c r="G88" s="10"/>
      <c r="H88" s="10"/>
      <c r="J88" s="10"/>
      <c r="K88" s="10"/>
      <c r="L88" s="10"/>
      <c r="M88" s="10"/>
    </row>
    <row r="89" spans="2:20" ht="15.6" customHeight="1" x14ac:dyDescent="0.25">
      <c r="D89" s="15"/>
      <c r="E89" s="10"/>
      <c r="F89" s="10"/>
      <c r="G89" s="10"/>
      <c r="H89" s="10"/>
      <c r="J89" s="10"/>
      <c r="K89" s="10"/>
      <c r="L89" s="10"/>
      <c r="M89" s="10"/>
    </row>
    <row r="90" spans="2:20" ht="15.6" customHeight="1" x14ac:dyDescent="0.25">
      <c r="D90" s="10"/>
      <c r="E90" s="10"/>
      <c r="F90" s="10"/>
      <c r="G90" s="10"/>
      <c r="H90" s="10"/>
      <c r="I90" s="2"/>
      <c r="J90" s="10"/>
      <c r="K90" s="10"/>
      <c r="L90" s="10"/>
      <c r="M90" s="10"/>
    </row>
    <row r="91" spans="2:20" ht="15.6" customHeight="1" x14ac:dyDescent="0.25">
      <c r="B91" s="62"/>
      <c r="C91" s="63"/>
      <c r="F91" s="10"/>
      <c r="G91" s="10"/>
      <c r="H91" s="10"/>
      <c r="I91" s="2"/>
      <c r="J91" s="10"/>
      <c r="K91" s="10"/>
      <c r="L91" s="10"/>
      <c r="M91" s="10"/>
    </row>
    <row r="92" spans="2:20" ht="15.6" customHeight="1" x14ac:dyDescent="0.25">
      <c r="B92" s="75" t="str">
        <f>CONCATENATE("El diagrama de Venn muestra que hay ",SUM(B95:B99)," combinaciones en el Plan Indicativo de SisPT que no tienen seguimiento físico en PIIP. Las siguientes tabla y gráfica muestran las distintas razones por las que esas combinaciones no pudieron rastrearse en PIIP, junto con las ",R93,".")</f>
        <v>El diagrama de Venn muestra que hay 0 combinaciones en el Plan Indicativo de SisPT que no tienen seguimiento físico en PIIP. Las siguientes tabla y gráfica muestran las distintas razones por las que esas combinaciones no pudieron rastrearse en PIIP, junto con las 0 coincidencias.</v>
      </c>
      <c r="C92" s="75"/>
      <c r="D92" s="75"/>
      <c r="E92" s="75"/>
      <c r="F92" s="75"/>
      <c r="G92" s="75"/>
      <c r="H92" s="75"/>
      <c r="I92" s="75"/>
      <c r="J92" s="75"/>
      <c r="K92" s="75"/>
      <c r="L92" s="75"/>
      <c r="M92" s="75"/>
      <c r="P92" s="1" t="s">
        <v>79</v>
      </c>
      <c r="Q92" s="1">
        <f>SUM(B95:B99)</f>
        <v>0</v>
      </c>
    </row>
    <row r="93" spans="2:20" ht="15.6" customHeight="1" x14ac:dyDescent="0.25">
      <c r="B93" s="75"/>
      <c r="C93" s="75"/>
      <c r="D93" s="75"/>
      <c r="E93" s="75"/>
      <c r="F93" s="75"/>
      <c r="G93" s="75"/>
      <c r="H93" s="75"/>
      <c r="I93" s="75"/>
      <c r="J93" s="75"/>
      <c r="K93" s="75"/>
      <c r="L93" s="75"/>
      <c r="M93" s="75"/>
      <c r="P93" s="1" t="s">
        <v>80</v>
      </c>
      <c r="Q93" s="1">
        <f>B100</f>
        <v>0</v>
      </c>
      <c r="R93" s="1" t="str">
        <f>IF(Q93=1,CONCATENATE(Q93," coincidencia"),CONCATENATE(Q93," coincidencias"))</f>
        <v>0 coincidencias</v>
      </c>
    </row>
    <row r="94" spans="2:20" ht="15.6" customHeight="1" x14ac:dyDescent="0.25">
      <c r="B94" s="17"/>
      <c r="C94" s="10"/>
      <c r="L94" s="10"/>
      <c r="M94" s="10"/>
      <c r="P94" s="1" t="s">
        <v>89</v>
      </c>
      <c r="Q94" s="1">
        <f>B101</f>
        <v>0</v>
      </c>
    </row>
    <row r="95" spans="2:20" ht="15.6" customHeight="1" x14ac:dyDescent="0.25">
      <c r="B95" s="21">
        <v>0</v>
      </c>
      <c r="C95" s="22" t="s">
        <v>76</v>
      </c>
      <c r="L95" s="10"/>
      <c r="M95" s="10"/>
    </row>
    <row r="96" spans="2:20" ht="15.6" customHeight="1" x14ac:dyDescent="0.25">
      <c r="B96" s="23">
        <v>1</v>
      </c>
      <c r="C96" s="22" t="s">
        <v>77</v>
      </c>
    </row>
    <row r="97" spans="2:18" ht="15.6" customHeight="1" x14ac:dyDescent="0.25">
      <c r="B97" s="24">
        <v>68</v>
      </c>
      <c r="C97" s="22" t="s">
        <v>87</v>
      </c>
    </row>
    <row r="98" spans="2:18" ht="15.6" customHeight="1" x14ac:dyDescent="0.25">
      <c r="B98" s="25">
        <v>0</v>
      </c>
      <c r="C98" s="22" t="s">
        <v>91</v>
      </c>
      <c r="D98" s="10"/>
      <c r="E98" s="10"/>
      <c r="F98" s="10"/>
      <c r="G98" s="10"/>
      <c r="H98" s="10"/>
      <c r="I98" s="2"/>
      <c r="J98" s="10"/>
      <c r="K98" s="10"/>
      <c r="L98" s="10"/>
      <c r="M98" s="10"/>
    </row>
    <row r="99" spans="2:18" ht="15.6" customHeight="1" x14ac:dyDescent="0.25">
      <c r="B99" s="26">
        <v>23</v>
      </c>
      <c r="C99" s="22" t="s">
        <v>78</v>
      </c>
      <c r="D99" s="10"/>
      <c r="E99" s="10"/>
      <c r="F99" s="10"/>
      <c r="G99" s="10"/>
      <c r="H99" s="10"/>
      <c r="I99" s="2"/>
      <c r="J99" s="10"/>
      <c r="K99" s="10"/>
      <c r="L99" s="10"/>
      <c r="M99" s="10"/>
    </row>
    <row r="100" spans="2:18" ht="15.6" customHeight="1" x14ac:dyDescent="0.25">
      <c r="B100" s="27">
        <v>21</v>
      </c>
      <c r="C100" s="22" t="s">
        <v>92</v>
      </c>
      <c r="D100" s="56"/>
      <c r="E100" s="56"/>
      <c r="F100" s="56"/>
      <c r="G100" s="56"/>
      <c r="H100" s="56"/>
      <c r="I100" s="56"/>
      <c r="J100" s="56"/>
      <c r="K100" s="56"/>
      <c r="L100" s="56"/>
      <c r="M100" s="56"/>
    </row>
    <row r="101" spans="2:18" ht="15.6" customHeight="1" x14ac:dyDescent="0.25">
      <c r="B101" s="17">
        <v>80</v>
      </c>
      <c r="C101" s="63"/>
    </row>
    <row r="102" spans="2:18" ht="15.6" customHeight="1" x14ac:dyDescent="0.25">
      <c r="B102" s="75" t="s">
        <v>130</v>
      </c>
      <c r="C102" s="75"/>
      <c r="D102" s="75"/>
      <c r="E102" s="75"/>
      <c r="F102" s="75"/>
      <c r="G102" s="75"/>
      <c r="H102" s="75"/>
      <c r="I102" s="75"/>
      <c r="J102" s="75"/>
      <c r="K102" s="75"/>
      <c r="L102" s="75"/>
      <c r="M102" s="75"/>
    </row>
    <row r="103" spans="2:18" ht="15.6" customHeight="1" x14ac:dyDescent="0.25">
      <c r="B103" s="75"/>
      <c r="C103" s="75"/>
      <c r="D103" s="75"/>
      <c r="E103" s="75"/>
      <c r="F103" s="75"/>
      <c r="G103" s="75"/>
      <c r="H103" s="75"/>
      <c r="I103" s="75"/>
      <c r="J103" s="75"/>
      <c r="K103" s="75"/>
      <c r="L103" s="75"/>
      <c r="M103" s="75"/>
    </row>
    <row r="104" spans="2:18" ht="15.6" customHeight="1" x14ac:dyDescent="0.25">
      <c r="B104" s="10"/>
      <c r="C104" s="10"/>
      <c r="D104" s="10"/>
      <c r="E104" s="10"/>
      <c r="F104" s="10"/>
      <c r="G104" s="10"/>
      <c r="H104" s="10"/>
      <c r="I104" s="10"/>
      <c r="J104" s="10"/>
      <c r="K104" s="10"/>
      <c r="L104" s="10"/>
      <c r="M104" s="10"/>
    </row>
    <row r="105" spans="2:18" x14ac:dyDescent="0.25"/>
    <row r="106" spans="2:18" ht="17.25" x14ac:dyDescent="0.3">
      <c r="B106" s="11" t="str">
        <f>CONCATENATE("Seguimiento financiero al Plan de Desarrollo - Vigencia ",$X$1)</f>
        <v>Seguimiento financiero al Plan de Desarrollo - Vigencia (Dar clic en Habilitar Edición)</v>
      </c>
      <c r="C106" s="12"/>
      <c r="D106" s="12"/>
      <c r="E106" s="12"/>
      <c r="F106" s="12"/>
      <c r="G106" s="12"/>
      <c r="H106" s="12"/>
      <c r="I106" s="12"/>
      <c r="J106" s="12"/>
      <c r="K106" s="12"/>
      <c r="L106" s="12"/>
      <c r="M106" s="12"/>
    </row>
    <row r="107" spans="2:18" x14ac:dyDescent="0.25"/>
    <row r="108" spans="2:18" x14ac:dyDescent="0.25">
      <c r="B108" s="70" t="str">
        <f>CONCATENATE(_xlfn._LONGTEXT("El seguimiento financiero se hace a nivel de código BPIN y producto. Note que el seguimiento financiero no se hace a nivel de indicador de producto. Esta información, consignada en SisPT, la contrastamos con los reportes de ejecución en CUIPO hasta el cie","rre de la vigencia "),$X$1,".")</f>
        <v>El seguimiento financiero se hace a nivel de código BPIN y producto. Note que el seguimiento financiero no se hace a nivel de indicador de producto. Esta información, consignada en SisPT, la contrastamos con los reportes de ejecución en CUIPO hasta el cierre de la vigencia (Dar clic en Habilitar Edición).</v>
      </c>
      <c r="C108" s="70"/>
      <c r="D108" s="70"/>
      <c r="E108" s="70"/>
      <c r="F108" s="70"/>
      <c r="G108" s="70"/>
      <c r="H108" s="70"/>
      <c r="I108" s="70"/>
      <c r="J108" s="70"/>
      <c r="K108" s="70"/>
      <c r="L108" s="70"/>
      <c r="M108" s="70"/>
    </row>
    <row r="109" spans="2:18" x14ac:dyDescent="0.25">
      <c r="B109" s="70"/>
      <c r="C109" s="70"/>
      <c r="D109" s="70"/>
      <c r="E109" s="70"/>
      <c r="F109" s="70"/>
      <c r="G109" s="70"/>
      <c r="H109" s="70"/>
      <c r="I109" s="70"/>
      <c r="J109" s="70"/>
      <c r="K109" s="70"/>
      <c r="L109" s="70"/>
      <c r="M109" s="70"/>
      <c r="P109" s="1" t="s">
        <v>79</v>
      </c>
      <c r="Q109" s="1">
        <v>92</v>
      </c>
    </row>
    <row r="110" spans="2:18" x14ac:dyDescent="0.25">
      <c r="B110" s="70" t="str">
        <f>CONCATENATE("En el Plan Indicativo del Presupuesto Ordinario de SisPT, la entidad cuenta con ",R110," combinaciones únicas de BPIN y producto. El siguiente diagrama de Venn ilustra, en el lenguaje de teoría de conjuntos, el nivel de coincidencia en la información entre SisPT y CUIPO:")</f>
        <v>En el Plan Indicativo del Presupuesto Ordinario de SisPT, la entidad cuenta con 0 coincidencias combinaciones únicas de BPIN y producto. El siguiente diagrama de Venn ilustra, en el lenguaje de teoría de conjuntos, el nivel de coincidencia en la información entre SisPT y CUIPO:</v>
      </c>
      <c r="C110" s="70"/>
      <c r="D110" s="70"/>
      <c r="E110" s="70"/>
      <c r="F110" s="70"/>
      <c r="G110" s="70"/>
      <c r="H110" s="70"/>
      <c r="I110" s="70"/>
      <c r="J110" s="70"/>
      <c r="K110" s="70"/>
      <c r="L110" s="70"/>
      <c r="M110" s="70"/>
      <c r="P110" s="1" t="s">
        <v>80</v>
      </c>
      <c r="Q110" s="1">
        <v>0</v>
      </c>
      <c r="R110" s="1" t="str">
        <f>IF(Q110=1,CONCATENATE(Q110," coincidencia"),CONCATENATE(Q110," coincidencias"))</f>
        <v>0 coincidencias</v>
      </c>
    </row>
    <row r="111" spans="2:18" x14ac:dyDescent="0.25">
      <c r="B111" s="70"/>
      <c r="C111" s="70"/>
      <c r="D111" s="70"/>
      <c r="E111" s="70"/>
      <c r="F111" s="70"/>
      <c r="G111" s="70"/>
      <c r="H111" s="70"/>
      <c r="I111" s="70"/>
      <c r="J111" s="70"/>
      <c r="K111" s="70"/>
      <c r="L111" s="70"/>
      <c r="M111" s="70"/>
      <c r="P111" s="1" t="s">
        <v>81</v>
      </c>
      <c r="Q111" s="1">
        <v>170</v>
      </c>
    </row>
    <row r="112" spans="2:18" x14ac:dyDescent="0.25"/>
    <row r="113" spans="2:13" x14ac:dyDescent="0.25"/>
    <row r="114" spans="2:13" x14ac:dyDescent="0.25">
      <c r="D114" s="71" t="s">
        <v>82</v>
      </c>
      <c r="E114" s="71"/>
      <c r="F114" s="32"/>
      <c r="G114" s="32"/>
      <c r="H114" s="32"/>
      <c r="I114" s="32"/>
      <c r="J114" s="73" t="s">
        <v>83</v>
      </c>
      <c r="K114" s="73"/>
    </row>
    <row r="115" spans="2:13" x14ac:dyDescent="0.25">
      <c r="D115" s="72" t="str">
        <f>CONCATENATE(SUM(Q109:Q110)," combinaciones BPIN-Producto")</f>
        <v>0 combinaciones BPIN-Producto</v>
      </c>
      <c r="E115" s="72"/>
      <c r="F115" s="32"/>
      <c r="G115" s="32"/>
      <c r="H115" s="32"/>
      <c r="I115" s="32"/>
      <c r="J115" s="72" t="str">
        <f>CONCATENATE(SUM(Q110:Q111)," combinaciones BPIN-Producto")</f>
        <v>0 combinaciones BPIN-Producto</v>
      </c>
      <c r="K115" s="72"/>
    </row>
    <row r="116" spans="2:13" x14ac:dyDescent="0.25">
      <c r="D116" s="72"/>
      <c r="E116" s="72"/>
      <c r="F116" s="32"/>
      <c r="G116" s="32"/>
      <c r="H116" s="32"/>
      <c r="I116" s="32"/>
      <c r="J116" s="72"/>
      <c r="K116" s="72"/>
    </row>
    <row r="117" spans="2:13" x14ac:dyDescent="0.25"/>
    <row r="118" spans="2:13" x14ac:dyDescent="0.25"/>
    <row r="119" spans="2:13" x14ac:dyDescent="0.25"/>
    <row r="120" spans="2:13" x14ac:dyDescent="0.25"/>
    <row r="121" spans="2:13" x14ac:dyDescent="0.25"/>
    <row r="122" spans="2:13" x14ac:dyDescent="0.25"/>
    <row r="123" spans="2:13" x14ac:dyDescent="0.25">
      <c r="B123" s="69" t="s">
        <v>90</v>
      </c>
      <c r="C123" s="69"/>
      <c r="D123" s="69"/>
      <c r="E123" s="69"/>
      <c r="F123" s="69"/>
      <c r="G123" s="69"/>
      <c r="H123" s="69"/>
      <c r="I123" s="69"/>
      <c r="J123" s="69"/>
      <c r="K123" s="69"/>
      <c r="L123" s="69"/>
      <c r="M123" s="69"/>
    </row>
    <row r="124" spans="2:13" x14ac:dyDescent="0.25">
      <c r="B124" s="69"/>
      <c r="C124" s="69"/>
      <c r="D124" s="69"/>
      <c r="E124" s="69"/>
      <c r="F124" s="69"/>
      <c r="G124" s="69"/>
      <c r="H124" s="69"/>
      <c r="I124" s="69"/>
      <c r="J124" s="69"/>
      <c r="K124" s="69"/>
      <c r="L124" s="69"/>
      <c r="M124" s="69"/>
    </row>
    <row r="125" spans="2:13" ht="14.45" customHeight="1" x14ac:dyDescent="0.25">
      <c r="B125" s="56"/>
      <c r="C125" s="56"/>
      <c r="D125" s="56"/>
      <c r="E125" s="56"/>
      <c r="F125" s="56"/>
      <c r="G125" s="56"/>
      <c r="H125" s="56"/>
      <c r="I125" s="56"/>
      <c r="J125" s="56"/>
      <c r="K125" s="56"/>
      <c r="L125" s="56"/>
      <c r="M125" s="56"/>
    </row>
    <row r="126" spans="2:13" x14ac:dyDescent="0.25">
      <c r="B126" s="75" t="s">
        <v>129</v>
      </c>
      <c r="C126" s="75"/>
      <c r="D126" s="75"/>
      <c r="E126" s="75"/>
      <c r="F126" s="75"/>
      <c r="G126" s="75"/>
      <c r="H126" s="75"/>
      <c r="I126" s="75"/>
      <c r="J126" s="75"/>
      <c r="K126" s="75"/>
      <c r="L126" s="75"/>
      <c r="M126" s="75"/>
    </row>
    <row r="127" spans="2:13" x14ac:dyDescent="0.25">
      <c r="B127" s="75"/>
      <c r="C127" s="75"/>
      <c r="D127" s="75"/>
      <c r="E127" s="75"/>
      <c r="F127" s="75"/>
      <c r="G127" s="75"/>
      <c r="H127" s="75"/>
      <c r="I127" s="75"/>
      <c r="J127" s="75"/>
      <c r="K127" s="75"/>
      <c r="L127" s="75"/>
      <c r="M127" s="75"/>
    </row>
    <row r="128" spans="2:13" x14ac:dyDescent="0.25"/>
    <row r="129" spans="1:17" x14ac:dyDescent="0.25"/>
    <row r="130" spans="1:17" ht="17.25" x14ac:dyDescent="0.3">
      <c r="B130" s="11" t="str">
        <f>CONCATENATE("Intersección entre plataformas - Vigencia ",$X$1)</f>
        <v>Intersección entre plataformas - Vigencia (Dar clic en Habilitar Edición)</v>
      </c>
      <c r="C130" s="12"/>
      <c r="D130" s="12"/>
      <c r="E130" s="12"/>
      <c r="F130" s="12"/>
      <c r="G130" s="12"/>
      <c r="H130" s="12"/>
      <c r="I130" s="12"/>
      <c r="J130" s="12"/>
      <c r="K130" s="12"/>
      <c r="L130" s="12"/>
      <c r="M130" s="12"/>
    </row>
    <row r="131" spans="1:17" x14ac:dyDescent="0.25"/>
    <row r="132" spans="1:17" x14ac:dyDescent="0.25">
      <c r="B132" s="70" t="s">
        <v>93</v>
      </c>
      <c r="C132" s="70"/>
      <c r="D132" s="70"/>
      <c r="E132" s="70"/>
      <c r="F132" s="70"/>
      <c r="G132" s="70"/>
      <c r="H132" s="70"/>
      <c r="I132" s="70"/>
      <c r="J132" s="70"/>
      <c r="K132" s="70"/>
      <c r="L132" s="70"/>
      <c r="M132" s="70"/>
    </row>
    <row r="133" spans="1:17" x14ac:dyDescent="0.25">
      <c r="B133" s="70"/>
      <c r="C133" s="70"/>
      <c r="D133" s="70"/>
      <c r="E133" s="70"/>
      <c r="F133" s="70"/>
      <c r="G133" s="70"/>
      <c r="H133" s="70"/>
      <c r="I133" s="70"/>
      <c r="J133" s="70"/>
      <c r="K133" s="70"/>
      <c r="L133" s="70"/>
      <c r="M133" s="70"/>
    </row>
    <row r="134" spans="1:17" x14ac:dyDescent="0.25"/>
    <row r="135" spans="1:17" x14ac:dyDescent="0.25">
      <c r="B135" s="39" t="s">
        <v>82</v>
      </c>
      <c r="C135" s="44"/>
      <c r="G135" s="40" t="s">
        <v>83</v>
      </c>
      <c r="I135" s="70" t="s">
        <v>94</v>
      </c>
      <c r="J135" s="70"/>
      <c r="K135" s="70"/>
      <c r="L135" s="70"/>
      <c r="M135" s="84">
        <f>SUM(Q135:Q141)</f>
        <v>0</v>
      </c>
      <c r="P135" s="1" t="s">
        <v>97</v>
      </c>
      <c r="Q135">
        <v>170</v>
      </c>
    </row>
    <row r="136" spans="1:17" x14ac:dyDescent="0.25">
      <c r="B136" s="45">
        <f>Q137+Q139+Q140+Q141</f>
        <v>0</v>
      </c>
      <c r="G136" s="45">
        <f>Q135+Q138+Q139+Q141</f>
        <v>0</v>
      </c>
      <c r="I136" s="70"/>
      <c r="J136" s="70"/>
      <c r="K136" s="70"/>
      <c r="L136" s="70"/>
      <c r="M136" s="85"/>
      <c r="P136" s="1" t="s">
        <v>98</v>
      </c>
      <c r="Q136">
        <v>42</v>
      </c>
    </row>
    <row r="137" spans="1:17" x14ac:dyDescent="0.25">
      <c r="I137" s="28"/>
      <c r="J137" s="28"/>
      <c r="K137" s="28"/>
      <c r="L137" s="28"/>
      <c r="M137" s="28"/>
      <c r="P137" s="1" t="s">
        <v>99</v>
      </c>
      <c r="Q137">
        <v>33</v>
      </c>
    </row>
    <row r="138" spans="1:17" x14ac:dyDescent="0.25">
      <c r="I138" s="70" t="s">
        <v>95</v>
      </c>
      <c r="J138" s="70"/>
      <c r="K138" s="70"/>
      <c r="L138" s="70"/>
      <c r="M138" s="84">
        <f>Q141</f>
        <v>0</v>
      </c>
      <c r="P138" s="1" t="s">
        <v>100</v>
      </c>
      <c r="Q138">
        <v>0</v>
      </c>
    </row>
    <row r="139" spans="1:17" x14ac:dyDescent="0.25">
      <c r="I139" s="70"/>
      <c r="J139" s="70"/>
      <c r="K139" s="70"/>
      <c r="L139" s="70"/>
      <c r="M139" s="85"/>
      <c r="P139" s="1" t="s">
        <v>101</v>
      </c>
      <c r="Q139">
        <v>0</v>
      </c>
    </row>
    <row r="140" spans="1:17" x14ac:dyDescent="0.25">
      <c r="I140" s="28"/>
      <c r="J140" s="28"/>
      <c r="K140" s="28"/>
      <c r="L140" s="28"/>
      <c r="M140" s="28"/>
      <c r="P140" s="1" t="s">
        <v>102</v>
      </c>
      <c r="Q140">
        <v>59</v>
      </c>
    </row>
    <row r="141" spans="1:17" x14ac:dyDescent="0.25">
      <c r="I141" s="70" t="s">
        <v>96</v>
      </c>
      <c r="J141" s="70"/>
      <c r="K141" s="70"/>
      <c r="L141" s="70"/>
      <c r="M141" s="86" t="str">
        <f>IFERROR(M138/M135,"-")</f>
        <v>-</v>
      </c>
      <c r="P141" s="1" t="s">
        <v>103</v>
      </c>
      <c r="Q141">
        <v>0</v>
      </c>
    </row>
    <row r="142" spans="1:17" x14ac:dyDescent="0.25">
      <c r="I142" s="70"/>
      <c r="J142" s="70"/>
      <c r="K142" s="70"/>
      <c r="L142" s="70"/>
      <c r="M142" s="87"/>
    </row>
    <row r="143" spans="1:17" x14ac:dyDescent="0.25"/>
    <row r="144" spans="1:17" x14ac:dyDescent="0.25">
      <c r="A144" s="43"/>
      <c r="H144" s="69" t="str">
        <f>CONCATENATE(_xlfn._LONGTEXT("Notas: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"),$Z$1," y ",$X$1,".")</f>
        <v>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2024, 2025, 2026 y (Dar clic en Habilitar Edición).</v>
      </c>
      <c r="I144" s="69"/>
      <c r="J144" s="69"/>
      <c r="K144" s="69"/>
      <c r="L144" s="69"/>
      <c r="M144" s="69"/>
    </row>
    <row r="145" spans="1:13" x14ac:dyDescent="0.25">
      <c r="H145" s="69"/>
      <c r="I145" s="69"/>
      <c r="J145" s="69"/>
      <c r="K145" s="69"/>
      <c r="L145" s="69"/>
      <c r="M145" s="69"/>
    </row>
    <row r="146" spans="1:13" x14ac:dyDescent="0.25">
      <c r="H146" s="69"/>
      <c r="I146" s="69"/>
      <c r="J146" s="69"/>
      <c r="K146" s="69"/>
      <c r="L146" s="69"/>
      <c r="M146" s="69"/>
    </row>
    <row r="147" spans="1:13" x14ac:dyDescent="0.25">
      <c r="H147" s="69"/>
      <c r="I147" s="69"/>
      <c r="J147" s="69"/>
      <c r="K147" s="69"/>
      <c r="L147" s="69"/>
      <c r="M147" s="69"/>
    </row>
    <row r="148" spans="1:13" x14ac:dyDescent="0.25">
      <c r="H148" s="69"/>
      <c r="I148" s="69"/>
      <c r="J148" s="69"/>
      <c r="K148" s="69"/>
      <c r="L148" s="69"/>
      <c r="M148" s="69"/>
    </row>
    <row r="149" spans="1:13" x14ac:dyDescent="0.25">
      <c r="B149" s="41" t="s">
        <v>88</v>
      </c>
    </row>
    <row r="150" spans="1:13" x14ac:dyDescent="0.25">
      <c r="B150" s="45">
        <f>Q136+Q138+Q140+Q141</f>
        <v>0</v>
      </c>
    </row>
    <row r="151" spans="1:13" x14ac:dyDescent="0.25"/>
    <row r="152" spans="1:13" x14ac:dyDescent="0.25"/>
    <row r="153" spans="1:13" x14ac:dyDescent="0.25"/>
    <row r="154" spans="1:13" x14ac:dyDescent="0.25">
      <c r="A154" s="9" t="s">
        <v>104</v>
      </c>
    </row>
  </sheetData>
  <sheetProtection sheet="1" objects="1" scenarios="1" selectLockedCells="1"/>
  <mergeCells count="31">
    <mergeCell ref="B126:M127"/>
    <mergeCell ref="H144:M148"/>
    <mergeCell ref="B132:M133"/>
    <mergeCell ref="I135:L136"/>
    <mergeCell ref="I138:L139"/>
    <mergeCell ref="I141:L142"/>
    <mergeCell ref="M135:M136"/>
    <mergeCell ref="M138:M139"/>
    <mergeCell ref="M141:M142"/>
    <mergeCell ref="B18:G18"/>
    <mergeCell ref="B9:M10"/>
    <mergeCell ref="C3:L4"/>
    <mergeCell ref="B5:M5"/>
    <mergeCell ref="D1:K1"/>
    <mergeCell ref="B16:C16"/>
    <mergeCell ref="D16:E16"/>
    <mergeCell ref="J85:K87"/>
    <mergeCell ref="B123:M124"/>
    <mergeCell ref="B78:M79"/>
    <mergeCell ref="B80:M81"/>
    <mergeCell ref="B108:M109"/>
    <mergeCell ref="B110:M111"/>
    <mergeCell ref="D114:E114"/>
    <mergeCell ref="D115:E116"/>
    <mergeCell ref="J114:K114"/>
    <mergeCell ref="J115:K116"/>
    <mergeCell ref="J84:K84"/>
    <mergeCell ref="D84:E84"/>
    <mergeCell ref="D85:E87"/>
    <mergeCell ref="B102:M103"/>
    <mergeCell ref="B92:M93"/>
  </mergeCells>
  <dataValidations count="1">
    <dataValidation type="list" allowBlank="1" showInputMessage="1" showErrorMessage="1" sqref="D16:E16" xr:uid="{BBAEDDF8-4856-4087-9493-2C8D4B7CE128}">
      <formula1>$Q$1:$Q$5</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X100"/>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9.28515625" customWidth="1"/>
    <col min="8" max="8" width="23.140625" customWidth="1"/>
    <col min="9" max="9" width="17.7109375" customWidth="1"/>
    <col min="10" max="10" width="13.7109375" customWidth="1"/>
    <col min="11" max="14" width="16" style="37" customWidth="1"/>
    <col min="15" max="17" width="14.5703125" style="37" customWidth="1"/>
    <col min="18" max="18" width="16" style="38" customWidth="1"/>
    <col min="19" max="19" width="27.5703125" customWidth="1"/>
    <col min="20" max="22" width="14.5703125" customWidth="1"/>
    <col min="23" max="23" width="16" customWidth="1"/>
    <col min="24" max="24" width="27.5703125" customWidth="1"/>
  </cols>
  <sheetData>
    <row r="1" spans="1:24" s="20" ht="26.25" customFormat="1" x14ac:dyDescent="0.3">
      <c r="A1" s="31" t="s">
        <v>107</v>
      </c>
      <c r="B1" s="4"/>
      <c r="C1" s="4"/>
      <c r="D1" s="4"/>
      <c r="E1" s="4"/>
      <c r="F1" s="4"/>
      <c r="G1" s="4"/>
      <c r="H1" s="4"/>
      <c r="I1" s="4"/>
      <c r="J1" s="4"/>
      <c r="K1" s="18"/>
      <c r="L1" s="18"/>
      <c r="M1" s="18"/>
      <c r="N1" s="18"/>
      <c r="O1" s="18"/>
      <c r="P1" s="18"/>
      <c r="Q1" s="18"/>
      <c r="R1" s="19"/>
      <c r="S1" s="4"/>
      <c r="T1" s="53"/>
      <c r="U1" s="4"/>
      <c r="V1" s="4"/>
      <c r="W1" s="4"/>
      <c r="X1" s="4"/>
    </row>
    <row r="2" spans="1:24" s="20" ht="65.25" customFormat="1" customHeight="1" x14ac:dyDescent="0.3">
      <c r="A2" s="94" t="s">
        <v>118</v>
      </c>
      <c r="B2" s="94"/>
      <c r="C2" s="94"/>
      <c r="D2" s="94"/>
      <c r="E2" s="94"/>
      <c r="F2" s="94"/>
      <c r="G2" s="94"/>
      <c r="H2" s="94"/>
      <c r="I2" s="94"/>
      <c r="J2" s="94"/>
      <c r="K2" s="94"/>
      <c r="L2" s="94"/>
      <c r="M2" s="46"/>
      <c r="N2" s="46"/>
      <c r="O2" s="18"/>
      <c r="P2" s="18"/>
      <c r="Q2" s="18"/>
      <c r="R2" s="19"/>
      <c r="S2" s="4"/>
      <c r="T2" s="4"/>
      <c r="U2" s="4"/>
      <c r="V2" s="4"/>
      <c r="W2" s="4"/>
      <c r="X2" s="4"/>
    </row>
    <row r="3" spans="1:24" s="20" ht="35.25" customFormat="1" customHeight="1" x14ac:dyDescent="0.3">
      <c r="A3" s="94" t="s">
        <v>108</v>
      </c>
      <c r="B3" s="94"/>
      <c r="C3" s="94"/>
      <c r="D3" s="94"/>
      <c r="E3" s="94"/>
      <c r="F3" s="94"/>
      <c r="G3" s="94"/>
      <c r="H3" s="94"/>
      <c r="I3" s="94"/>
      <c r="J3" s="94"/>
      <c r="K3" s="94"/>
      <c r="L3" s="94"/>
      <c r="M3" s="46"/>
      <c r="N3" s="46"/>
      <c r="O3" s="18"/>
      <c r="P3" s="18"/>
      <c r="Q3" s="18"/>
      <c r="R3" s="19"/>
      <c r="S3" s="4"/>
      <c r="T3" s="4"/>
      <c r="U3" s="4"/>
      <c r="V3" s="4"/>
      <c r="W3" s="4"/>
      <c r="X3" s="4"/>
    </row>
    <row r="4" spans="1:24" s="20" ht="16.5" customFormat="1" x14ac:dyDescent="0.3">
      <c r="A4" s="95" t="s">
        <v>131</v>
      </c>
      <c r="B4" s="95"/>
      <c r="C4" s="95"/>
      <c r="D4" s="95"/>
      <c r="E4" s="95"/>
      <c r="F4" s="95"/>
      <c r="G4" s="95"/>
      <c r="H4" s="95"/>
      <c r="I4" s="95"/>
      <c r="J4" s="95"/>
      <c r="K4" s="95"/>
      <c r="L4" s="95"/>
      <c r="M4" s="46"/>
      <c r="N4" s="46"/>
      <c r="O4" s="18"/>
      <c r="P4" s="18"/>
      <c r="Q4" s="18"/>
      <c r="R4" s="19"/>
      <c r="S4" s="4"/>
      <c r="T4" s="4"/>
      <c r="U4" s="4"/>
      <c r="V4" s="4"/>
      <c r="W4" s="4"/>
      <c r="X4" s="4"/>
    </row>
    <row r="5" spans="1:24" s="20" ht="9.75" customFormat="1" customHeight="1" x14ac:dyDescent="0.3">
      <c r="A5" s="46"/>
      <c r="B5" s="46"/>
      <c r="C5" s="46"/>
      <c r="D5" s="46"/>
      <c r="E5" s="46"/>
      <c r="F5" s="46"/>
      <c r="G5" s="46"/>
      <c r="H5" s="46"/>
      <c r="I5" s="46"/>
      <c r="J5" s="46"/>
      <c r="K5" s="46"/>
      <c r="L5" s="46"/>
      <c r="M5" s="46"/>
      <c r="N5" s="46"/>
      <c r="O5" s="18"/>
      <c r="P5" s="18"/>
      <c r="Q5" s="18"/>
      <c r="R5" s="19"/>
      <c r="S5" s="4"/>
      <c r="T5" s="4"/>
      <c r="U5" s="4"/>
      <c r="V5" s="4"/>
      <c r="W5" s="4"/>
      <c r="X5" s="4"/>
    </row>
    <row r="6" spans="1:24" s="20" ht="20.45" customFormat="1" customHeight="1" x14ac:dyDescent="0.3">
      <c r="A6" s="4"/>
      <c r="B6" s="4"/>
      <c r="C6" s="4"/>
      <c r="D6" s="4"/>
      <c r="E6" s="4"/>
      <c r="F6" s="4"/>
      <c r="G6" s="4"/>
      <c r="H6" s="4"/>
      <c r="I6" s="4"/>
      <c r="J6" s="4"/>
      <c r="K6" s="91" t="s">
        <v>124</v>
      </c>
      <c r="L6" s="92"/>
      <c r="M6" s="92"/>
      <c r="N6" s="93"/>
      <c r="O6" s="89" t="s">
        <v>68</v>
      </c>
      <c r="P6" s="89"/>
      <c r="Q6" s="89"/>
      <c r="R6" s="89"/>
      <c r="S6" s="90"/>
      <c r="T6" s="88" t="str">
        <f>CONCATENATE("Ejecución CUIPO ",Resumen!$X$1)</f>
        <v>Ejecución CUIPO (Dar clic en Habilitar Edición)</v>
      </c>
      <c r="U6" s="89"/>
      <c r="V6" s="89"/>
      <c r="W6" s="89"/>
      <c r="X6" s="90"/>
    </row>
    <row r="7" spans="1:24"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Descripción del Producto (MGA)</t>
        </is>
      </c>
      <c r="I7" s="16" t="inlineStr">
        <is>
          <t>Códigos BPIN Asociados</t>
        </is>
      </c>
      <c r="J7" s="16" t="inlineStr">
        <is>
          <t>Programación Cuatrienio SisPT</t>
        </is>
      </c>
      <c r="K7" s="60" t="inlineStr">
        <is>
          <t>Programado 2024 (SisPT)</t>
        </is>
      </c>
      <c r="L7" s="51" t="inlineStr">
        <is>
          <t>Programado 2025 (SisPT)</t>
        </is>
      </c>
      <c r="M7" s="51" t="inlineStr">
        <is>
          <t>Programado 2026 (SisPT)</t>
        </is>
      </c>
      <c r="N7" s="52" t="inlineStr">
        <is>
          <t>Programado 2027 (SisPT)</t>
        </is>
      </c>
      <c r="O7" s="58" t="inlineStr">
        <is>
          <t>Compromisos 2024 (CUIPO)</t>
        </is>
      </c>
      <c r="P7" s="58" t="inlineStr">
        <is>
          <t>Obligaciones 2024 (CUIPO)</t>
        </is>
      </c>
      <c r="Q7" s="58" t="inlineStr">
        <is>
          <t>Pagos 2024 (CUIPO)</t>
        </is>
      </c>
      <c r="R7" s="64" t="inlineStr">
        <is>
          <t>Obligaciones como % de lo programado (2024)</t>
        </is>
      </c>
      <c r="S7" s="67" t="inlineStr">
        <is>
          <t>Explicación del valor 2024</t>
        </is>
      </c>
      <c r="T7" s="59" t="inlineStr">
        <is>
          <t>Compromisos 2025 (CUIPO)</t>
        </is>
      </c>
      <c r="U7" s="58" t="inlineStr">
        <is>
          <t>Obligaciones 2025 (CUIPO)</t>
        </is>
      </c>
      <c r="V7" s="58" t="inlineStr">
        <is>
          <t>Pagos 2025 (CUIPO)</t>
        </is>
      </c>
      <c r="W7" s="64" t="inlineStr">
        <is>
          <t>Obligaciones como % de lo programado (2025)</t>
        </is>
      </c>
      <c r="X7" s="67" t="inlineStr">
        <is>
          <t>Explicación del valor 2025</t>
        </is>
      </c>
    </row>
    <row r="8">
      <c r="A8" t="inlineStr">
        <is>
          <t>IP-1, IP-10, IP-2, IP-4, IP-7, IP-8, IP-9</t>
        </is>
      </c>
      <c r="B8" t="inlineStr">
        <is>
          <t>45</t>
        </is>
      </c>
      <c r="C8" t="inlineStr">
        <is>
          <t>Gobierno Territorial</t>
        </is>
      </c>
      <c r="D8" t="inlineStr">
        <is>
          <t>4501</t>
        </is>
      </c>
      <c r="E8" t="inlineStr">
        <is>
          <t>Fortalecimiento de la convivencia y la seguridad ciudadana</t>
        </is>
      </c>
      <c r="F8" t="inlineStr">
        <is>
          <t>4501048</t>
        </is>
      </c>
      <c r="G8" t="inlineStr">
        <is>
          <t>Servicio de apoyo para el acceso a la justicia policiva</t>
        </is>
      </c>
      <c r="H8" t="inlineStr">
        <is>
          <t>Comprende la estructuración , definición , implementacion y evaluación de estrategias que permitan garantizar el  efectivo cumplimiento de las normas para la prestación de los servicios de justicia policiva.</t>
        </is>
      </c>
      <c r="I8" t="inlineStr">
        <is>
          <t>2024252950001</t>
        </is>
      </c>
      <c r="J8" s="99">
        <v>1501049225.2098</v>
      </c>
      <c r="K8" s="99">
        <v>367717373.8788</v>
      </c>
      <c r="L8" s="99">
        <v>382058351.4606</v>
      </c>
      <c r="M8" s="99">
        <v>396958627.1672</v>
      </c>
      <c r="N8" s="99">
        <v>354314872.7032</v>
      </c>
      <c r="O8" s="99" t="inlineStr">
        <is>
          <t xml:space="preserve"> </t>
        </is>
      </c>
      <c r="P8" s="99" t="inlineStr">
        <is>
          <t xml:space="preserve"> </t>
        </is>
      </c>
      <c r="Q8" s="99" t="inlineStr">
        <is>
          <t xml:space="preserve"> </t>
        </is>
      </c>
      <c r="R8" s="100" t="inlineStr">
        <is>
          <t xml:space="preserve"> </t>
        </is>
      </c>
      <c r="S8" t="inlineStr">
        <is>
          <t>No se encontró ejecución en CUIPO</t>
        </is>
      </c>
      <c r="T8" s="101" t="inlineStr">
        <is>
          <t xml:space="preserve"> </t>
        </is>
      </c>
      <c r="U8" s="101" t="inlineStr">
        <is>
          <t xml:space="preserve"> </t>
        </is>
      </c>
      <c r="V8" s="101" t="inlineStr">
        <is>
          <t xml:space="preserve"> </t>
        </is>
      </c>
      <c r="W8" s="102" t="inlineStr">
        <is>
          <t xml:space="preserve"> </t>
        </is>
      </c>
      <c r="X8" t="inlineStr">
        <is>
          <t>No se encontró ejecución en CUIPO</t>
        </is>
      </c>
    </row>
    <row r="9">
      <c r="A9" t="inlineStr">
        <is>
          <t>IP-3</t>
        </is>
      </c>
      <c r="B9" t="inlineStr">
        <is>
          <t>45</t>
        </is>
      </c>
      <c r="C9" t="inlineStr">
        <is>
          <t>Gobierno Territorial</t>
        </is>
      </c>
      <c r="D9" t="inlineStr">
        <is>
          <t>4501</t>
        </is>
      </c>
      <c r="E9" t="inlineStr">
        <is>
          <t>Fortalecimiento de la convivencia y la seguridad ciudadana</t>
        </is>
      </c>
      <c r="F9" t="inlineStr">
        <is>
          <t>4501007</t>
        </is>
      </c>
      <c r="G9" t="inlineStr">
        <is>
          <t>Servicio información implementado</t>
        </is>
      </c>
      <c r="H9" t="inlineStr">
        <is>
          <t>Diseño e implementación de las Tics orientadas a atender las necesidades de las dependencias de la entidad en Sistemas de Información, infraestructura computacional, y  redes, que apoyen los proceso de toma de decisiones y la accesibilidad a la ciudadanía.</t>
        </is>
      </c>
      <c r="I9" t="inlineStr">
        <is>
          <t>2024252950001</t>
        </is>
      </c>
      <c r="J9" s="99">
        <v>98995197.8498</v>
      </c>
      <c r="K9" s="99">
        <v>23347134.8495</v>
      </c>
      <c r="L9" s="99">
        <v>24257673.1086</v>
      </c>
      <c r="M9" s="99">
        <v>25203722.3598</v>
      </c>
      <c r="N9" s="99">
        <v>26186667.5319</v>
      </c>
      <c r="O9" s="99" t="inlineStr">
        <is>
          <t xml:space="preserve"> </t>
        </is>
      </c>
      <c r="P9" s="99" t="inlineStr">
        <is>
          <t xml:space="preserve"> </t>
        </is>
      </c>
      <c r="Q9" s="99" t="inlineStr">
        <is>
          <t xml:space="preserve"> </t>
        </is>
      </c>
      <c r="R9" s="100" t="inlineStr">
        <is>
          <t xml:space="preserve"> </t>
        </is>
      </c>
      <c r="S9" t="inlineStr">
        <is>
          <t>No se encontró ejecución en CUIPO</t>
        </is>
      </c>
      <c r="T9" s="101" t="inlineStr">
        <is>
          <t xml:space="preserve"> </t>
        </is>
      </c>
      <c r="U9" s="101" t="inlineStr">
        <is>
          <t xml:space="preserve"> </t>
        </is>
      </c>
      <c r="V9" s="101" t="inlineStr">
        <is>
          <t xml:space="preserve"> </t>
        </is>
      </c>
      <c r="W9" s="102" t="inlineStr">
        <is>
          <t xml:space="preserve"> </t>
        </is>
      </c>
      <c r="X9" t="inlineStr">
        <is>
          <t>No se encontró ejecución en CUIPO</t>
        </is>
      </c>
    </row>
    <row r="10">
      <c r="A10" t="inlineStr">
        <is>
          <t>IP-5, IP-6</t>
        </is>
      </c>
      <c r="B10" t="inlineStr">
        <is>
          <t>45</t>
        </is>
      </c>
      <c r="C10" t="inlineStr">
        <is>
          <t>Gobierno Territorial</t>
        </is>
      </c>
      <c r="D10" t="inlineStr">
        <is>
          <t>4501</t>
        </is>
      </c>
      <c r="E10" t="inlineStr">
        <is>
          <t>Fortalecimiento de la convivencia y la seguridad ciudadana</t>
        </is>
      </c>
      <c r="F10" t="inlineStr">
        <is>
          <t>4501001</t>
        </is>
      </c>
      <c r="G10" t="inlineStr">
        <is>
          <t>Servicio de asistencia técnica</t>
        </is>
      </c>
      <c r="H10" t="inlineStr">
        <is>
          <t xml:space="preserve">Incluye las acciones de transferencia de conocimientos y procesos para la implementación de políticas y lineamientos sobre convivencia y seguridad ciudadana, prestados por los actores competentes. </t>
        </is>
      </c>
      <c r="I10" t="inlineStr">
        <is>
          <t>2024252950001</t>
        </is>
      </c>
      <c r="J10" s="99">
        <v>198203484.7231</v>
      </c>
      <c r="K10" s="99">
        <v>58367837.1237</v>
      </c>
      <c r="L10" s="99">
        <v>63676391.9101</v>
      </c>
      <c r="M10" s="99">
        <v>7419253.4182</v>
      </c>
      <c r="N10" s="99">
        <v>68740002.2711</v>
      </c>
      <c r="O10" s="99" t="inlineStr">
        <is>
          <t xml:space="preserve"> </t>
        </is>
      </c>
      <c r="P10" s="99" t="inlineStr">
        <is>
          <t xml:space="preserve"> </t>
        </is>
      </c>
      <c r="Q10" s="99" t="inlineStr">
        <is>
          <t xml:space="preserve"> </t>
        </is>
      </c>
      <c r="R10" s="100" t="inlineStr">
        <is>
          <t xml:space="preserve"> </t>
        </is>
      </c>
      <c r="S10" t="inlineStr">
        <is>
          <t>No se encontró ejecución en CUIPO</t>
        </is>
      </c>
      <c r="T10" s="101" t="inlineStr">
        <is>
          <t xml:space="preserve"> </t>
        </is>
      </c>
      <c r="U10" s="101" t="inlineStr">
        <is>
          <t xml:space="preserve"> </t>
        </is>
      </c>
      <c r="V10" s="101" t="inlineStr">
        <is>
          <t xml:space="preserve"> </t>
        </is>
      </c>
      <c r="W10" s="102" t="inlineStr">
        <is>
          <t xml:space="preserve"> </t>
        </is>
      </c>
      <c r="X10" t="inlineStr">
        <is>
          <t>No se encontró ejecución en CUIPO</t>
        </is>
      </c>
    </row>
    <row r="11">
      <c r="A11" t="inlineStr">
        <is>
          <t>IP-11</t>
        </is>
      </c>
      <c r="B11" t="inlineStr">
        <is>
          <t>45</t>
        </is>
      </c>
      <c r="C11" t="inlineStr">
        <is>
          <t>Gobierno Territorial</t>
        </is>
      </c>
      <c r="D11" t="inlineStr">
        <is>
          <t>4501</t>
        </is>
      </c>
      <c r="E11" t="inlineStr">
        <is>
          <t>Fortalecimiento de la convivencia y la seguridad ciudadana</t>
        </is>
      </c>
      <c r="F11" t="inlineStr">
        <is>
          <t>4501001</t>
        </is>
      </c>
      <c r="G11" t="inlineStr">
        <is>
          <t>Servicio de asistencia técnica</t>
        </is>
      </c>
      <c r="H11" t="inlineStr">
        <is>
          <t xml:space="preserve">Incluye las acciones de transferencia de conocimientos y procesos para la implementación de políticas y lineamientos sobre convivencia y seguridad ciudadana, prestados por los actores competentes. </t>
        </is>
      </c>
      <c r="I11" t="inlineStr">
        <is>
          <t>2024252950002</t>
        </is>
      </c>
      <c r="J11" s="99">
        <v>123743997.3122</v>
      </c>
      <c r="K11" s="99">
        <v>29183918.5618</v>
      </c>
      <c r="L11" s="99">
        <v>30322091.3858</v>
      </c>
      <c r="M11" s="99">
        <v>31504652.9498</v>
      </c>
      <c r="N11" s="99">
        <v>32733334.4148</v>
      </c>
      <c r="O11" s="99" t="inlineStr">
        <is>
          <t xml:space="preserve"> </t>
        </is>
      </c>
      <c r="P11" s="99" t="inlineStr">
        <is>
          <t xml:space="preserve"> </t>
        </is>
      </c>
      <c r="Q11" s="99" t="inlineStr">
        <is>
          <t xml:space="preserve"> </t>
        </is>
      </c>
      <c r="R11" s="100" t="inlineStr">
        <is>
          <t xml:space="preserve"> </t>
        </is>
      </c>
      <c r="S11" t="inlineStr">
        <is>
          <t>No se encontró ejecución en CUIPO</t>
        </is>
      </c>
      <c r="T11" s="101" t="inlineStr">
        <is>
          <t xml:space="preserve"> </t>
        </is>
      </c>
      <c r="U11" s="101" t="inlineStr">
        <is>
          <t xml:space="preserve"> </t>
        </is>
      </c>
      <c r="V11" s="101" t="inlineStr">
        <is>
          <t xml:space="preserve"> </t>
        </is>
      </c>
      <c r="W11" s="102" t="inlineStr">
        <is>
          <t xml:space="preserve"> </t>
        </is>
      </c>
      <c r="X11" t="inlineStr">
        <is>
          <t>No se encontró ejecución en CUIPO</t>
        </is>
      </c>
    </row>
    <row r="12">
      <c r="A12" t="inlineStr">
        <is>
          <t>IP-12</t>
        </is>
      </c>
      <c r="B12" t="inlineStr">
        <is>
          <t>41</t>
        </is>
      </c>
      <c r="C12" t="inlineStr">
        <is>
          <t xml:space="preserve">Inclusión social y reconciliación </t>
        </is>
      </c>
      <c r="D12" t="inlineStr">
        <is>
          <t>4101</t>
        </is>
      </c>
      <c r="E12" t="inlineStr">
        <is>
          <t>Atención, asistencia y reparación integral a las víctimas</t>
        </is>
      </c>
      <c r="F12" t="inlineStr">
        <is>
          <t>4101031</t>
        </is>
      </c>
      <c r="G12" t="inlineStr">
        <is>
          <t>Servicios de implementaciónde medidas de satisfacción y acompañamiento a las víctimas del conflicto armado</t>
        </is>
      </c>
      <c r="H12" t="inlineStr">
        <is>
          <t>Acciones concertadas de dignificación, reconocimiento y conmemoración a víctimas del conflicto armado. Incluye reconocimiento de víctima ante la comunidad y el ofensor; reconocimiento de responsabilidad de los hechos y solicitudes de perdón; homenajes y actos conmemorativos; monumentos; apoyo a reconstrucción del movimiento y tejido social; difusión del relato de víctimas;  apoyo psicosocial en entrega de restos a familiares de víctimas de desaparición forzada</t>
        </is>
      </c>
      <c r="I12" t="inlineStr">
        <is>
          <t>2024252950003</t>
        </is>
      </c>
      <c r="J12" s="99">
        <v>99643367.9965</v>
      </c>
      <c r="K12" s="99">
        <v>23500000</v>
      </c>
      <c r="L12" s="99">
        <v>24416500</v>
      </c>
      <c r="M12" s="99">
        <v>25368743.5</v>
      </c>
      <c r="N12" s="99">
        <v>26358124.4965</v>
      </c>
      <c r="O12" s="99" t="inlineStr">
        <is>
          <t xml:space="preserve"> </t>
        </is>
      </c>
      <c r="P12" s="99" t="inlineStr">
        <is>
          <t xml:space="preserve"> </t>
        </is>
      </c>
      <c r="Q12" s="99" t="inlineStr">
        <is>
          <t xml:space="preserve"> </t>
        </is>
      </c>
      <c r="R12" s="100" t="inlineStr">
        <is>
          <t xml:space="preserve"> </t>
        </is>
      </c>
      <c r="S12" t="inlineStr">
        <is>
          <t>No se encontró ejecución en CUIPO</t>
        </is>
      </c>
      <c r="T12" s="101" t="inlineStr">
        <is>
          <t xml:space="preserve"> </t>
        </is>
      </c>
      <c r="U12" s="101" t="inlineStr">
        <is>
          <t xml:space="preserve"> </t>
        </is>
      </c>
      <c r="V12" s="101" t="inlineStr">
        <is>
          <t xml:space="preserve"> </t>
        </is>
      </c>
      <c r="W12" s="102" t="inlineStr">
        <is>
          <t xml:space="preserve"> </t>
        </is>
      </c>
      <c r="X12" t="inlineStr">
        <is>
          <t>No se encontró ejecución en CUIPO</t>
        </is>
      </c>
    </row>
    <row r="13">
      <c r="A13" t="inlineStr">
        <is>
          <t>IP-13</t>
        </is>
      </c>
      <c r="B13" t="inlineStr">
        <is>
          <t>40</t>
        </is>
      </c>
      <c r="C13" t="inlineStr">
        <is>
          <t>Vivienda, ciudad y territorio</t>
        </is>
      </c>
      <c r="D13" t="inlineStr">
        <is>
          <t>4001</t>
        </is>
      </c>
      <c r="E13" t="inlineStr">
        <is>
          <t>Acceso a soluciones de vivienda</t>
        </is>
      </c>
      <c r="F13" t="inlineStr">
        <is>
          <t>4001032</t>
        </is>
      </c>
      <c r="G13" t="inlineStr">
        <is>
          <t>Servicio de apoyo financiero para mejoramiento de vivienda</t>
        </is>
      </c>
      <c r="H13" t="inlineStr">
        <is>
          <t>Corresponde al apoyo financiero a través de la asignación de un subsidio familiar de vivienda de interés social para mejoramiento, reparación y/o reconstrucción.</t>
        </is>
      </c>
      <c r="I13" t="inlineStr">
        <is>
          <t>2024252950003</t>
        </is>
      </c>
      <c r="J13" s="99">
        <v>5000000</v>
      </c>
      <c r="K13" s="99">
        <v>0</v>
      </c>
      <c r="L13" s="99">
        <v>5000000</v>
      </c>
      <c r="M13" s="99">
        <v>0</v>
      </c>
      <c r="N13" s="99">
        <v>0</v>
      </c>
      <c r="O13" s="99" t="inlineStr">
        <is>
          <t xml:space="preserve"> </t>
        </is>
      </c>
      <c r="P13" s="99" t="inlineStr">
        <is>
          <t xml:space="preserve"> </t>
        </is>
      </c>
      <c r="Q13" s="99" t="inlineStr">
        <is>
          <t xml:space="preserve"> </t>
        </is>
      </c>
      <c r="R13" s="100" t="inlineStr">
        <is>
          <t xml:space="preserve"> </t>
        </is>
      </c>
      <c r="S13" t="inlineStr">
        <is>
          <t>No se encontró ejecución en CUIPO</t>
        </is>
      </c>
      <c r="T13" s="101" t="inlineStr">
        <is>
          <t xml:space="preserve"> </t>
        </is>
      </c>
      <c r="U13" s="101" t="inlineStr">
        <is>
          <t xml:space="preserve"> </t>
        </is>
      </c>
      <c r="V13" s="101" t="inlineStr">
        <is>
          <t xml:space="preserve"> </t>
        </is>
      </c>
      <c r="W13" s="102" t="inlineStr">
        <is>
          <t xml:space="preserve"> </t>
        </is>
      </c>
      <c r="X13" t="inlineStr">
        <is>
          <t>No se encontró ejecución en CUIPO</t>
        </is>
      </c>
    </row>
    <row r="14">
      <c r="A14" t="inlineStr">
        <is>
          <t>IP-14</t>
        </is>
      </c>
      <c r="B14" t="inlineStr">
        <is>
          <t>40</t>
        </is>
      </c>
      <c r="C14" t="inlineStr">
        <is>
          <t>Vivienda, ciudad y territorio</t>
        </is>
      </c>
      <c r="D14" t="inlineStr">
        <is>
          <t>4001</t>
        </is>
      </c>
      <c r="E14" t="inlineStr">
        <is>
          <t>Acceso a soluciones de vivienda</t>
        </is>
      </c>
      <c r="F14" t="inlineStr">
        <is>
          <t>4001044</t>
        </is>
      </c>
      <c r="G14" t="inlineStr">
        <is>
          <t>Vivienda de Interés Social mejoradas</t>
        </is>
      </c>
      <c r="H14" t="inlineStr">
        <is>
          <t>Soluciones de vivienda para deficiencias en las condiciones sanitarias satisfactorias de espacio, servicios públicos y calidad de estructura de las viviendas de los hogares beneficiarios del subsidio. Intervenciones locativas asociadas, prioritariamente, a la habilitación o instalación de baños; lavaderos; cocinas; redes hidráulicas, sanitarias y eléctricas; cubiertas; pisos; reforzamiento estructural y otras condiciones relacionadas con el saneamiento y mejoramiento de la solución habitacional.</t>
        </is>
      </c>
      <c r="I14" t="inlineStr">
        <is>
          <t>2024252950004</t>
        </is>
      </c>
      <c r="J14" s="99">
        <v>248470885.778</v>
      </c>
      <c r="K14" s="99">
        <v>62000000</v>
      </c>
      <c r="L14" s="99">
        <v>50000000</v>
      </c>
      <c r="M14" s="99">
        <v>66930302</v>
      </c>
      <c r="N14" s="99">
        <v>69540583.778</v>
      </c>
      <c r="O14" s="99" t="inlineStr">
        <is>
          <t xml:space="preserve"> </t>
        </is>
      </c>
      <c r="P14" s="99" t="inlineStr">
        <is>
          <t xml:space="preserve"> </t>
        </is>
      </c>
      <c r="Q14" s="99" t="inlineStr">
        <is>
          <t xml:space="preserve"> </t>
        </is>
      </c>
      <c r="R14" s="100" t="inlineStr">
        <is>
          <t xml:space="preserve"> </t>
        </is>
      </c>
      <c r="S14" t="inlineStr">
        <is>
          <t>No se encontró ejecución en CUIPO</t>
        </is>
      </c>
      <c r="T14" s="101" t="inlineStr">
        <is>
          <t xml:space="preserve"> </t>
        </is>
      </c>
      <c r="U14" s="101" t="inlineStr">
        <is>
          <t xml:space="preserve"> </t>
        </is>
      </c>
      <c r="V14" s="101" t="inlineStr">
        <is>
          <t xml:space="preserve"> </t>
        </is>
      </c>
      <c r="W14" s="102" t="inlineStr">
        <is>
          <t xml:space="preserve"> </t>
        </is>
      </c>
      <c r="X14" t="inlineStr">
        <is>
          <t>No se encontró ejecución en CUIPO</t>
        </is>
      </c>
    </row>
    <row r="15">
      <c r="A15" t="inlineStr">
        <is>
          <t>IP-15, IP-16, IP-17</t>
        </is>
      </c>
      <c r="B15" t="inlineStr">
        <is>
          <t>32</t>
        </is>
      </c>
      <c r="C15" t="inlineStr">
        <is>
          <t>Ambiente y desarrollo sostenible</t>
        </is>
      </c>
      <c r="D15" t="inlineStr">
        <is>
          <t>3205</t>
        </is>
      </c>
      <c r="E15" t="inlineStr">
        <is>
          <t>Ordenamiento ambiental territorial</t>
        </is>
      </c>
      <c r="F15" t="inlineStr">
        <is>
          <t>3205001</t>
        </is>
      </c>
      <c r="G15" t="inlineStr">
        <is>
          <t>Documentos de lineamientos técnicos para el ordenamiento ambiental territorial</t>
        </is>
      </c>
      <c r="H15" t="inlineStr">
        <is>
          <t>Contiene estudios y documentos técnicos producidos en temas de ordenamiento ambiental y territorial, que sirven de insumo para la elaboración de los planes de ordenamiento territorial.</t>
        </is>
      </c>
      <c r="I15" t="inlineStr">
        <is>
          <t>2024252950004</t>
        </is>
      </c>
      <c r="J15" s="99">
        <v>243098580.5445</v>
      </c>
      <c r="K15" s="99">
        <v>38181818.1818</v>
      </c>
      <c r="L15" s="99">
        <v>59670909.0909</v>
      </c>
      <c r="M15" s="99">
        <v>102420273.8191</v>
      </c>
      <c r="N15" s="99">
        <v>42825579.4527</v>
      </c>
      <c r="O15" s="99" t="inlineStr">
        <is>
          <t xml:space="preserve"> </t>
        </is>
      </c>
      <c r="P15" s="99" t="inlineStr">
        <is>
          <t xml:space="preserve"> </t>
        </is>
      </c>
      <c r="Q15" s="99" t="inlineStr">
        <is>
          <t xml:space="preserve"> </t>
        </is>
      </c>
      <c r="R15" s="100" t="inlineStr">
        <is>
          <t xml:space="preserve"> </t>
        </is>
      </c>
      <c r="S15" t="inlineStr">
        <is>
          <t>No se encontró ejecución en CUIPO</t>
        </is>
      </c>
      <c r="T15" s="101" t="inlineStr">
        <is>
          <t xml:space="preserve"> </t>
        </is>
      </c>
      <c r="U15" s="101" t="inlineStr">
        <is>
          <t xml:space="preserve"> </t>
        </is>
      </c>
      <c r="V15" s="101" t="inlineStr">
        <is>
          <t xml:space="preserve"> </t>
        </is>
      </c>
      <c r="W15" s="102" t="inlineStr">
        <is>
          <t xml:space="preserve"> </t>
        </is>
      </c>
      <c r="X15" t="inlineStr">
        <is>
          <t>No se encontró ejecución en CUIPO</t>
        </is>
      </c>
    </row>
    <row r="16">
      <c r="A16" t="inlineStr">
        <is>
          <t>IP-18</t>
        </is>
      </c>
      <c r="B16" t="inlineStr">
        <is>
          <t>32</t>
        </is>
      </c>
      <c r="C16" t="inlineStr">
        <is>
          <t>Ambiente y desarrollo sostenible</t>
        </is>
      </c>
      <c r="D16" t="inlineStr">
        <is>
          <t>3205</t>
        </is>
      </c>
      <c r="E16" t="inlineStr">
        <is>
          <t>Ordenamiento ambiental territorial</t>
        </is>
      </c>
      <c r="F16" t="inlineStr">
        <is>
          <t>3205001</t>
        </is>
      </c>
      <c r="G16" t="inlineStr">
        <is>
          <t>Documentos de lineamientos técnicos para el ordenamiento ambiental territorial</t>
        </is>
      </c>
      <c r="H16" t="inlineStr">
        <is>
          <t>Contiene estudios y documentos técnicos producidos en temas de ordenamiento ambiental y territorial, que sirven de insumo para la elaboración de los planes de ordenamiento territorial.</t>
        </is>
      </c>
      <c r="I16" t="inlineStr">
        <is>
          <t>2024252950005</t>
        </is>
      </c>
      <c r="J16" s="99">
        <v>253318667.2241</v>
      </c>
      <c r="K16" s="99">
        <v>66818181.8182</v>
      </c>
      <c r="L16" s="99">
        <v>39424090.9091</v>
      </c>
      <c r="M16" s="99">
        <v>72131630.4545</v>
      </c>
      <c r="N16" s="99">
        <v>74944764.0423</v>
      </c>
      <c r="O16" s="99" t="inlineStr">
        <is>
          <t xml:space="preserve"> </t>
        </is>
      </c>
      <c r="P16" s="99" t="inlineStr">
        <is>
          <t xml:space="preserve"> </t>
        </is>
      </c>
      <c r="Q16" s="99" t="inlineStr">
        <is>
          <t xml:space="preserve"> </t>
        </is>
      </c>
      <c r="R16" s="100" t="inlineStr">
        <is>
          <t xml:space="preserve"> </t>
        </is>
      </c>
      <c r="S16" t="inlineStr">
        <is>
          <t>No se encontró ejecución en CUIPO</t>
        </is>
      </c>
      <c r="T16" s="101" t="inlineStr">
        <is>
          <t xml:space="preserve"> </t>
        </is>
      </c>
      <c r="U16" s="101" t="inlineStr">
        <is>
          <t xml:space="preserve"> </t>
        </is>
      </c>
      <c r="V16" s="101" t="inlineStr">
        <is>
          <t xml:space="preserve"> </t>
        </is>
      </c>
      <c r="W16" s="102" t="inlineStr">
        <is>
          <t xml:space="preserve"> </t>
        </is>
      </c>
      <c r="X16" t="inlineStr">
        <is>
          <t>No se encontró ejecución en CUIPO</t>
        </is>
      </c>
    </row>
    <row r="17">
      <c r="A17" t="inlineStr">
        <is>
          <t>IP-19, IP-20, IP-21</t>
        </is>
      </c>
      <c r="B17" t="inlineStr">
        <is>
          <t>22</t>
        </is>
      </c>
      <c r="C17" t="inlineStr">
        <is>
          <t>Educación</t>
        </is>
      </c>
      <c r="D17" t="inlineStr">
        <is>
          <t>2202</t>
        </is>
      </c>
      <c r="E17" t="inlineStr">
        <is>
          <t>Calidad y fomento de la educación superior</t>
        </is>
      </c>
      <c r="F17" t="inlineStr">
        <is>
          <t>2202064</t>
        </is>
      </c>
      <c r="G17" t="inlineStr">
        <is>
          <t>Servicio de apoyo financiero para la permanencia a la educación superior</t>
        </is>
      </c>
      <c r="H17" t="inlineStr">
        <is>
          <t xml:space="preserve">Incluye créditos - beca y subsidios en todas sus modalidades  para fortalecer las acciones de retención estudiantil en la educación superior </t>
        </is>
      </c>
      <c r="I17" t="inlineStr">
        <is>
          <t>2024252950005</t>
        </is>
      </c>
      <c r="J17" s="99">
        <v>538851546.7897</v>
      </c>
      <c r="K17" s="99">
        <v>127083333.3334</v>
      </c>
      <c r="L17" s="99">
        <v>132039583.3334</v>
      </c>
      <c r="M17" s="99">
        <v>137189127.0834</v>
      </c>
      <c r="N17" s="99">
        <v>142539503.0395</v>
      </c>
      <c r="O17" s="99" t="inlineStr">
        <is>
          <t xml:space="preserve"> </t>
        </is>
      </c>
      <c r="P17" s="99" t="inlineStr">
        <is>
          <t xml:space="preserve"> </t>
        </is>
      </c>
      <c r="Q17" s="99" t="inlineStr">
        <is>
          <t xml:space="preserve"> </t>
        </is>
      </c>
      <c r="R17" s="100" t="inlineStr">
        <is>
          <t xml:space="preserve"> </t>
        </is>
      </c>
      <c r="S17" t="inlineStr">
        <is>
          <t>No se encontró ejecución en CUIPO</t>
        </is>
      </c>
      <c r="T17" s="101" t="inlineStr">
        <is>
          <t xml:space="preserve"> </t>
        </is>
      </c>
      <c r="U17" s="101" t="inlineStr">
        <is>
          <t xml:space="preserve"> </t>
        </is>
      </c>
      <c r="V17" s="101" t="inlineStr">
        <is>
          <t xml:space="preserve"> </t>
        </is>
      </c>
      <c r="W17" s="102" t="inlineStr">
        <is>
          <t xml:space="preserve"> </t>
        </is>
      </c>
      <c r="X17" t="inlineStr">
        <is>
          <t>No se encontró ejecución en CUIPO</t>
        </is>
      </c>
    </row>
    <row r="18">
      <c r="A18" t="inlineStr">
        <is>
          <t>IP-22</t>
        </is>
      </c>
      <c r="B18" t="inlineStr">
        <is>
          <t>22</t>
        </is>
      </c>
      <c r="C18" t="inlineStr">
        <is>
          <t>Educación</t>
        </is>
      </c>
      <c r="D18" t="inlineStr">
        <is>
          <t>2202</t>
        </is>
      </c>
      <c r="E18" t="inlineStr">
        <is>
          <t>Calidad y fomento de la educación superior</t>
        </is>
      </c>
      <c r="F18" t="inlineStr">
        <is>
          <t>2202064</t>
        </is>
      </c>
      <c r="G18" t="inlineStr">
        <is>
          <t>Servicio de apoyo financiero para la permanencia a la educación superior</t>
        </is>
      </c>
      <c r="H18" t="inlineStr">
        <is>
          <t xml:space="preserve">Incluye créditos - beca y subsidios en todas sus modalidades  para fortalecer las acciones de retención estudiantil en la educación superior </t>
        </is>
      </c>
      <c r="I18" t="inlineStr">
        <is>
          <t>2024252950006</t>
        </is>
      </c>
      <c r="J18" s="99">
        <v>107770309.358</v>
      </c>
      <c r="K18" s="99">
        <v>25416666.6667</v>
      </c>
      <c r="L18" s="99">
        <v>26407916.6667</v>
      </c>
      <c r="M18" s="99">
        <v>27437825.4167</v>
      </c>
      <c r="N18" s="99">
        <v>28507900.6079</v>
      </c>
      <c r="O18" s="99" t="inlineStr">
        <is>
          <t xml:space="preserve"> </t>
        </is>
      </c>
      <c r="P18" s="99" t="inlineStr">
        <is>
          <t xml:space="preserve"> </t>
        </is>
      </c>
      <c r="Q18" s="99" t="inlineStr">
        <is>
          <t xml:space="preserve"> </t>
        </is>
      </c>
      <c r="R18" s="100" t="inlineStr">
        <is>
          <t xml:space="preserve"> </t>
        </is>
      </c>
      <c r="S18" t="inlineStr">
        <is>
          <t>No se encontró ejecución en CUIPO</t>
        </is>
      </c>
      <c r="T18" s="101" t="inlineStr">
        <is>
          <t xml:space="preserve"> </t>
        </is>
      </c>
      <c r="U18" s="101" t="inlineStr">
        <is>
          <t xml:space="preserve"> </t>
        </is>
      </c>
      <c r="V18" s="101" t="inlineStr">
        <is>
          <t xml:space="preserve"> </t>
        </is>
      </c>
      <c r="W18" s="102" t="inlineStr">
        <is>
          <t xml:space="preserve"> </t>
        </is>
      </c>
      <c r="X18" t="inlineStr">
        <is>
          <t>No se encontró ejecución en CUIPO</t>
        </is>
      </c>
    </row>
    <row r="19">
      <c r="A19" t="inlineStr">
        <is>
          <t>IP-23, IP-25, IP-28</t>
        </is>
      </c>
      <c r="B19" t="inlineStr">
        <is>
          <t>22</t>
        </is>
      </c>
      <c r="C19" t="inlineStr">
        <is>
          <t>Educación</t>
        </is>
      </c>
      <c r="D19" t="inlineStr">
        <is>
          <t>2201</t>
        </is>
      </c>
      <c r="E19" t="inlineStr">
        <is>
          <t>Calidad, cobertura y fortalecimiento de la educación inicial, prescolar, básica y media</t>
        </is>
      </c>
      <c r="F19" t="inlineStr">
        <is>
          <t>2201069</t>
        </is>
      </c>
      <c r="G19" t="inlineStr">
        <is>
          <t>Infraestructura educativa dotada</t>
        </is>
      </c>
      <c r="H19" t="inlineStr">
        <is>
          <t>Incluye la i) dotación básica escolar de mobiliario, ii) material didáctico – pedagógico, iii) Implementos básicos para funcionamiento y sus dispositivos electrónicos (se refiere a implementos para el manejo de residuos del establecimiento educativo, menaje y equipos de cocina, enfermería, equipos de manejo de emergencias y equipo básico de mantenimiento) en el marco de los lineamientos establecido por el Ministerio de Educación Nacional.</t>
        </is>
      </c>
      <c r="I19" t="inlineStr">
        <is>
          <t>2024252950006</t>
        </is>
      </c>
      <c r="J19" s="99">
        <v>130857266.4679</v>
      </c>
      <c r="K19" s="99">
        <v>30861519.676</v>
      </c>
      <c r="L19" s="99">
        <v>32065118.9431</v>
      </c>
      <c r="M19" s="99">
        <v>33315658.582</v>
      </c>
      <c r="N19" s="99">
        <v>34614969.2668</v>
      </c>
      <c r="O19" s="99" t="inlineStr">
        <is>
          <t xml:space="preserve"> </t>
        </is>
      </c>
      <c r="P19" s="99" t="inlineStr">
        <is>
          <t xml:space="preserve"> </t>
        </is>
      </c>
      <c r="Q19" s="99" t="inlineStr">
        <is>
          <t xml:space="preserve"> </t>
        </is>
      </c>
      <c r="R19" s="100" t="inlineStr">
        <is>
          <t xml:space="preserve"> </t>
        </is>
      </c>
      <c r="S19" t="inlineStr">
        <is>
          <t>No se encontró ejecución en CUIPO</t>
        </is>
      </c>
      <c r="T19" s="101" t="inlineStr">
        <is>
          <t xml:space="preserve"> </t>
        </is>
      </c>
      <c r="U19" s="101" t="inlineStr">
        <is>
          <t xml:space="preserve"> </t>
        </is>
      </c>
      <c r="V19" s="101" t="inlineStr">
        <is>
          <t xml:space="preserve"> </t>
        </is>
      </c>
      <c r="W19" s="102" t="inlineStr">
        <is>
          <t xml:space="preserve"> </t>
        </is>
      </c>
      <c r="X19" t="inlineStr">
        <is>
          <t>No se encontró ejecución en CUIPO</t>
        </is>
      </c>
    </row>
    <row r="20">
      <c r="A20" t="inlineStr">
        <is>
          <t>IP-24</t>
        </is>
      </c>
      <c r="B20" t="inlineStr">
        <is>
          <t>23</t>
        </is>
      </c>
      <c r="C20" t="inlineStr">
        <is>
          <t>Tecnologías de la información y las comunicaciones</t>
        </is>
      </c>
      <c r="D20" t="inlineStr">
        <is>
          <t>2301</t>
        </is>
      </c>
      <c r="E20" t="inlineStr">
        <is>
          <t>Facilitar el acceso y uso de las Tecnologías de la Información y las Comunicaciones (TIC) en todo el territorio nacional</t>
        </is>
      </c>
      <c r="F20" t="inlineStr">
        <is>
          <t>2301079</t>
        </is>
      </c>
      <c r="G20" t="inlineStr">
        <is>
          <t xml:space="preserve"> Servicio de acceso zonas digitales</t>
        </is>
      </c>
      <c r="H20" t="inlineStr">
        <is>
          <t>Corresponde al montaje y puesta en servicio de la zona digital (wifi), medido a través de la cantidad de usuarios (dispositivos a la zona) y la asistencia personalizada y virtual a los mismos.</t>
        </is>
      </c>
      <c r="I20" t="inlineStr">
        <is>
          <t>2024252950006</t>
        </is>
      </c>
      <c r="J20" s="99">
        <v>43191456.6999</v>
      </c>
      <c r="K20" s="99">
        <v>10186320.0016</v>
      </c>
      <c r="L20" s="99">
        <v>10583586.4817</v>
      </c>
      <c r="M20" s="99">
        <v>10996346.3544</v>
      </c>
      <c r="N20" s="99">
        <v>11425203.8622</v>
      </c>
      <c r="O20" s="99" t="inlineStr">
        <is>
          <t xml:space="preserve"> </t>
        </is>
      </c>
      <c r="P20" s="99" t="inlineStr">
        <is>
          <t xml:space="preserve"> </t>
        </is>
      </c>
      <c r="Q20" s="99" t="inlineStr">
        <is>
          <t xml:space="preserve"> </t>
        </is>
      </c>
      <c r="R20" s="100" t="inlineStr">
        <is>
          <t xml:space="preserve"> </t>
        </is>
      </c>
      <c r="S20" t="inlineStr">
        <is>
          <t>No se encontró ejecución en CUIPO</t>
        </is>
      </c>
      <c r="T20" s="101" t="inlineStr">
        <is>
          <t xml:space="preserve"> </t>
        </is>
      </c>
      <c r="U20" s="101" t="inlineStr">
        <is>
          <t xml:space="preserve"> </t>
        </is>
      </c>
      <c r="V20" s="101" t="inlineStr">
        <is>
          <t xml:space="preserve"> </t>
        </is>
      </c>
      <c r="W20" s="102" t="inlineStr">
        <is>
          <t xml:space="preserve"> </t>
        </is>
      </c>
      <c r="X20" t="inlineStr">
        <is>
          <t>No se encontró ejecución en CUIPO</t>
        </is>
      </c>
    </row>
    <row r="21">
      <c r="A21" t="inlineStr">
        <is>
          <t>IP-26</t>
        </is>
      </c>
      <c r="B21" t="inlineStr">
        <is>
          <t>22</t>
        </is>
      </c>
      <c r="C21" t="inlineStr">
        <is>
          <t>Educación</t>
        </is>
      </c>
      <c r="D21" t="inlineStr">
        <is>
          <t>2201</t>
        </is>
      </c>
      <c r="E21" t="inlineStr">
        <is>
          <t>Calidad, cobertura y fortalecimiento de la educación inicial, prescolar, básica y media</t>
        </is>
      </c>
      <c r="F21" t="inlineStr">
        <is>
          <t>2201089</t>
        </is>
      </c>
      <c r="G21" t="inlineStr">
        <is>
          <t>Servicio de asistencia técnica</t>
        </is>
      </c>
      <c r="H21" t="inlineStr">
        <is>
          <t>Corresponde al acompañamiento, asesoría y seguimiento técnico para la transferencia de herramientas de gestión y conocimiento a entidades nacionales y territoriales, o a grupos de valor, en procedimientos y trámites institucionales de competencia de la entidad.</t>
        </is>
      </c>
      <c r="I21" t="inlineStr">
        <is>
          <t>2024252950006</t>
        </is>
      </c>
      <c r="J21" s="99">
        <v>15912641.942</v>
      </c>
      <c r="K21" s="99">
        <v>3752854.7374</v>
      </c>
      <c r="L21" s="99">
        <v>3899216.0722</v>
      </c>
      <c r="M21" s="99">
        <v>4051285.499</v>
      </c>
      <c r="N21" s="99">
        <v>4209285.6334</v>
      </c>
      <c r="O21" s="99" t="inlineStr">
        <is>
          <t xml:space="preserve"> </t>
        </is>
      </c>
      <c r="P21" s="99" t="inlineStr">
        <is>
          <t xml:space="preserve"> </t>
        </is>
      </c>
      <c r="Q21" s="99" t="inlineStr">
        <is>
          <t xml:space="preserve"> </t>
        </is>
      </c>
      <c r="R21" s="100" t="inlineStr">
        <is>
          <t xml:space="preserve"> </t>
        </is>
      </c>
      <c r="S21" t="inlineStr">
        <is>
          <t>No se encontró ejecución en CUIPO</t>
        </is>
      </c>
      <c r="T21" s="101" t="inlineStr">
        <is>
          <t xml:space="preserve"> </t>
        </is>
      </c>
      <c r="U21" s="101" t="inlineStr">
        <is>
          <t xml:space="preserve"> </t>
        </is>
      </c>
      <c r="V21" s="101" t="inlineStr">
        <is>
          <t xml:space="preserve"> </t>
        </is>
      </c>
      <c r="W21" s="102" t="inlineStr">
        <is>
          <t xml:space="preserve"> </t>
        </is>
      </c>
      <c r="X21" t="inlineStr">
        <is>
          <t>No se encontró ejecución en CUIPO</t>
        </is>
      </c>
    </row>
    <row r="22">
      <c r="A22" t="inlineStr">
        <is>
          <t>IP-27</t>
        </is>
      </c>
      <c r="B22" t="inlineStr">
        <is>
          <t>22</t>
        </is>
      </c>
      <c r="C22" t="inlineStr">
        <is>
          <t>Educación</t>
        </is>
      </c>
      <c r="D22" t="inlineStr">
        <is>
          <t>2201</t>
        </is>
      </c>
      <c r="E22" t="inlineStr">
        <is>
          <t>Calidad, cobertura y fortalecimiento de la educación inicial, prescolar, básica y media</t>
        </is>
      </c>
      <c r="F22" t="inlineStr">
        <is>
          <t>2201039</t>
        </is>
      </c>
      <c r="G22" t="inlineStr">
        <is>
          <t>Estudios y diseños de infraestructura educativa</t>
        </is>
      </c>
      <c r="H22" t="inlineStr">
        <is>
          <t>Corresponde a todos los productos relacionados a la etapa de preinversión en infraestructura, como son estudios de factibilidad, diseños arquitectónicos, planos, estudio de suelos y otros estudios y/o instrumentos similares.</t>
        </is>
      </c>
      <c r="I22" t="inlineStr">
        <is>
          <t>2024252950006</t>
        </is>
      </c>
      <c r="J22" s="99">
        <v>15000000</v>
      </c>
      <c r="K22" s="99">
        <v>0</v>
      </c>
      <c r="L22" s="99">
        <v>0</v>
      </c>
      <c r="M22" s="99">
        <v>15000000</v>
      </c>
      <c r="N22" s="99">
        <v>0</v>
      </c>
      <c r="O22" s="99" t="inlineStr">
        <is>
          <t xml:space="preserve"> </t>
        </is>
      </c>
      <c r="P22" s="99" t="inlineStr">
        <is>
          <t xml:space="preserve"> </t>
        </is>
      </c>
      <c r="Q22" s="99" t="inlineStr">
        <is>
          <t xml:space="preserve"> </t>
        </is>
      </c>
      <c r="R22" s="100" t="inlineStr">
        <is>
          <t xml:space="preserve"> </t>
        </is>
      </c>
      <c r="S22" t="inlineStr">
        <is>
          <t>No se encontró ejecución en CUIPO</t>
        </is>
      </c>
      <c r="T22" s="101" t="inlineStr">
        <is>
          <t xml:space="preserve"> </t>
        </is>
      </c>
      <c r="U22" s="101" t="inlineStr">
        <is>
          <t xml:space="preserve"> </t>
        </is>
      </c>
      <c r="V22" s="101" t="inlineStr">
        <is>
          <t xml:space="preserve"> </t>
        </is>
      </c>
      <c r="W22" s="102" t="inlineStr">
        <is>
          <t xml:space="preserve"> </t>
        </is>
      </c>
      <c r="X22" t="inlineStr">
        <is>
          <t>No se encontró ejecución en CUIPO</t>
        </is>
      </c>
    </row>
    <row r="23">
      <c r="A23" t="inlineStr">
        <is>
          <t>IP-29</t>
        </is>
      </c>
      <c r="B23" t="inlineStr">
        <is>
          <t>22</t>
        </is>
      </c>
      <c r="C23" t="inlineStr">
        <is>
          <t>Educación</t>
        </is>
      </c>
      <c r="D23" t="inlineStr">
        <is>
          <t>2201</t>
        </is>
      </c>
      <c r="E23" t="inlineStr">
        <is>
          <t>Calidad, cobertura y fortalecimiento de la educación inicial, prescolar, básica y media</t>
        </is>
      </c>
      <c r="F23" t="inlineStr">
        <is>
          <t>2201028</t>
        </is>
      </c>
      <c r="G23" t="inlineStr">
        <is>
          <t>Servicio de apoyo a la permanencia con alimentación escolar</t>
        </is>
      </c>
      <c r="H23" t="inlineStr">
        <is>
          <t>Incluye la implementación de estrategias de alimentación escolar para fortalecer las acciones de retención estudiantil.</t>
        </is>
      </c>
      <c r="I23" t="inlineStr">
        <is>
          <t>2024252950006</t>
        </is>
      </c>
      <c r="J23" s="99">
        <v>217413709.1006</v>
      </c>
      <c r="K23" s="99">
        <v>51275085.0016</v>
      </c>
      <c r="L23" s="99">
        <v>53274813.3167</v>
      </c>
      <c r="M23" s="99">
        <v>55352531.036</v>
      </c>
      <c r="N23" s="99">
        <v>57511279.7463</v>
      </c>
      <c r="O23" s="99" t="inlineStr">
        <is>
          <t xml:space="preserve"> </t>
        </is>
      </c>
      <c r="P23" s="99" t="inlineStr">
        <is>
          <t xml:space="preserve"> </t>
        </is>
      </c>
      <c r="Q23" s="99" t="inlineStr">
        <is>
          <t xml:space="preserve"> </t>
        </is>
      </c>
      <c r="R23" s="100" t="inlineStr">
        <is>
          <t xml:space="preserve"> </t>
        </is>
      </c>
      <c r="S23" t="inlineStr">
        <is>
          <t>No se encontró ejecución en CUIPO</t>
        </is>
      </c>
      <c r="T23" s="101" t="inlineStr">
        <is>
          <t xml:space="preserve"> </t>
        </is>
      </c>
      <c r="U23" s="101" t="inlineStr">
        <is>
          <t xml:space="preserve"> </t>
        </is>
      </c>
      <c r="V23" s="101" t="inlineStr">
        <is>
          <t xml:space="preserve"> </t>
        </is>
      </c>
      <c r="W23" s="102" t="inlineStr">
        <is>
          <t xml:space="preserve"> </t>
        </is>
      </c>
      <c r="X23" t="inlineStr">
        <is>
          <t>No se encontró ejecución en CUIPO</t>
        </is>
      </c>
    </row>
    <row r="24">
      <c r="A24" t="inlineStr">
        <is>
          <t>IP-30</t>
        </is>
      </c>
      <c r="B24" t="inlineStr">
        <is>
          <t>22</t>
        </is>
      </c>
      <c r="C24" t="inlineStr">
        <is>
          <t>Educación</t>
        </is>
      </c>
      <c r="D24" t="inlineStr">
        <is>
          <t>2201</t>
        </is>
      </c>
      <c r="E24" t="inlineStr">
        <is>
          <t>Calidad, cobertura y fortalecimiento de la educación inicial, prescolar, básica y media</t>
        </is>
      </c>
      <c r="F24" t="inlineStr">
        <is>
          <t>2201029</t>
        </is>
      </c>
      <c r="G24" t="inlineStr">
        <is>
          <t>Servicio de apoyo a la permanencia con transporte escolar</t>
        </is>
      </c>
      <c r="H24" t="inlineStr">
        <is>
          <t>Incluye la implementación de estrategias de transporte escolar para fortalecer las acciones de retención estudiantil</t>
        </is>
      </c>
      <c r="I24" t="inlineStr">
        <is>
          <t>2024252950006</t>
        </is>
      </c>
      <c r="J24" s="99">
        <v>3214825342.9663</v>
      </c>
      <c r="K24" s="99">
        <v>758187896.2819</v>
      </c>
      <c r="L24" s="99">
        <v>787757224.2369</v>
      </c>
      <c r="M24" s="99">
        <v>818479755.9822</v>
      </c>
      <c r="N24" s="99">
        <v>850400466.4653</v>
      </c>
      <c r="O24" s="99" t="inlineStr">
        <is>
          <t xml:space="preserve"> </t>
        </is>
      </c>
      <c r="P24" s="99" t="inlineStr">
        <is>
          <t xml:space="preserve"> </t>
        </is>
      </c>
      <c r="Q24" s="99" t="inlineStr">
        <is>
          <t xml:space="preserve"> </t>
        </is>
      </c>
      <c r="R24" s="100" t="inlineStr">
        <is>
          <t xml:space="preserve"> </t>
        </is>
      </c>
      <c r="S24" t="inlineStr">
        <is>
          <t>No se encontró ejecución en CUIPO</t>
        </is>
      </c>
      <c r="T24" s="101" t="inlineStr">
        <is>
          <t xml:space="preserve"> </t>
        </is>
      </c>
      <c r="U24" s="101" t="inlineStr">
        <is>
          <t xml:space="preserve"> </t>
        </is>
      </c>
      <c r="V24" s="101" t="inlineStr">
        <is>
          <t xml:space="preserve"> </t>
        </is>
      </c>
      <c r="W24" s="102" t="inlineStr">
        <is>
          <t xml:space="preserve"> </t>
        </is>
      </c>
      <c r="X24" t="inlineStr">
        <is>
          <t>No se encontró ejecución en CUIPO</t>
        </is>
      </c>
    </row>
    <row r="25">
      <c r="A25" t="inlineStr">
        <is>
          <t>IP-31, IP-33</t>
        </is>
      </c>
      <c r="B25" t="inlineStr">
        <is>
          <t>22</t>
        </is>
      </c>
      <c r="C25" t="inlineStr">
        <is>
          <t>Educación</t>
        </is>
      </c>
      <c r="D25" t="inlineStr">
        <is>
          <t>2201</t>
        </is>
      </c>
      <c r="E25" t="inlineStr">
        <is>
          <t>Calidad, cobertura y fortalecimiento de la educación inicial, prescolar, básica y media</t>
        </is>
      </c>
      <c r="F25" t="inlineStr">
        <is>
          <t>2201071</t>
        </is>
      </c>
      <c r="G25" t="inlineStr">
        <is>
          <t>Servicio educativo</t>
        </is>
      </c>
      <c r="H25" t="inlineStr">
        <is>
          <t>Contempla las actividades asociadas al pago de nómina del personal administrativo de los establecimientos educativos, incluidos los gastos inherentes a la nómina como los aportes patronales, parafiscales y pago de  prestaciones sociales del Magisterio (CPSM) conforme a las leyes 43 DE 1975, 91 DE 1989 Y 715 DE 2001. Así mismo, incluye la  prestación del servicio educativo a través de la contratación con privados y los servicios administrativos de apoyo a la prestación del servicio educativo tales como arrendamiento de bienes inmuebles, servicios de aseo y vigilancia, impresiones y publicaciones, primas por seguros para amparar personas y bienes de los establecimientos educativos, el desarrollo de las acciones requeridas para la adecuada disposición de los bienes y la mitigación del deterioro y el pago de servicios públicos domiciliarios y telefonía móvil e internet.</t>
        </is>
      </c>
      <c r="I25" t="inlineStr">
        <is>
          <t>2024252950006</t>
        </is>
      </c>
      <c r="J25" s="99">
        <v>5546469.1262</v>
      </c>
      <c r="K25" s="99">
        <v>1072244.2107</v>
      </c>
      <c r="L25" s="99">
        <v>1114061.7349</v>
      </c>
      <c r="M25" s="99">
        <v>1157510.1425</v>
      </c>
      <c r="N25" s="99">
        <v>2202653.0381</v>
      </c>
      <c r="O25" s="99" t="inlineStr">
        <is>
          <t xml:space="preserve"> </t>
        </is>
      </c>
      <c r="P25" s="99" t="inlineStr">
        <is>
          <t xml:space="preserve"> </t>
        </is>
      </c>
      <c r="Q25" s="99" t="inlineStr">
        <is>
          <t xml:space="preserve"> </t>
        </is>
      </c>
      <c r="R25" s="100" t="inlineStr">
        <is>
          <t xml:space="preserve"> </t>
        </is>
      </c>
      <c r="S25" t="inlineStr">
        <is>
          <t>No se encontró ejecución en CUIPO</t>
        </is>
      </c>
      <c r="T25" s="101" t="inlineStr">
        <is>
          <t xml:space="preserve"> </t>
        </is>
      </c>
      <c r="U25" s="101" t="inlineStr">
        <is>
          <t xml:space="preserve"> </t>
        </is>
      </c>
      <c r="V25" s="101" t="inlineStr">
        <is>
          <t xml:space="preserve"> </t>
        </is>
      </c>
      <c r="W25" s="102" t="inlineStr">
        <is>
          <t xml:space="preserve"> </t>
        </is>
      </c>
      <c r="X25" t="inlineStr">
        <is>
          <t>No se encontró ejecución en CUIPO</t>
        </is>
      </c>
    </row>
    <row r="26">
      <c r="A26" t="inlineStr">
        <is>
          <t>IP-32</t>
        </is>
      </c>
      <c r="B26" t="inlineStr">
        <is>
          <t>22</t>
        </is>
      </c>
      <c r="C26" t="inlineStr">
        <is>
          <t>Educación</t>
        </is>
      </c>
      <c r="D26" t="inlineStr">
        <is>
          <t>2201</t>
        </is>
      </c>
      <c r="E26" t="inlineStr">
        <is>
          <t>Calidad, cobertura y fortalecimiento de la educación inicial, prescolar, básica y media</t>
        </is>
      </c>
      <c r="F26" t="inlineStr">
        <is>
          <t>2201033</t>
        </is>
      </c>
      <c r="G26" t="inlineStr">
        <is>
          <t>Servicio de fomento para la permanencia en programas de educación formal</t>
        </is>
      </c>
      <c r="H26" t="inlineStr">
        <is>
          <t>Incluye la implementación de estrategias para fortalecer las acciones de retención estudiantil de la población vulnerable escolarizada en el sistema educativo</t>
        </is>
      </c>
      <c r="I26" t="inlineStr">
        <is>
          <t>2024252950006</t>
        </is>
      </c>
      <c r="J26" s="99">
        <v>27278814.7578</v>
      </c>
      <c r="K26" s="99">
        <v>6433465.2642</v>
      </c>
      <c r="L26" s="99">
        <v>6684370.4094</v>
      </c>
      <c r="M26" s="99">
        <v>6945060.8554</v>
      </c>
      <c r="N26" s="99">
        <v>7215918.2288</v>
      </c>
      <c r="O26" s="99" t="inlineStr">
        <is>
          <t xml:space="preserve"> </t>
        </is>
      </c>
      <c r="P26" s="99" t="inlineStr">
        <is>
          <t xml:space="preserve"> </t>
        </is>
      </c>
      <c r="Q26" s="99" t="inlineStr">
        <is>
          <t xml:space="preserve"> </t>
        </is>
      </c>
      <c r="R26" s="100" t="inlineStr">
        <is>
          <t xml:space="preserve"> </t>
        </is>
      </c>
      <c r="S26" t="inlineStr">
        <is>
          <t>No se encontró ejecución en CUIPO</t>
        </is>
      </c>
      <c r="T26" s="101" t="inlineStr">
        <is>
          <t xml:space="preserve"> </t>
        </is>
      </c>
      <c r="U26" s="101" t="inlineStr">
        <is>
          <t xml:space="preserve"> </t>
        </is>
      </c>
      <c r="V26" s="101" t="inlineStr">
        <is>
          <t xml:space="preserve"> </t>
        </is>
      </c>
      <c r="W26" s="102" t="inlineStr">
        <is>
          <t xml:space="preserve"> </t>
        </is>
      </c>
      <c r="X26" t="inlineStr">
        <is>
          <t>No se encontró ejecución en CUIPO</t>
        </is>
      </c>
    </row>
    <row r="27">
      <c r="A27" t="inlineStr">
        <is>
          <t>IP-34</t>
        </is>
      </c>
      <c r="B27" t="inlineStr">
        <is>
          <t>22</t>
        </is>
      </c>
      <c r="C27" t="inlineStr">
        <is>
          <t>Educación</t>
        </is>
      </c>
      <c r="D27" t="inlineStr">
        <is>
          <t>2201</t>
        </is>
      </c>
      <c r="E27" t="inlineStr">
        <is>
          <t>Calidad, cobertura y fortalecimiento de la educación inicial, prescolar, básica y media</t>
        </is>
      </c>
      <c r="F27" t="inlineStr">
        <is>
          <t>2201049</t>
        </is>
      </c>
      <c r="G27" t="inlineStr">
        <is>
          <t>Servicio de educación informal</t>
        </is>
      </c>
      <c r="H27" t="inlineStr">
        <is>
          <t>Corresponde a la oferta educativa informal como talleres, foros, capacitaciones presenciales o virtuales dirigida a los miembros de la comunidad educativa que tienen como objetivo brindar oportunidades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27" t="inlineStr">
        <is>
          <t>2024252950006</t>
        </is>
      </c>
      <c r="J27" s="99">
        <v>31825283.8839</v>
      </c>
      <c r="K27" s="99">
        <v>7505709.4748</v>
      </c>
      <c r="L27" s="99">
        <v>7798432.1443</v>
      </c>
      <c r="M27" s="99">
        <v>8102570.9979</v>
      </c>
      <c r="N27" s="99">
        <v>8418571.2669</v>
      </c>
      <c r="O27" s="99" t="inlineStr">
        <is>
          <t xml:space="preserve"> </t>
        </is>
      </c>
      <c r="P27" s="99" t="inlineStr">
        <is>
          <t xml:space="preserve"> </t>
        </is>
      </c>
      <c r="Q27" s="99" t="inlineStr">
        <is>
          <t xml:space="preserve"> </t>
        </is>
      </c>
      <c r="R27" s="100" t="inlineStr">
        <is>
          <t xml:space="preserve"> </t>
        </is>
      </c>
      <c r="S27" t="inlineStr">
        <is>
          <t>No se encontró ejecución en CUIPO</t>
        </is>
      </c>
      <c r="T27" s="101" t="inlineStr">
        <is>
          <t xml:space="preserve"> </t>
        </is>
      </c>
      <c r="U27" s="101" t="inlineStr">
        <is>
          <t xml:space="preserve"> </t>
        </is>
      </c>
      <c r="V27" s="101" t="inlineStr">
        <is>
          <t xml:space="preserve"> </t>
        </is>
      </c>
      <c r="W27" s="102" t="inlineStr">
        <is>
          <t xml:space="preserve"> </t>
        </is>
      </c>
      <c r="X27" t="inlineStr">
        <is>
          <t>No se encontró ejecución en CUIPO</t>
        </is>
      </c>
    </row>
    <row r="28">
      <c r="A28" t="inlineStr">
        <is>
          <t>IP-35</t>
        </is>
      </c>
      <c r="B28" t="inlineStr">
        <is>
          <t>22</t>
        </is>
      </c>
      <c r="C28" t="inlineStr">
        <is>
          <t>Educación</t>
        </is>
      </c>
      <c r="D28" t="inlineStr">
        <is>
          <t>2201</t>
        </is>
      </c>
      <c r="E28" t="inlineStr">
        <is>
          <t>Calidad, cobertura y fortalecimiento de la educación inicial, prescolar, básica y media</t>
        </is>
      </c>
      <c r="F28" t="inlineStr">
        <is>
          <t>2201034</t>
        </is>
      </c>
      <c r="G28" t="inlineStr">
        <is>
          <t>Servicio educativos de promoción del bilingüismo</t>
        </is>
      </c>
      <c r="H28" t="inlineStr">
        <is>
          <t xml:space="preserve">Procesos de formación para el desarrollo de competencias en un segundo idioma </t>
        </is>
      </c>
      <c r="I28" t="inlineStr">
        <is>
          <t>2024252950006</t>
        </is>
      </c>
      <c r="J28" s="99">
        <v>1086606121.1855</v>
      </c>
      <c r="K28" s="99">
        <v>256266366.3552</v>
      </c>
      <c r="L28" s="99">
        <v>266260754.6431</v>
      </c>
      <c r="M28" s="99">
        <v>276644924.0741</v>
      </c>
      <c r="N28" s="99">
        <v>287434076.1131</v>
      </c>
      <c r="O28" s="99" t="inlineStr">
        <is>
          <t xml:space="preserve"> </t>
        </is>
      </c>
      <c r="P28" s="99" t="inlineStr">
        <is>
          <t xml:space="preserve"> </t>
        </is>
      </c>
      <c r="Q28" s="99" t="inlineStr">
        <is>
          <t xml:space="preserve"> </t>
        </is>
      </c>
      <c r="R28" s="100" t="inlineStr">
        <is>
          <t xml:space="preserve"> </t>
        </is>
      </c>
      <c r="S28" t="inlineStr">
        <is>
          <t>No se encontró ejecución en CUIPO</t>
        </is>
      </c>
      <c r="T28" s="101" t="inlineStr">
        <is>
          <t xml:space="preserve"> </t>
        </is>
      </c>
      <c r="U28" s="101" t="inlineStr">
        <is>
          <t xml:space="preserve"> </t>
        </is>
      </c>
      <c r="V28" s="101" t="inlineStr">
        <is>
          <t xml:space="preserve"> </t>
        </is>
      </c>
      <c r="W28" s="102" t="inlineStr">
        <is>
          <t xml:space="preserve"> </t>
        </is>
      </c>
      <c r="X28" t="inlineStr">
        <is>
          <t>No se encontró ejecución en CUIPO</t>
        </is>
      </c>
    </row>
    <row r="29">
      <c r="A29" t="inlineStr">
        <is>
          <t>IP-36</t>
        </is>
      </c>
      <c r="B29" t="inlineStr">
        <is>
          <t>22</t>
        </is>
      </c>
      <c r="C29" t="inlineStr">
        <is>
          <t>Educación</t>
        </is>
      </c>
      <c r="D29" t="inlineStr">
        <is>
          <t>2201</t>
        </is>
      </c>
      <c r="E29" t="inlineStr">
        <is>
          <t>Calidad, cobertura y fortalecimiento de la educación inicial, prescolar, básica y media</t>
        </is>
      </c>
      <c r="F29" t="inlineStr">
        <is>
          <t>2201067</t>
        </is>
      </c>
      <c r="G29" t="inlineStr">
        <is>
          <t>Servicio de apoyo para el fortalecimiento de escuelas de padres</t>
        </is>
      </c>
      <c r="H29" t="inlineStr">
        <is>
          <t>Incluye las diferentes estrategias desarrolladas para fortalecer la conformación y la participación activa de las escuelas de padres.</t>
        </is>
      </c>
      <c r="I29" t="inlineStr">
        <is>
          <t>2024252950006</t>
        </is>
      </c>
      <c r="J29" s="99">
        <v>30000000</v>
      </c>
      <c r="K29" s="99">
        <v>0</v>
      </c>
      <c r="L29" s="99">
        <v>0</v>
      </c>
      <c r="M29" s="99">
        <v>0</v>
      </c>
      <c r="N29" s="99">
        <v>30000000</v>
      </c>
      <c r="O29" s="99" t="inlineStr">
        <is>
          <t xml:space="preserve"> </t>
        </is>
      </c>
      <c r="P29" s="99" t="inlineStr">
        <is>
          <t xml:space="preserve"> </t>
        </is>
      </c>
      <c r="Q29" s="99" t="inlineStr">
        <is>
          <t xml:space="preserve"> </t>
        </is>
      </c>
      <c r="R29" s="100" t="inlineStr">
        <is>
          <t xml:space="preserve"> </t>
        </is>
      </c>
      <c r="S29" t="inlineStr">
        <is>
          <t>No se encontró ejecución en CUIPO</t>
        </is>
      </c>
      <c r="T29" s="101" t="inlineStr">
        <is>
          <t xml:space="preserve"> </t>
        </is>
      </c>
      <c r="U29" s="101" t="inlineStr">
        <is>
          <t xml:space="preserve"> </t>
        </is>
      </c>
      <c r="V29" s="101" t="inlineStr">
        <is>
          <t xml:space="preserve"> </t>
        </is>
      </c>
      <c r="W29" s="102" t="inlineStr">
        <is>
          <t xml:space="preserve"> </t>
        </is>
      </c>
      <c r="X29" t="inlineStr">
        <is>
          <t>No se encontró ejecución en CUIPO</t>
        </is>
      </c>
    </row>
    <row r="30">
      <c r="A30" t="inlineStr">
        <is>
          <t>IP-37</t>
        </is>
      </c>
      <c r="B30" t="inlineStr">
        <is>
          <t>22</t>
        </is>
      </c>
      <c r="C30" t="inlineStr">
        <is>
          <t>Educación</t>
        </is>
      </c>
      <c r="D30" t="inlineStr">
        <is>
          <t>2201</t>
        </is>
      </c>
      <c r="E30" t="inlineStr">
        <is>
          <t>Calidad, cobertura y fortalecimiento de la educación inicial, prescolar, básica y media</t>
        </is>
      </c>
      <c r="F30" t="inlineStr">
        <is>
          <t>2201072</t>
        </is>
      </c>
      <c r="G30" t="inlineStr">
        <is>
          <t>Servicio de evaluación de las estrategias educativas implementadas en la educación inicial, preescolar, básica y media</t>
        </is>
      </c>
      <c r="H30" t="inlineStr">
        <is>
          <t>Incluye el diseño, validación e implementación de mecanismos y demás procesos que permitan evaluar el impacto de la implementación de programas, proyectos y estrategias educativas para la educación inicial, preescolar, básica y media.</t>
        </is>
      </c>
      <c r="I30" t="inlineStr">
        <is>
          <t>2024252950007</t>
        </is>
      </c>
      <c r="J30" s="99">
        <v>2273234.563</v>
      </c>
      <c r="K30" s="99">
        <v>536122.1053</v>
      </c>
      <c r="L30" s="99">
        <v>557030.8674</v>
      </c>
      <c r="M30" s="99">
        <v>578755.0713</v>
      </c>
      <c r="N30" s="99">
        <v>601326.519</v>
      </c>
      <c r="O30" s="99" t="inlineStr">
        <is>
          <t xml:space="preserve"> </t>
        </is>
      </c>
      <c r="P30" s="99" t="inlineStr">
        <is>
          <t xml:space="preserve"> </t>
        </is>
      </c>
      <c r="Q30" s="99" t="inlineStr">
        <is>
          <t xml:space="preserve"> </t>
        </is>
      </c>
      <c r="R30" s="100" t="inlineStr">
        <is>
          <t xml:space="preserve"> </t>
        </is>
      </c>
      <c r="S30" t="inlineStr">
        <is>
          <t>No se encontró ejecución en CUIPO</t>
        </is>
      </c>
      <c r="T30" s="101" t="inlineStr">
        <is>
          <t xml:space="preserve"> </t>
        </is>
      </c>
      <c r="U30" s="101" t="inlineStr">
        <is>
          <t xml:space="preserve"> </t>
        </is>
      </c>
      <c r="V30" s="101" t="inlineStr">
        <is>
          <t xml:space="preserve"> </t>
        </is>
      </c>
      <c r="W30" s="102" t="inlineStr">
        <is>
          <t xml:space="preserve"> </t>
        </is>
      </c>
      <c r="X30" t="inlineStr">
        <is>
          <t>No se encontró ejecución en CUIPO</t>
        </is>
      </c>
    </row>
    <row r="31">
      <c r="A31" t="inlineStr">
        <is>
          <t>IP-38, IP-39, IP-40, IP-42, IP-45, IP-46, IP-47</t>
        </is>
      </c>
      <c r="B31" t="inlineStr">
        <is>
          <t>19</t>
        </is>
      </c>
      <c r="C31" t="inlineStr">
        <is>
          <t>Salud y protección social</t>
        </is>
      </c>
      <c r="D31" t="inlineStr">
        <is>
          <t>1903</t>
        </is>
      </c>
      <c r="E31" t="inlineStr">
        <is>
          <t>Inspección, vigilancia y control</t>
        </is>
      </c>
      <c r="F31" t="inlineStr">
        <is>
          <t>1903001</t>
        </is>
      </c>
      <c r="G31" t="inlineStr">
        <is>
          <t>Documentos de lineamientos técnicos</t>
        </is>
      </c>
      <c r="H31" t="inlineStr">
        <is>
          <t xml:space="preserve">Documentos cuyo objetivo es describir y explicar instrumentos, estándares, requisitos y condiciones necesarias para llevar a cabo un proceso o actividad. </t>
        </is>
      </c>
      <c r="I31" t="inlineStr">
        <is>
          <t>2024252950007</t>
        </is>
      </c>
      <c r="J31" s="99">
        <v>439014857.2085</v>
      </c>
      <c r="K31" s="99">
        <v>101075013.7532</v>
      </c>
      <c r="L31" s="99">
        <v>105016939.2898</v>
      </c>
      <c r="M31" s="99">
        <v>112112599.9224</v>
      </c>
      <c r="N31" s="99">
        <v>120810304.2431</v>
      </c>
      <c r="O31" s="99" t="inlineStr">
        <is>
          <t xml:space="preserve"> </t>
        </is>
      </c>
      <c r="P31" s="99" t="inlineStr">
        <is>
          <t xml:space="preserve"> </t>
        </is>
      </c>
      <c r="Q31" s="99" t="inlineStr">
        <is>
          <t xml:space="preserve"> </t>
        </is>
      </c>
      <c r="R31" s="100" t="inlineStr">
        <is>
          <t xml:space="preserve"> </t>
        </is>
      </c>
      <c r="S31" t="inlineStr">
        <is>
          <t>No se encontró ejecución en CUIPO</t>
        </is>
      </c>
      <c r="T31" s="101" t="inlineStr">
        <is>
          <t xml:space="preserve"> </t>
        </is>
      </c>
      <c r="U31" s="101" t="inlineStr">
        <is>
          <t xml:space="preserve"> </t>
        </is>
      </c>
      <c r="V31" s="101" t="inlineStr">
        <is>
          <t xml:space="preserve"> </t>
        </is>
      </c>
      <c r="W31" s="102" t="inlineStr">
        <is>
          <t xml:space="preserve"> </t>
        </is>
      </c>
      <c r="X31" t="inlineStr">
        <is>
          <t>No se encontró ejecución en CUIPO</t>
        </is>
      </c>
    </row>
    <row r="32">
      <c r="A32" t="inlineStr">
        <is>
          <t>IP-41</t>
        </is>
      </c>
      <c r="B32" t="inlineStr">
        <is>
          <t>19</t>
        </is>
      </c>
      <c r="C32" t="inlineStr">
        <is>
          <t>Salud y protección social</t>
        </is>
      </c>
      <c r="D32" t="inlineStr">
        <is>
          <t>1903</t>
        </is>
      </c>
      <c r="E32" t="inlineStr">
        <is>
          <t>Inspección, vigilancia y control</t>
        </is>
      </c>
      <c r="F32" t="inlineStr">
        <is>
          <t>1903002</t>
        </is>
      </c>
      <c r="G32" t="inlineStr">
        <is>
          <t>Serviciode apoyo financiero para dotar el servicios de salud conforme con estándares de habilitación</t>
        </is>
      </c>
      <c r="H32" t="inlineStr">
        <is>
          <t>incluye Servicios de apoyo financiero para dotación conforme con estándares de habilitación</t>
        </is>
      </c>
      <c r="I32" t="inlineStr">
        <is>
          <t>2024252950007</t>
        </is>
      </c>
      <c r="J32" s="99">
        <v>5000000</v>
      </c>
      <c r="K32" s="99">
        <v>0</v>
      </c>
      <c r="L32" s="99">
        <v>0</v>
      </c>
      <c r="M32" s="99">
        <v>5000000</v>
      </c>
      <c r="N32" s="99">
        <v>0</v>
      </c>
      <c r="O32" s="99" t="inlineStr">
        <is>
          <t xml:space="preserve"> </t>
        </is>
      </c>
      <c r="P32" s="99" t="inlineStr">
        <is>
          <t xml:space="preserve"> </t>
        </is>
      </c>
      <c r="Q32" s="99" t="inlineStr">
        <is>
          <t xml:space="preserve"> </t>
        </is>
      </c>
      <c r="R32" s="100" t="inlineStr">
        <is>
          <t xml:space="preserve"> </t>
        </is>
      </c>
      <c r="S32" t="inlineStr">
        <is>
          <t>No se encontró ejecución en CUIPO</t>
        </is>
      </c>
      <c r="T32" s="101" t="inlineStr">
        <is>
          <t xml:space="preserve"> </t>
        </is>
      </c>
      <c r="U32" s="101" t="inlineStr">
        <is>
          <t xml:space="preserve"> </t>
        </is>
      </c>
      <c r="V32" s="101" t="inlineStr">
        <is>
          <t xml:space="preserve"> </t>
        </is>
      </c>
      <c r="W32" s="102" t="inlineStr">
        <is>
          <t xml:space="preserve"> </t>
        </is>
      </c>
      <c r="X32" t="inlineStr">
        <is>
          <t>No se encontró ejecución en CUIPO</t>
        </is>
      </c>
    </row>
    <row r="33">
      <c r="A33" t="inlineStr">
        <is>
          <t>IP-43</t>
        </is>
      </c>
      <c r="B33" t="inlineStr">
        <is>
          <t>19</t>
        </is>
      </c>
      <c r="C33" t="inlineStr">
        <is>
          <t>Salud y protección social</t>
        </is>
      </c>
      <c r="D33" t="inlineStr">
        <is>
          <t>1903</t>
        </is>
      </c>
      <c r="E33" t="inlineStr">
        <is>
          <t>Inspección, vigilancia y control</t>
        </is>
      </c>
      <c r="F33" t="inlineStr">
        <is>
          <t>1903028</t>
        </is>
      </c>
      <c r="G33" t="inlineStr">
        <is>
          <t>Servicio de gestión de peticiones, quejas, reclamos y denuncias</t>
        </is>
      </c>
      <c r="H33" t="inlineStr">
        <is>
          <t>Este servicio permite gestionar todas las Preguntas Quejas Reclamos y Denuncias Gestionadas</t>
        </is>
      </c>
      <c r="I33" t="inlineStr">
        <is>
          <t>2024252950007</t>
        </is>
      </c>
      <c r="J33" s="99">
        <v>148160879.9501</v>
      </c>
      <c r="K33" s="99">
        <v>34942422.6502</v>
      </c>
      <c r="L33" s="99">
        <v>36305177.1336</v>
      </c>
      <c r="M33" s="99">
        <v>37721079.0419</v>
      </c>
      <c r="N33" s="99">
        <v>39192201.1244</v>
      </c>
      <c r="O33" s="99" t="inlineStr">
        <is>
          <t xml:space="preserve"> </t>
        </is>
      </c>
      <c r="P33" s="99" t="inlineStr">
        <is>
          <t xml:space="preserve"> </t>
        </is>
      </c>
      <c r="Q33" s="99" t="inlineStr">
        <is>
          <t xml:space="preserve"> </t>
        </is>
      </c>
      <c r="R33" s="100" t="inlineStr">
        <is>
          <t xml:space="preserve"> </t>
        </is>
      </c>
      <c r="S33" t="inlineStr">
        <is>
          <t>No se encontró ejecución en CUIPO</t>
        </is>
      </c>
      <c r="T33" s="101" t="inlineStr">
        <is>
          <t xml:space="preserve"> </t>
        </is>
      </c>
      <c r="U33" s="101" t="inlineStr">
        <is>
          <t xml:space="preserve"> </t>
        </is>
      </c>
      <c r="V33" s="101" t="inlineStr">
        <is>
          <t xml:space="preserve"> </t>
        </is>
      </c>
      <c r="W33" s="102" t="inlineStr">
        <is>
          <t xml:space="preserve"> </t>
        </is>
      </c>
      <c r="X33" t="inlineStr">
        <is>
          <t>No se encontró ejecución en CUIPO</t>
        </is>
      </c>
    </row>
    <row r="34">
      <c r="A34" t="inlineStr">
        <is>
          <t>IP-44</t>
        </is>
      </c>
      <c r="B34" t="inlineStr">
        <is>
          <t>19</t>
        </is>
      </c>
      <c r="C34" t="inlineStr">
        <is>
          <t>Salud y protección social</t>
        </is>
      </c>
      <c r="D34" t="inlineStr">
        <is>
          <t>1903</t>
        </is>
      </c>
      <c r="E34" t="inlineStr">
        <is>
          <t>Inspección, vigilancia y control</t>
        </is>
      </c>
      <c r="F34" t="inlineStr">
        <is>
          <t>1903020</t>
        </is>
      </c>
      <c r="G34" t="inlineStr">
        <is>
          <t>Servicio de diseño de metodologías, instrumentos y estrategias de inspección, vigilancia y control</t>
        </is>
      </c>
      <c r="H34" t="inlineStr">
        <is>
          <t xml:space="preserve">este servicio permite definir el diseño de metodologías, instrumentos y estrategias  de Inspección Vigilancia y Control </t>
        </is>
      </c>
      <c r="I34" t="inlineStr">
        <is>
          <t>2024252950007</t>
        </is>
      </c>
      <c r="J34" s="99">
        <v>90838979.7958</v>
      </c>
      <c r="K34" s="99">
        <v>22607336.865</v>
      </c>
      <c r="L34" s="99">
        <v>23489023.0028</v>
      </c>
      <c r="M34" s="99">
        <v>21943413.4027</v>
      </c>
      <c r="N34" s="99">
        <v>22799206.5253</v>
      </c>
      <c r="O34" s="99" t="inlineStr">
        <is>
          <t xml:space="preserve"> </t>
        </is>
      </c>
      <c r="P34" s="99" t="inlineStr">
        <is>
          <t xml:space="preserve"> </t>
        </is>
      </c>
      <c r="Q34" s="99" t="inlineStr">
        <is>
          <t xml:space="preserve"> </t>
        </is>
      </c>
      <c r="R34" s="100" t="inlineStr">
        <is>
          <t xml:space="preserve"> </t>
        </is>
      </c>
      <c r="S34" t="inlineStr">
        <is>
          <t>No se encontró ejecución en CUIPO</t>
        </is>
      </c>
      <c r="T34" s="101" t="inlineStr">
        <is>
          <t xml:space="preserve"> </t>
        </is>
      </c>
      <c r="U34" s="101" t="inlineStr">
        <is>
          <t xml:space="preserve"> </t>
        </is>
      </c>
      <c r="V34" s="101" t="inlineStr">
        <is>
          <t xml:space="preserve"> </t>
        </is>
      </c>
      <c r="W34" s="102" t="inlineStr">
        <is>
          <t xml:space="preserve"> </t>
        </is>
      </c>
      <c r="X34" t="inlineStr">
        <is>
          <t>No se encontró ejecución en CUIPO</t>
        </is>
      </c>
    </row>
    <row r="35">
      <c r="A35" t="inlineStr">
        <is>
          <t>IP-48</t>
        </is>
      </c>
      <c r="B35" t="inlineStr">
        <is>
          <t>19</t>
        </is>
      </c>
      <c r="C35" t="inlineStr">
        <is>
          <t>Salud y protección social</t>
        </is>
      </c>
      <c r="D35" t="inlineStr">
        <is>
          <t>1903</t>
        </is>
      </c>
      <c r="E35" t="inlineStr">
        <is>
          <t>Inspección, vigilancia y control</t>
        </is>
      </c>
      <c r="F35" t="inlineStr">
        <is>
          <t>1903057</t>
        </is>
      </c>
      <c r="G35" t="inlineStr">
        <is>
          <t>Servicio de promoción, prevención, vigilancia y control de vectores y zoonosis</t>
        </is>
      </c>
      <c r="H35" t="inlineStr">
        <is>
          <t>El Servicio de promoción, prevención, vigilancia  y control de vectores y zoonosis  permite a las entidades formular y ejecutar  efectivamente acciones para la atención del tema control de vectores y zoonosis.</t>
        </is>
      </c>
      <c r="I35" t="inlineStr">
        <is>
          <t>2024252950007</t>
        </is>
      </c>
      <c r="J35" s="99">
        <v>0</v>
      </c>
      <c r="K35" s="99">
        <v>0</v>
      </c>
      <c r="L35" s="99">
        <v>0</v>
      </c>
      <c r="M35" s="99">
        <v>0</v>
      </c>
      <c r="N35" s="99">
        <v>0</v>
      </c>
      <c r="O35" s="99" t="inlineStr">
        <is>
          <t xml:space="preserve"> </t>
        </is>
      </c>
      <c r="P35" s="99" t="inlineStr">
        <is>
          <t xml:space="preserve"> </t>
        </is>
      </c>
      <c r="Q35" s="99" t="inlineStr">
        <is>
          <t xml:space="preserve"> </t>
        </is>
      </c>
      <c r="R35" s="100" t="inlineStr">
        <is>
          <t xml:space="preserve"> </t>
        </is>
      </c>
      <c r="S35" t="inlineStr">
        <is>
          <t>No se encontró ejecución en CUIPO</t>
        </is>
      </c>
      <c r="T35" s="101" t="inlineStr">
        <is>
          <t xml:space="preserve"> </t>
        </is>
      </c>
      <c r="U35" s="101" t="inlineStr">
        <is>
          <t xml:space="preserve"> </t>
        </is>
      </c>
      <c r="V35" s="101" t="inlineStr">
        <is>
          <t xml:space="preserve"> </t>
        </is>
      </c>
      <c r="W35" s="102" t="inlineStr">
        <is>
          <t xml:space="preserve"> </t>
        </is>
      </c>
      <c r="X35" t="inlineStr">
        <is>
          <t>No se encontró ejecución en CUIPO</t>
        </is>
      </c>
    </row>
    <row r="36">
      <c r="A36" t="inlineStr">
        <is>
          <t>IP-49</t>
        </is>
      </c>
      <c r="B36" t="inlineStr">
        <is>
          <t>19</t>
        </is>
      </c>
      <c r="C36" t="inlineStr">
        <is>
          <t>Salud y protección social</t>
        </is>
      </c>
      <c r="D36" t="inlineStr">
        <is>
          <t>1903</t>
        </is>
      </c>
      <c r="E36" t="inlineStr">
        <is>
          <t>Inspección, vigilancia y control</t>
        </is>
      </c>
      <c r="F36" t="inlineStr">
        <is>
          <t>1903015</t>
        </is>
      </c>
      <c r="G36" t="inlineStr">
        <is>
          <t>Servicio de adopción y seguimiento de acciones y medidas especiales</t>
        </is>
      </c>
      <c r="H36" t="inlineStr">
        <is>
          <t>Este servicio permite tener la adopción y seguimiento de acciones y medidas especiales por parte de una entidad</t>
        </is>
      </c>
      <c r="I36" t="inlineStr">
        <is>
          <t>2024252950007</t>
        </is>
      </c>
      <c r="J36" s="99">
        <v>9882564393.6187</v>
      </c>
      <c r="K36" s="99">
        <v>2330714707.0561</v>
      </c>
      <c r="L36" s="99">
        <v>2421612580.6311</v>
      </c>
      <c r="M36" s="99">
        <v>2516055471.2759</v>
      </c>
      <c r="N36" s="99">
        <v>2614181634.6556</v>
      </c>
      <c r="O36" s="99" t="inlineStr">
        <is>
          <t xml:space="preserve"> </t>
        </is>
      </c>
      <c r="P36" s="99" t="inlineStr">
        <is>
          <t xml:space="preserve"> </t>
        </is>
      </c>
      <c r="Q36" s="99" t="inlineStr">
        <is>
          <t xml:space="preserve"> </t>
        </is>
      </c>
      <c r="R36" s="100" t="inlineStr">
        <is>
          <t xml:space="preserve"> </t>
        </is>
      </c>
      <c r="S36" t="inlineStr">
        <is>
          <t>No se encontró ejecución en CUIPO</t>
        </is>
      </c>
      <c r="T36" s="101" t="inlineStr">
        <is>
          <t xml:space="preserve"> </t>
        </is>
      </c>
      <c r="U36" s="101" t="inlineStr">
        <is>
          <t xml:space="preserve"> </t>
        </is>
      </c>
      <c r="V36" s="101" t="inlineStr">
        <is>
          <t xml:space="preserve"> </t>
        </is>
      </c>
      <c r="W36" s="102" t="inlineStr">
        <is>
          <t xml:space="preserve"> </t>
        </is>
      </c>
      <c r="X36" t="inlineStr">
        <is>
          <t>No se encontró ejecución en CUIPO</t>
        </is>
      </c>
    </row>
    <row r="37">
      <c r="A37" t="inlineStr">
        <is>
          <t>IP-50</t>
        </is>
      </c>
      <c r="B37" t="inlineStr">
        <is>
          <t>19</t>
        </is>
      </c>
      <c r="C37" t="inlineStr">
        <is>
          <t>Salud y protección social</t>
        </is>
      </c>
      <c r="D37" t="inlineStr">
        <is>
          <t>1903</t>
        </is>
      </c>
      <c r="E37" t="inlineStr">
        <is>
          <t>Inspección, vigilancia y control</t>
        </is>
      </c>
      <c r="F37" t="inlineStr">
        <is>
          <t>1903034</t>
        </is>
      </c>
      <c r="G37" t="inlineStr">
        <is>
          <t>Servicio deasistencia técnica</t>
        </is>
      </c>
      <c r="H37" t="inlineStr">
        <is>
          <t xml:space="preserve"> Este servicio Asistencias técnicas en técnicas de análisis </t>
        </is>
      </c>
      <c r="I37" t="inlineStr">
        <is>
          <t>2024252950007</t>
        </is>
      </c>
      <c r="J37" s="99">
        <v>20000000</v>
      </c>
      <c r="K37" s="99">
        <v>0</v>
      </c>
      <c r="L37" s="99">
        <v>0</v>
      </c>
      <c r="M37" s="99">
        <v>20000000</v>
      </c>
      <c r="N37" s="99">
        <v>0</v>
      </c>
      <c r="O37" s="99" t="inlineStr">
        <is>
          <t xml:space="preserve"> </t>
        </is>
      </c>
      <c r="P37" s="99" t="inlineStr">
        <is>
          <t xml:space="preserve"> </t>
        </is>
      </c>
      <c r="Q37" s="99" t="inlineStr">
        <is>
          <t xml:space="preserve"> </t>
        </is>
      </c>
      <c r="R37" s="100" t="inlineStr">
        <is>
          <t xml:space="preserve"> </t>
        </is>
      </c>
      <c r="S37" t="inlineStr">
        <is>
          <t>No se encontró ejecución en CUIPO</t>
        </is>
      </c>
      <c r="T37" s="101" t="inlineStr">
        <is>
          <t xml:space="preserve"> </t>
        </is>
      </c>
      <c r="U37" s="101" t="inlineStr">
        <is>
          <t xml:space="preserve"> </t>
        </is>
      </c>
      <c r="V37" s="101" t="inlineStr">
        <is>
          <t xml:space="preserve"> </t>
        </is>
      </c>
      <c r="W37" s="102" t="inlineStr">
        <is>
          <t xml:space="preserve"> </t>
        </is>
      </c>
      <c r="X37" t="inlineStr">
        <is>
          <t>No se encontró ejecución en CUIPO</t>
        </is>
      </c>
    </row>
    <row r="38">
      <c r="A38" t="inlineStr">
        <is>
          <t>IP-51</t>
        </is>
      </c>
      <c r="B38" t="inlineStr">
        <is>
          <t>19</t>
        </is>
      </c>
      <c r="C38" t="inlineStr">
        <is>
          <t>Salud y protección social</t>
        </is>
      </c>
      <c r="D38" t="inlineStr">
        <is>
          <t>1903</t>
        </is>
      </c>
      <c r="E38" t="inlineStr">
        <is>
          <t>Inspección, vigilancia y control</t>
        </is>
      </c>
      <c r="F38" t="inlineStr">
        <is>
          <t>1903003</t>
        </is>
      </c>
      <c r="G38" t="inlineStr">
        <is>
          <t>Servicio de apoyo financiero para dotar con bienes y Servicio de interés para la salud pública</t>
        </is>
      </c>
      <c r="H38" t="inlineStr">
        <is>
          <t>incluye Servicio de apoyo financiero para dotación de bienes y Servicio de interés en salud pública</t>
        </is>
      </c>
      <c r="I38" t="inlineStr">
        <is>
          <t>2024252950007</t>
        </is>
      </c>
      <c r="J38" s="99">
        <v>0</v>
      </c>
      <c r="K38" s="99">
        <v>0</v>
      </c>
      <c r="L38" s="99">
        <v>0</v>
      </c>
      <c r="M38" s="99">
        <v>0</v>
      </c>
      <c r="N38" s="99">
        <v>0</v>
      </c>
      <c r="O38" s="99" t="inlineStr">
        <is>
          <t xml:space="preserve"> </t>
        </is>
      </c>
      <c r="P38" s="99" t="inlineStr">
        <is>
          <t xml:space="preserve"> </t>
        </is>
      </c>
      <c r="Q38" s="99" t="inlineStr">
        <is>
          <t xml:space="preserve"> </t>
        </is>
      </c>
      <c r="R38" s="100" t="inlineStr">
        <is>
          <t xml:space="preserve"> </t>
        </is>
      </c>
      <c r="S38" t="inlineStr">
        <is>
          <t>No se encontró ejecución en CUIPO</t>
        </is>
      </c>
      <c r="T38" s="101" t="inlineStr">
        <is>
          <t xml:space="preserve"> </t>
        </is>
      </c>
      <c r="U38" s="101" t="inlineStr">
        <is>
          <t xml:space="preserve"> </t>
        </is>
      </c>
      <c r="V38" s="101" t="inlineStr">
        <is>
          <t xml:space="preserve"> </t>
        </is>
      </c>
      <c r="W38" s="102" t="inlineStr">
        <is>
          <t xml:space="preserve"> </t>
        </is>
      </c>
      <c r="X38" t="inlineStr">
        <is>
          <t>No se encontró ejecución en CUIPO</t>
        </is>
      </c>
    </row>
    <row r="39">
      <c r="A39" t="inlineStr">
        <is>
          <t>IP-52</t>
        </is>
      </c>
      <c r="B39" t="inlineStr">
        <is>
          <t>19</t>
        </is>
      </c>
      <c r="C39" t="inlineStr">
        <is>
          <t>Salud y protección social</t>
        </is>
      </c>
      <c r="D39" t="inlineStr">
        <is>
          <t>1903</t>
        </is>
      </c>
      <c r="E39" t="inlineStr">
        <is>
          <t>Inspección, vigilancia y control</t>
        </is>
      </c>
      <c r="F39" t="inlineStr">
        <is>
          <t>1903028</t>
        </is>
      </c>
      <c r="G39" t="inlineStr">
        <is>
          <t>Servicio de gestión de peticiones, quejas, reclamos y denuncias</t>
        </is>
      </c>
      <c r="H39" t="inlineStr">
        <is>
          <t>Este servicio permite gestionar todas las Preguntas Quejas Reclamos y Denuncias Gestionadas</t>
        </is>
      </c>
      <c r="I39" t="inlineStr">
        <is>
          <t>2024252950008</t>
        </is>
      </c>
      <c r="J39" s="99">
        <v>13343144.2536</v>
      </c>
      <c r="K39" s="99">
        <v>3146861.6152</v>
      </c>
      <c r="L39" s="99">
        <v>3269589.2182</v>
      </c>
      <c r="M39" s="99">
        <v>3397103.1978</v>
      </c>
      <c r="N39" s="99">
        <v>3529590.2224</v>
      </c>
      <c r="O39" s="99" t="inlineStr">
        <is>
          <t xml:space="preserve"> </t>
        </is>
      </c>
      <c r="P39" s="99" t="inlineStr">
        <is>
          <t xml:space="preserve"> </t>
        </is>
      </c>
      <c r="Q39" s="99" t="inlineStr">
        <is>
          <t xml:space="preserve"> </t>
        </is>
      </c>
      <c r="R39" s="100" t="inlineStr">
        <is>
          <t xml:space="preserve"> </t>
        </is>
      </c>
      <c r="S39" t="inlineStr">
        <is>
          <t>No se encontró ejecución en CUIPO</t>
        </is>
      </c>
      <c r="T39" s="101" t="inlineStr">
        <is>
          <t xml:space="preserve"> </t>
        </is>
      </c>
      <c r="U39" s="101" t="inlineStr">
        <is>
          <t xml:space="preserve"> </t>
        </is>
      </c>
      <c r="V39" s="101" t="inlineStr">
        <is>
          <t xml:space="preserve"> </t>
        </is>
      </c>
      <c r="W39" s="102" t="inlineStr">
        <is>
          <t xml:space="preserve"> </t>
        </is>
      </c>
      <c r="X39" t="inlineStr">
        <is>
          <t>No se encontró ejecución en CUIPO</t>
        </is>
      </c>
    </row>
    <row r="40">
      <c r="A40" t="inlineStr">
        <is>
          <t>IP-53, IP-54, IP-55, IP-56, IP-57, IP-58, IP-59</t>
        </is>
      </c>
      <c r="B40" t="inlineStr">
        <is>
          <t>41</t>
        </is>
      </c>
      <c r="C40" t="inlineStr">
        <is>
          <t xml:space="preserve">Inclusión social y reconciliación </t>
        </is>
      </c>
      <c r="D40" t="inlineStr">
        <is>
          <t>4104</t>
        </is>
      </c>
      <c r="E40" t="inlineStr">
        <is>
          <t>Atención integral de población en situación permanente de desprotección social y/o familiar</t>
        </is>
      </c>
      <c r="F40" t="inlineStr">
        <is>
          <t>4104008</t>
        </is>
      </c>
      <c r="G40" t="inlineStr">
        <is>
          <t>Servicio de atención y protección integral al adulto mayor</t>
        </is>
      </c>
      <c r="H40" t="inlineStr">
        <is>
          <t>Servicios integrales que incluyen aspectos relacionados con protección a la salud y bienestar social, educación, cultura, recreación, entorno físico y social favorable, productividad para los adultos mayores.</t>
        </is>
      </c>
      <c r="I40" t="inlineStr">
        <is>
          <t>2024252950008</t>
        </is>
      </c>
      <c r="J40" s="99">
        <v>5862840267.7378</v>
      </c>
      <c r="K40" s="99">
        <v>1434529982.82</v>
      </c>
      <c r="L40" s="99">
        <v>1423941321.4034</v>
      </c>
      <c r="M40" s="99">
        <v>1488784824.2919</v>
      </c>
      <c r="N40" s="99">
        <v>1515584139.2225</v>
      </c>
      <c r="O40" s="99" t="inlineStr">
        <is>
          <t xml:space="preserve"> </t>
        </is>
      </c>
      <c r="P40" s="99" t="inlineStr">
        <is>
          <t xml:space="preserve"> </t>
        </is>
      </c>
      <c r="Q40" s="99" t="inlineStr">
        <is>
          <t xml:space="preserve"> </t>
        </is>
      </c>
      <c r="R40" s="100" t="inlineStr">
        <is>
          <t xml:space="preserve"> </t>
        </is>
      </c>
      <c r="S40" t="inlineStr">
        <is>
          <t>No se encontró ejecución en CUIPO</t>
        </is>
      </c>
      <c r="T40" s="101" t="inlineStr">
        <is>
          <t xml:space="preserve"> </t>
        </is>
      </c>
      <c r="U40" s="101" t="inlineStr">
        <is>
          <t xml:space="preserve"> </t>
        </is>
      </c>
      <c r="V40" s="101" t="inlineStr">
        <is>
          <t xml:space="preserve"> </t>
        </is>
      </c>
      <c r="W40" s="102" t="inlineStr">
        <is>
          <t xml:space="preserve"> </t>
        </is>
      </c>
      <c r="X40" t="inlineStr">
        <is>
          <t>No se encontró ejecución en CUIPO</t>
        </is>
      </c>
    </row>
    <row r="41">
      <c r="A41" t="inlineStr">
        <is>
          <t>IP-60</t>
        </is>
      </c>
      <c r="B41" t="inlineStr">
        <is>
          <t>41</t>
        </is>
      </c>
      <c r="C41" t="inlineStr">
        <is>
          <t xml:space="preserve">Inclusión social y reconciliación </t>
        </is>
      </c>
      <c r="D41" t="inlineStr">
        <is>
          <t>4104</t>
        </is>
      </c>
      <c r="E41" t="inlineStr">
        <is>
          <t>Atención integral de población en situación permanente de desprotección social y/o familiar</t>
        </is>
      </c>
      <c r="F41" t="inlineStr">
        <is>
          <t>4104008</t>
        </is>
      </c>
      <c r="G41" t="inlineStr">
        <is>
          <t>Servicio de atención y protección integral al adulto mayor</t>
        </is>
      </c>
      <c r="H41" t="inlineStr">
        <is>
          <t>Servicios integrales que incluyen aspectos relacionados con protección a la salud y bienestar social, educación, cultura, recreación, entorno físico y social favorable, productividad para los adultos mayores.</t>
        </is>
      </c>
      <c r="I41" t="inlineStr">
        <is>
          <t>2024252950009</t>
        </is>
      </c>
      <c r="J41" s="99">
        <v>75000000</v>
      </c>
      <c r="K41" s="99">
        <v>0</v>
      </c>
      <c r="L41" s="99">
        <v>50000000</v>
      </c>
      <c r="M41" s="99">
        <v>5000000</v>
      </c>
      <c r="N41" s="99">
        <v>20000000</v>
      </c>
      <c r="O41" s="99" t="inlineStr">
        <is>
          <t xml:space="preserve"> </t>
        </is>
      </c>
      <c r="P41" s="99" t="inlineStr">
        <is>
          <t xml:space="preserve"> </t>
        </is>
      </c>
      <c r="Q41" s="99" t="inlineStr">
        <is>
          <t xml:space="preserve"> </t>
        </is>
      </c>
      <c r="R41" s="100" t="inlineStr">
        <is>
          <t xml:space="preserve"> </t>
        </is>
      </c>
      <c r="S41" t="inlineStr">
        <is>
          <t>No se encontró ejecución en CUIPO</t>
        </is>
      </c>
      <c r="T41" s="101" t="inlineStr">
        <is>
          <t xml:space="preserve"> </t>
        </is>
      </c>
      <c r="U41" s="101" t="inlineStr">
        <is>
          <t xml:space="preserve"> </t>
        </is>
      </c>
      <c r="V41" s="101" t="inlineStr">
        <is>
          <t xml:space="preserve"> </t>
        </is>
      </c>
      <c r="W41" s="102" t="inlineStr">
        <is>
          <t xml:space="preserve"> </t>
        </is>
      </c>
      <c r="X41" t="inlineStr">
        <is>
          <t>No se encontró ejecución en CUIPO</t>
        </is>
      </c>
    </row>
    <row r="42">
      <c r="A42" t="inlineStr">
        <is>
          <t>IP-61, IP-62, IP-63, IP-64, IP-65, IP-66</t>
        </is>
      </c>
      <c r="B42" t="inlineStr">
        <is>
          <t>45</t>
        </is>
      </c>
      <c r="C42" t="inlineStr">
        <is>
          <t>Gobierno Territorial</t>
        </is>
      </c>
      <c r="D42" t="inlineStr">
        <is>
          <t>4502</t>
        </is>
      </c>
      <c r="E42" t="inlineStr">
        <is>
          <t>Fortalecimiento del buen gobierno para el respeto y garantía de los derechos humanos.</t>
        </is>
      </c>
      <c r="F42" t="inlineStr">
        <is>
          <t>4502038</t>
        </is>
      </c>
      <c r="G42" t="inlineStr">
        <is>
          <t>Servicio de promoción de la garantía de derechos</t>
        </is>
      </c>
      <c r="H42" t="inlineStr">
        <is>
          <t>Incluye el desarrollo de acciones orientadas a divulgar y promover los mecanismos de atención, protección y ejercicio de los derechos de las mujeres, población LGTBI y personas y comunidades en riesgo así como la prevención de su vulneración.</t>
        </is>
      </c>
      <c r="I42" t="inlineStr">
        <is>
          <t>2024252950009</t>
        </is>
      </c>
      <c r="J42" s="99">
        <v>101728170.8627</v>
      </c>
      <c r="K42" s="99">
        <v>23520000</v>
      </c>
      <c r="L42" s="99">
        <v>24437280</v>
      </c>
      <c r="M42" s="99">
        <v>26390333.92</v>
      </c>
      <c r="N42" s="99">
        <v>27380556.9427</v>
      </c>
      <c r="O42" s="99" t="inlineStr">
        <is>
          <t xml:space="preserve"> </t>
        </is>
      </c>
      <c r="P42" s="99" t="inlineStr">
        <is>
          <t xml:space="preserve"> </t>
        </is>
      </c>
      <c r="Q42" s="99" t="inlineStr">
        <is>
          <t xml:space="preserve"> </t>
        </is>
      </c>
      <c r="R42" s="100" t="inlineStr">
        <is>
          <t xml:space="preserve"> </t>
        </is>
      </c>
      <c r="S42" t="inlineStr">
        <is>
          <t>No se encontró ejecución en CUIPO</t>
        </is>
      </c>
      <c r="T42" s="101" t="inlineStr">
        <is>
          <t xml:space="preserve"> </t>
        </is>
      </c>
      <c r="U42" s="101" t="inlineStr">
        <is>
          <t xml:space="preserve"> </t>
        </is>
      </c>
      <c r="V42" s="101" t="inlineStr">
        <is>
          <t xml:space="preserve"> </t>
        </is>
      </c>
      <c r="W42" s="102" t="inlineStr">
        <is>
          <t xml:space="preserve"> </t>
        </is>
      </c>
      <c r="X42" t="inlineStr">
        <is>
          <t>No se encontró ejecución en CUIPO</t>
        </is>
      </c>
    </row>
    <row r="43">
      <c r="A43" t="inlineStr">
        <is>
          <t>IP-67</t>
        </is>
      </c>
      <c r="B43" t="inlineStr">
        <is>
          <t>45</t>
        </is>
      </c>
      <c r="C43" t="inlineStr">
        <is>
          <t>Gobierno Territorial</t>
        </is>
      </c>
      <c r="D43" t="inlineStr">
        <is>
          <t>4502</t>
        </is>
      </c>
      <c r="E43" t="inlineStr">
        <is>
          <t>Fortalecimiento del buen gobierno para el respeto y garantía de los derechos humanos.</t>
        </is>
      </c>
      <c r="F43" t="inlineStr">
        <is>
          <t>4502038</t>
        </is>
      </c>
      <c r="G43" t="inlineStr">
        <is>
          <t>Servicio de promoción de la garantía de derechos</t>
        </is>
      </c>
      <c r="H43" t="inlineStr">
        <is>
          <t>Incluye el desarrollo de acciones orientadas a divulgar y promover los mecanismos de atención, protección y ejercicio de los derechos de las mujeres, población LGTBI y personas y comunidades en riesgo así como la prevención de su vulneración.</t>
        </is>
      </c>
      <c r="I43" t="inlineStr">
        <is>
          <t>2024252950010</t>
        </is>
      </c>
      <c r="J43" s="99">
        <v>7123440.7759</v>
      </c>
      <c r="K43" s="99">
        <v>1680000</v>
      </c>
      <c r="L43" s="99">
        <v>1745520</v>
      </c>
      <c r="M43" s="99">
        <v>1813595.28</v>
      </c>
      <c r="N43" s="99">
        <v>1884325.4959</v>
      </c>
      <c r="O43" s="99" t="inlineStr">
        <is>
          <t xml:space="preserve"> </t>
        </is>
      </c>
      <c r="P43" s="99" t="inlineStr">
        <is>
          <t xml:space="preserve"> </t>
        </is>
      </c>
      <c r="Q43" s="99" t="inlineStr">
        <is>
          <t xml:space="preserve"> </t>
        </is>
      </c>
      <c r="R43" s="100" t="inlineStr">
        <is>
          <t xml:space="preserve"> </t>
        </is>
      </c>
      <c r="S43" t="inlineStr">
        <is>
          <t>No se encontró ejecución en CUIPO</t>
        </is>
      </c>
      <c r="T43" s="101" t="inlineStr">
        <is>
          <t xml:space="preserve"> </t>
        </is>
      </c>
      <c r="U43" s="101" t="inlineStr">
        <is>
          <t xml:space="preserve"> </t>
        </is>
      </c>
      <c r="V43" s="101" t="inlineStr">
        <is>
          <t xml:space="preserve"> </t>
        </is>
      </c>
      <c r="W43" s="102" t="inlineStr">
        <is>
          <t xml:space="preserve"> </t>
        </is>
      </c>
      <c r="X43" t="inlineStr">
        <is>
          <t>No se encontró ejecución en CUIPO</t>
        </is>
      </c>
    </row>
    <row r="44">
      <c r="A44" t="inlineStr">
        <is>
          <t>IP-68, IP-69, IP-70, IP-71, IP-72, IP-73</t>
        </is>
      </c>
      <c r="B44" t="inlineStr">
        <is>
          <t>41</t>
        </is>
      </c>
      <c r="C44" t="inlineStr">
        <is>
          <t xml:space="preserve">Inclusión social y reconciliación </t>
        </is>
      </c>
      <c r="D44" t="inlineStr">
        <is>
          <t>4102</t>
        </is>
      </c>
      <c r="E44" t="inlineStr">
        <is>
          <t>Desarrollo integral de la primera infancia a la juventud, y fortalecimiento de las capacidades de las familias de niñas, niños y adolescentes</t>
        </is>
      </c>
      <c r="F44" t="inlineStr">
        <is>
          <t>4102038</t>
        </is>
      </c>
      <c r="G44" t="inlineStr">
        <is>
          <t>Servicio dirigidos a la atención de niños, niñas, adolescentes y jóvenes, con enfoque pedagógico y restaurativo encaminados a la inclusión social</t>
        </is>
      </c>
      <c r="H44" t="inlineStr">
        <is>
          <t>Servicio dirigidos a la atención de niños, niñas, adolescentes y jóvenes, con enfoque pedagógico y restaurativo encaminados a la inclusión social.</t>
        </is>
      </c>
      <c r="I44" t="inlineStr">
        <is>
          <t>2024252950010</t>
        </is>
      </c>
      <c r="J44" s="99">
        <v>980892290.9136</v>
      </c>
      <c r="K44" s="99">
        <v>224259469.4035</v>
      </c>
      <c r="L44" s="99">
        <v>248005588.7102</v>
      </c>
      <c r="M44" s="99">
        <v>245092806.6698</v>
      </c>
      <c r="N44" s="99">
        <v>263534426.1301</v>
      </c>
      <c r="O44" s="99" t="inlineStr">
        <is>
          <t xml:space="preserve"> </t>
        </is>
      </c>
      <c r="P44" s="99" t="inlineStr">
        <is>
          <t xml:space="preserve"> </t>
        </is>
      </c>
      <c r="Q44" s="99" t="inlineStr">
        <is>
          <t xml:space="preserve"> </t>
        </is>
      </c>
      <c r="R44" s="100" t="inlineStr">
        <is>
          <t xml:space="preserve"> </t>
        </is>
      </c>
      <c r="S44" t="inlineStr">
        <is>
          <t>No se encontró ejecución en CUIPO</t>
        </is>
      </c>
      <c r="T44" s="101" t="inlineStr">
        <is>
          <t xml:space="preserve"> </t>
        </is>
      </c>
      <c r="U44" s="101" t="inlineStr">
        <is>
          <t xml:space="preserve"> </t>
        </is>
      </c>
      <c r="V44" s="101" t="inlineStr">
        <is>
          <t xml:space="preserve"> </t>
        </is>
      </c>
      <c r="W44" s="102" t="inlineStr">
        <is>
          <t xml:space="preserve"> </t>
        </is>
      </c>
      <c r="X44" t="inlineStr">
        <is>
          <t>No se encontró ejecución en CUIPO</t>
        </is>
      </c>
    </row>
    <row r="45">
      <c r="A45" t="inlineStr">
        <is>
          <t>IP-74</t>
        </is>
      </c>
      <c r="B45" t="inlineStr">
        <is>
          <t>41</t>
        </is>
      </c>
      <c r="C45" t="inlineStr">
        <is>
          <t xml:space="preserve">Inclusión social y reconciliación </t>
        </is>
      </c>
      <c r="D45" t="inlineStr">
        <is>
          <t>4102</t>
        </is>
      </c>
      <c r="E45" t="inlineStr">
        <is>
          <t>Desarrollo integral de la primera infancia a la juventud, y fortalecimiento de las capacidades de las familias de niñas, niños y adolescentes</t>
        </is>
      </c>
      <c r="F45" t="inlineStr">
        <is>
          <t>4102038</t>
        </is>
      </c>
      <c r="G45" t="inlineStr">
        <is>
          <t>Servicio dirigidos a la atención de niños, niñas, adolescentes y jóvenes, con enfoque pedagógico y restaurativo encaminados a la inclusión social</t>
        </is>
      </c>
      <c r="H45" t="inlineStr">
        <is>
          <t>Servicio dirigidos a la atención de niños, niñas, adolescentes y jóvenes, con enfoque pedagógico y restaurativo encaminados a la inclusión social.</t>
        </is>
      </c>
      <c r="I45" t="inlineStr">
        <is>
          <t>2024252950011</t>
        </is>
      </c>
      <c r="J45" s="99">
        <v>737768965.6178</v>
      </c>
      <c r="K45" s="99">
        <v>175175438.5965</v>
      </c>
      <c r="L45" s="99">
        <v>177007280.7017</v>
      </c>
      <c r="M45" s="99">
        <v>189105564.6491</v>
      </c>
      <c r="N45" s="99">
        <v>196480681.6705</v>
      </c>
      <c r="O45" s="99" t="inlineStr">
        <is>
          <t xml:space="preserve"> </t>
        </is>
      </c>
      <c r="P45" s="99" t="inlineStr">
        <is>
          <t xml:space="preserve"> </t>
        </is>
      </c>
      <c r="Q45" s="99" t="inlineStr">
        <is>
          <t xml:space="preserve"> </t>
        </is>
      </c>
      <c r="R45" s="100" t="inlineStr">
        <is>
          <t xml:space="preserve"> </t>
        </is>
      </c>
      <c r="S45" t="inlineStr">
        <is>
          <t>No se encontró ejecución en CUIPO</t>
        </is>
      </c>
      <c r="T45" s="101" t="inlineStr">
        <is>
          <t xml:space="preserve"> </t>
        </is>
      </c>
      <c r="U45" s="101" t="inlineStr">
        <is>
          <t xml:space="preserve"> </t>
        </is>
      </c>
      <c r="V45" s="101" t="inlineStr">
        <is>
          <t xml:space="preserve"> </t>
        </is>
      </c>
      <c r="W45" s="102" t="inlineStr">
        <is>
          <t xml:space="preserve"> </t>
        </is>
      </c>
      <c r="X45" t="inlineStr">
        <is>
          <t>No se encontró ejecución en CUIPO</t>
        </is>
      </c>
    </row>
    <row r="46">
      <c r="A46" t="inlineStr">
        <is>
          <t>IP-75, IP-76, IP-77, IP-78</t>
        </is>
      </c>
      <c r="B46" t="inlineStr">
        <is>
          <t>41</t>
        </is>
      </c>
      <c r="C46" t="inlineStr">
        <is>
          <t xml:space="preserve">Inclusión social y reconciliación </t>
        </is>
      </c>
      <c r="D46" t="inlineStr">
        <is>
          <t>4104</t>
        </is>
      </c>
      <c r="E46" t="inlineStr">
        <is>
          <t>Atención integral de población en situación permanente de desprotección social y/o familiar</t>
        </is>
      </c>
      <c r="F46" t="inlineStr">
        <is>
          <t>4104020</t>
        </is>
      </c>
      <c r="G46" t="inlineStr">
        <is>
          <t>Servicio de atención integral a población en condición de discapacidad</t>
        </is>
      </c>
      <c r="H46" t="inlineStr">
        <is>
          <t>Servicios integrales que incluyen aspectos relacionados con atención en salud, cuidado, alimentación, hospedaje, formación para el trabajo, inclusión productiva, recreación, entre otros, para población en condición de discapacidad.</t>
        </is>
      </c>
      <c r="I46" t="inlineStr">
        <is>
          <t>2024252950011</t>
        </is>
      </c>
      <c r="J46" s="99">
        <v>734198647.2848</v>
      </c>
      <c r="K46" s="99">
        <v>171975000</v>
      </c>
      <c r="L46" s="99">
        <v>178682025</v>
      </c>
      <c r="M46" s="99">
        <v>188650623.975</v>
      </c>
      <c r="N46" s="99">
        <v>194890998.3098</v>
      </c>
      <c r="O46" s="99" t="inlineStr">
        <is>
          <t xml:space="preserve"> </t>
        </is>
      </c>
      <c r="P46" s="99" t="inlineStr">
        <is>
          <t xml:space="preserve"> </t>
        </is>
      </c>
      <c r="Q46" s="99" t="inlineStr">
        <is>
          <t xml:space="preserve"> </t>
        </is>
      </c>
      <c r="R46" s="100" t="inlineStr">
        <is>
          <t xml:space="preserve"> </t>
        </is>
      </c>
      <c r="S46" t="inlineStr">
        <is>
          <t>No se encontró ejecución en CUIPO</t>
        </is>
      </c>
      <c r="T46" s="101" t="inlineStr">
        <is>
          <t xml:space="preserve"> </t>
        </is>
      </c>
      <c r="U46" s="101" t="inlineStr">
        <is>
          <t xml:space="preserve"> </t>
        </is>
      </c>
      <c r="V46" s="101" t="inlineStr">
        <is>
          <t xml:space="preserve"> </t>
        </is>
      </c>
      <c r="W46" s="102" t="inlineStr">
        <is>
          <t xml:space="preserve"> </t>
        </is>
      </c>
      <c r="X46" t="inlineStr">
        <is>
          <t>No se encontró ejecución en CUIPO</t>
        </is>
      </c>
    </row>
    <row r="47">
      <c r="A47" t="inlineStr">
        <is>
          <t>IP-79</t>
        </is>
      </c>
      <c r="B47" t="inlineStr">
        <is>
          <t>41</t>
        </is>
      </c>
      <c r="C47" t="inlineStr">
        <is>
          <t xml:space="preserve">Inclusión social y reconciliación </t>
        </is>
      </c>
      <c r="D47" t="inlineStr">
        <is>
          <t>4104</t>
        </is>
      </c>
      <c r="E47" t="inlineStr">
        <is>
          <t>Atención integral de población en situación permanente de desprotección social y/o familiar</t>
        </is>
      </c>
      <c r="F47" t="inlineStr">
        <is>
          <t>4104020</t>
        </is>
      </c>
      <c r="G47" t="inlineStr">
        <is>
          <t>Servicio de atención integral a población en condición de discapacidad</t>
        </is>
      </c>
      <c r="H47" t="inlineStr">
        <is>
          <t>Servicios integrales que incluyen aspectos relacionados con atención en salud, cuidado, alimentación, hospedaje, formación para el trabajo, inclusión productiva, recreación, entre otros, para población en condición de discapacidad.</t>
        </is>
      </c>
      <c r="I47" t="inlineStr">
        <is>
          <t>2024252950012</t>
        </is>
      </c>
      <c r="J47" s="99">
        <v>243066215.7616</v>
      </c>
      <c r="K47" s="99">
        <v>57325000</v>
      </c>
      <c r="L47" s="99">
        <v>59560675</v>
      </c>
      <c r="M47" s="99">
        <v>61883541.325</v>
      </c>
      <c r="N47" s="99">
        <v>64296999.4366</v>
      </c>
      <c r="O47" s="99" t="inlineStr">
        <is>
          <t xml:space="preserve"> </t>
        </is>
      </c>
      <c r="P47" s="99" t="inlineStr">
        <is>
          <t xml:space="preserve"> </t>
        </is>
      </c>
      <c r="Q47" s="99" t="inlineStr">
        <is>
          <t xml:space="preserve"> </t>
        </is>
      </c>
      <c r="R47" s="100" t="inlineStr">
        <is>
          <t xml:space="preserve"> </t>
        </is>
      </c>
      <c r="S47" t="inlineStr">
        <is>
          <t>No se encontró ejecución en CUIPO</t>
        </is>
      </c>
      <c r="T47" s="101" t="inlineStr">
        <is>
          <t xml:space="preserve"> </t>
        </is>
      </c>
      <c r="U47" s="101" t="inlineStr">
        <is>
          <t xml:space="preserve"> </t>
        </is>
      </c>
      <c r="V47" s="101" t="inlineStr">
        <is>
          <t xml:space="preserve"> </t>
        </is>
      </c>
      <c r="W47" s="102" t="inlineStr">
        <is>
          <t xml:space="preserve"> </t>
        </is>
      </c>
      <c r="X47" t="inlineStr">
        <is>
          <t>No se encontró ejecución en CUIPO</t>
        </is>
      </c>
    </row>
    <row r="48">
      <c r="A48" t="inlineStr">
        <is>
          <t>IP-80</t>
        </is>
      </c>
      <c r="B48" t="inlineStr">
        <is>
          <t>33</t>
        </is>
      </c>
      <c r="C48" t="inlineStr">
        <is>
          <t>Cultura</t>
        </is>
      </c>
      <c r="D48" t="inlineStr">
        <is>
          <t>3301</t>
        </is>
      </c>
      <c r="E48" t="inlineStr">
        <is>
          <t>Promoción y acceso efectivo a procesos culturales y artísticos</t>
        </is>
      </c>
      <c r="F48" t="inlineStr">
        <is>
          <t>3301122</t>
        </is>
      </c>
      <c r="G48" t="inlineStr">
        <is>
          <t>Servicio de fomento para el acceso de la oferta cultural</t>
        </is>
      </c>
      <c r="H48" t="inlineStr">
        <is>
          <t>Beneficios otorgados para que la ciudadanía acceda a la oferta cultural, entre ellos cine.</t>
        </is>
      </c>
      <c r="I48" t="inlineStr">
        <is>
          <t>2024252950012</t>
        </is>
      </c>
      <c r="J48" s="99">
        <v>467848783.9993</v>
      </c>
      <c r="K48" s="99">
        <v>116765191.192</v>
      </c>
      <c r="L48" s="99">
        <v>121319033.6485</v>
      </c>
      <c r="M48" s="99">
        <v>98798114.6356</v>
      </c>
      <c r="N48" s="99">
        <v>130966444.5232</v>
      </c>
      <c r="O48" s="99" t="inlineStr">
        <is>
          <t xml:space="preserve"> </t>
        </is>
      </c>
      <c r="P48" s="99" t="inlineStr">
        <is>
          <t xml:space="preserve"> </t>
        </is>
      </c>
      <c r="Q48" s="99" t="inlineStr">
        <is>
          <t xml:space="preserve"> </t>
        </is>
      </c>
      <c r="R48" s="100" t="inlineStr">
        <is>
          <t xml:space="preserve"> </t>
        </is>
      </c>
      <c r="S48" t="inlineStr">
        <is>
          <t>No se encontró ejecución en CUIPO</t>
        </is>
      </c>
      <c r="T48" s="101" t="inlineStr">
        <is>
          <t xml:space="preserve"> </t>
        </is>
      </c>
      <c r="U48" s="101" t="inlineStr">
        <is>
          <t xml:space="preserve"> </t>
        </is>
      </c>
      <c r="V48" s="101" t="inlineStr">
        <is>
          <t xml:space="preserve"> </t>
        </is>
      </c>
      <c r="W48" s="102" t="inlineStr">
        <is>
          <t xml:space="preserve"> </t>
        </is>
      </c>
      <c r="X48" t="inlineStr">
        <is>
          <t>No se encontró ejecución en CUIPO</t>
        </is>
      </c>
    </row>
    <row r="49">
      <c r="A49" t="inlineStr">
        <is>
          <t>IP-81, IP-87, IP-88</t>
        </is>
      </c>
      <c r="B49" t="inlineStr">
        <is>
          <t>33</t>
        </is>
      </c>
      <c r="C49" t="inlineStr">
        <is>
          <t>Cultura</t>
        </is>
      </c>
      <c r="D49" t="inlineStr">
        <is>
          <t>3301</t>
        </is>
      </c>
      <c r="E49" t="inlineStr">
        <is>
          <t>Promoción y acceso efectivo a procesos culturales y artísticos</t>
        </is>
      </c>
      <c r="F49" t="inlineStr">
        <is>
          <t>3301055</t>
        </is>
      </c>
      <c r="G49" t="inlineStr">
        <is>
          <t>Servicio de apoyo financiero para el desarrollo de prácticas artísticas y culturales</t>
        </is>
      </c>
      <c r="H49" t="inlineStr">
        <is>
          <t xml:space="preserve">El Ministerio de Cultura, a través del Programa Nacional de Estímulos tiene como propósito movilizar a los agentes del sector, bien sea en el ámbito nacional o internacional, para que en las más diversas disciplinas, reciban a través de becas, pasantías, premios nacionales, reconocimientos o residencias artísticas un apoyo a su quehacer. Este Programa está dirigido principalmente a personas naturales y el mecanismo dispuesto para acceder a dichos estímulos es a través de convocatorias públicas anuales, de manera que puedan participar de ese abanico de oportunidades todos los actores del sector cultural.
</t>
        </is>
      </c>
      <c r="I49" t="inlineStr">
        <is>
          <t>2024252950012</t>
        </is>
      </c>
      <c r="J49" s="99">
        <v>950096343.1175</v>
      </c>
      <c r="K49" s="99">
        <v>195537578.384</v>
      </c>
      <c r="L49" s="99">
        <v>223163543.941</v>
      </c>
      <c r="M49" s="99">
        <v>208834560.8295</v>
      </c>
      <c r="N49" s="99">
        <v>322560659.963</v>
      </c>
      <c r="O49" s="99" t="inlineStr">
        <is>
          <t xml:space="preserve"> </t>
        </is>
      </c>
      <c r="P49" s="99" t="inlineStr">
        <is>
          <t xml:space="preserve"> </t>
        </is>
      </c>
      <c r="Q49" s="99" t="inlineStr">
        <is>
          <t xml:space="preserve"> </t>
        </is>
      </c>
      <c r="R49" s="100" t="inlineStr">
        <is>
          <t xml:space="preserve"> </t>
        </is>
      </c>
      <c r="S49" t="inlineStr">
        <is>
          <t>No se encontró ejecución en CUIPO</t>
        </is>
      </c>
      <c r="T49" s="101" t="inlineStr">
        <is>
          <t xml:space="preserve"> </t>
        </is>
      </c>
      <c r="U49" s="101" t="inlineStr">
        <is>
          <t xml:space="preserve"> </t>
        </is>
      </c>
      <c r="V49" s="101" t="inlineStr">
        <is>
          <t xml:space="preserve"> </t>
        </is>
      </c>
      <c r="W49" s="102" t="inlineStr">
        <is>
          <t xml:space="preserve"> </t>
        </is>
      </c>
      <c r="X49" t="inlineStr">
        <is>
          <t>No se encontró ejecución en CUIPO</t>
        </is>
      </c>
    </row>
    <row r="50">
      <c r="A50" t="inlineStr">
        <is>
          <t>IP-82</t>
        </is>
      </c>
      <c r="B50" t="inlineStr">
        <is>
          <t>33</t>
        </is>
      </c>
      <c r="C50" t="inlineStr">
        <is>
          <t>Cultura</t>
        </is>
      </c>
      <c r="D50" t="inlineStr">
        <is>
          <t>3301</t>
        </is>
      </c>
      <c r="E50" t="inlineStr">
        <is>
          <t>Promoción y acceso efectivo a procesos culturales y artísticos</t>
        </is>
      </c>
      <c r="F50" t="inlineStr">
        <is>
          <t>3301101</t>
        </is>
      </c>
      <c r="G50" t="inlineStr">
        <is>
          <t>Centro musicales dotados</t>
        </is>
      </c>
      <c r="H50" t="inlineStr">
        <is>
          <t>Incluye la disposición de material didáctico, pedagógico, tecnológico y/o mobiliario para espacios estructurados de aprendizaje musical.</t>
        </is>
      </c>
      <c r="I50" t="inlineStr">
        <is>
          <t>2024252950012</t>
        </is>
      </c>
      <c r="J50" s="99">
        <v>414553678.2991</v>
      </c>
      <c r="K50" s="99">
        <v>97768789.192</v>
      </c>
      <c r="L50" s="99">
        <v>101581771.9705</v>
      </c>
      <c r="M50" s="99">
        <v>105543461.0773</v>
      </c>
      <c r="N50" s="99">
        <v>109659656.0593</v>
      </c>
      <c r="O50" s="99" t="inlineStr">
        <is>
          <t xml:space="preserve"> </t>
        </is>
      </c>
      <c r="P50" s="99" t="inlineStr">
        <is>
          <t xml:space="preserve"> </t>
        </is>
      </c>
      <c r="Q50" s="99" t="inlineStr">
        <is>
          <t xml:space="preserve"> </t>
        </is>
      </c>
      <c r="R50" s="100" t="inlineStr">
        <is>
          <t xml:space="preserve"> </t>
        </is>
      </c>
      <c r="S50" t="inlineStr">
        <is>
          <t>No se encontró ejecución en CUIPO</t>
        </is>
      </c>
      <c r="T50" s="101" t="inlineStr">
        <is>
          <t xml:space="preserve"> </t>
        </is>
      </c>
      <c r="U50" s="101" t="inlineStr">
        <is>
          <t xml:space="preserve"> </t>
        </is>
      </c>
      <c r="V50" s="101" t="inlineStr">
        <is>
          <t xml:space="preserve"> </t>
        </is>
      </c>
      <c r="W50" s="102" t="inlineStr">
        <is>
          <t xml:space="preserve"> </t>
        </is>
      </c>
      <c r="X50" t="inlineStr">
        <is>
          <t>No se encontró ejecución en CUIPO</t>
        </is>
      </c>
    </row>
    <row r="51">
      <c r="A51" t="inlineStr">
        <is>
          <t>IP-83</t>
        </is>
      </c>
      <c r="B51" t="inlineStr">
        <is>
          <t>33</t>
        </is>
      </c>
      <c r="C51" t="inlineStr">
        <is>
          <t>Cultura</t>
        </is>
      </c>
      <c r="D51" t="inlineStr">
        <is>
          <t>3301</t>
        </is>
      </c>
      <c r="E51" t="inlineStr">
        <is>
          <t>Promoción y acceso efectivo a procesos culturales y artísticos</t>
        </is>
      </c>
      <c r="F51" t="inlineStr">
        <is>
          <t>3301054</t>
        </is>
      </c>
      <c r="G51" t="inlineStr">
        <is>
          <t>Servicio de apoyo financiero al sector artístico y cultural</t>
        </is>
      </c>
      <c r="H51" t="inlineStr">
        <is>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is>
      </c>
      <c r="I51" t="inlineStr">
        <is>
          <t>2024252950012</t>
        </is>
      </c>
      <c r="J51" s="99">
        <v>1865491552.3464</v>
      </c>
      <c r="K51" s="99">
        <v>439959551.3641</v>
      </c>
      <c r="L51" s="99">
        <v>457117973.8672</v>
      </c>
      <c r="M51" s="99">
        <v>474945574.848</v>
      </c>
      <c r="N51" s="99">
        <v>493468452.2671</v>
      </c>
      <c r="O51" s="99" t="inlineStr">
        <is>
          <t xml:space="preserve"> </t>
        </is>
      </c>
      <c r="P51" s="99" t="inlineStr">
        <is>
          <t xml:space="preserve"> </t>
        </is>
      </c>
      <c r="Q51" s="99" t="inlineStr">
        <is>
          <t xml:space="preserve"> </t>
        </is>
      </c>
      <c r="R51" s="100" t="inlineStr">
        <is>
          <t xml:space="preserve"> </t>
        </is>
      </c>
      <c r="S51" t="inlineStr">
        <is>
          <t>No se encontró ejecución en CUIPO</t>
        </is>
      </c>
      <c r="T51" s="101" t="inlineStr">
        <is>
          <t xml:space="preserve"> </t>
        </is>
      </c>
      <c r="U51" s="101" t="inlineStr">
        <is>
          <t xml:space="preserve"> </t>
        </is>
      </c>
      <c r="V51" s="101" t="inlineStr">
        <is>
          <t xml:space="preserve"> </t>
        </is>
      </c>
      <c r="W51" s="102" t="inlineStr">
        <is>
          <t xml:space="preserve"> </t>
        </is>
      </c>
      <c r="X51" t="inlineStr">
        <is>
          <t>No se encontró ejecución en CUIPO</t>
        </is>
      </c>
    </row>
    <row r="52">
      <c r="A52" t="inlineStr">
        <is>
          <t>IP-84, IP-85, IP-86</t>
        </is>
      </c>
      <c r="B52" t="inlineStr">
        <is>
          <t>33</t>
        </is>
      </c>
      <c r="C52" t="inlineStr">
        <is>
          <t>Cultura</t>
        </is>
      </c>
      <c r="D52" t="inlineStr">
        <is>
          <t>3301</t>
        </is>
      </c>
      <c r="E52" t="inlineStr">
        <is>
          <t>Promoción y acceso efectivo a procesos culturales y artísticos</t>
        </is>
      </c>
      <c r="F52" t="inlineStr">
        <is>
          <t>3301064</t>
        </is>
      </c>
      <c r="G52" t="inlineStr">
        <is>
          <t>Servicio de asistencia técnica en educación artística y cultural</t>
        </is>
      </c>
      <c r="H52" t="inlineStr">
        <is>
          <t>Asesorías de carácter pedagógico, metodológico y de gestión  a entidades de educación oferentes de programas de formación en educación artística y cultural en el marco de los procesos formativos para crear las condiciones propicias para el desarrollo de dicho programa.</t>
        </is>
      </c>
      <c r="I52" t="inlineStr">
        <is>
          <t>2024252950012</t>
        </is>
      </c>
      <c r="J52" s="99">
        <v>4363925573.4182</v>
      </c>
      <c r="K52" s="99">
        <v>1026572286.516</v>
      </c>
      <c r="L52" s="99">
        <v>1066608605.6901</v>
      </c>
      <c r="M52" s="99">
        <v>1115206341.3121</v>
      </c>
      <c r="N52" s="99">
        <v>1155538339.9</v>
      </c>
      <c r="O52" s="99" t="inlineStr">
        <is>
          <t xml:space="preserve"> </t>
        </is>
      </c>
      <c r="P52" s="99" t="inlineStr">
        <is>
          <t xml:space="preserve"> </t>
        </is>
      </c>
      <c r="Q52" s="99" t="inlineStr">
        <is>
          <t xml:space="preserve"> </t>
        </is>
      </c>
      <c r="R52" s="100" t="inlineStr">
        <is>
          <t xml:space="preserve"> </t>
        </is>
      </c>
      <c r="S52" t="inlineStr">
        <is>
          <t>No se encontró ejecución en CUIPO</t>
        </is>
      </c>
      <c r="T52" s="101" t="inlineStr">
        <is>
          <t xml:space="preserve"> </t>
        </is>
      </c>
      <c r="U52" s="101" t="inlineStr">
        <is>
          <t xml:space="preserve"> </t>
        </is>
      </c>
      <c r="V52" s="101" t="inlineStr">
        <is>
          <t xml:space="preserve"> </t>
        </is>
      </c>
      <c r="W52" s="102" t="inlineStr">
        <is>
          <t xml:space="preserve"> </t>
        </is>
      </c>
      <c r="X52" t="inlineStr">
        <is>
          <t>No se encontró ejecución en CUIPO</t>
        </is>
      </c>
    </row>
    <row r="53">
      <c r="A53" t="inlineStr">
        <is>
          <t>IP-89</t>
        </is>
      </c>
      <c r="B53" t="inlineStr">
        <is>
          <t>33</t>
        </is>
      </c>
      <c r="C53" t="inlineStr">
        <is>
          <t>Cultura</t>
        </is>
      </c>
      <c r="D53" t="inlineStr">
        <is>
          <t>3301</t>
        </is>
      </c>
      <c r="E53" t="inlineStr">
        <is>
          <t>Promoción y acceso efectivo a procesos culturales y artísticos</t>
        </is>
      </c>
      <c r="F53" t="inlineStr">
        <is>
          <t>3301055</t>
        </is>
      </c>
      <c r="G53" t="inlineStr">
        <is>
          <t>Servicio de apoyo financiero para el desarrollo de prácticas artísticas y culturales</t>
        </is>
      </c>
      <c r="H53" t="inlineStr">
        <is>
          <t xml:space="preserve">El Ministerio de Cultura, a través del Programa Nacional de Estímulos tiene como propósito movilizar a los agentes del sector, bien sea en el ámbito nacional o internacional, para que en las más diversas disciplinas, reciban a través de becas, pasantías, premios nacionales, reconocimientos o residencias artísticas un apoyo a su quehacer. Este Programa está dirigido principalmente a personas naturales y el mecanismo dispuesto para acceder a dichos estímulos es a través de convocatorias públicas anuales, de manera que puedan participar de ese abanico de oportunidades todos los actores del sector cultural.
</t>
        </is>
      </c>
      <c r="I53" t="inlineStr">
        <is>
          <t>2024252950013</t>
        </is>
      </c>
      <c r="J53" s="99">
        <v>414553678.2991</v>
      </c>
      <c r="K53" s="99">
        <v>97768789.192</v>
      </c>
      <c r="L53" s="99">
        <v>101581771.9705</v>
      </c>
      <c r="M53" s="99">
        <v>105543461.0773</v>
      </c>
      <c r="N53" s="99">
        <v>109659656.0593</v>
      </c>
      <c r="O53" s="99" t="inlineStr">
        <is>
          <t xml:space="preserve"> </t>
        </is>
      </c>
      <c r="P53" s="99" t="inlineStr">
        <is>
          <t xml:space="preserve"> </t>
        </is>
      </c>
      <c r="Q53" s="99" t="inlineStr">
        <is>
          <t xml:space="preserve"> </t>
        </is>
      </c>
      <c r="R53" s="100" t="inlineStr">
        <is>
          <t xml:space="preserve"> </t>
        </is>
      </c>
      <c r="S53" t="inlineStr">
        <is>
          <t>No se encontró ejecución en CUIPO</t>
        </is>
      </c>
      <c r="T53" s="101" t="inlineStr">
        <is>
          <t xml:space="preserve"> </t>
        </is>
      </c>
      <c r="U53" s="101" t="inlineStr">
        <is>
          <t xml:space="preserve"> </t>
        </is>
      </c>
      <c r="V53" s="101" t="inlineStr">
        <is>
          <t xml:space="preserve"> </t>
        </is>
      </c>
      <c r="W53" s="102" t="inlineStr">
        <is>
          <t xml:space="preserve"> </t>
        </is>
      </c>
      <c r="X53" t="inlineStr">
        <is>
          <t>No se encontró ejecución en CUIPO</t>
        </is>
      </c>
    </row>
    <row r="54">
      <c r="A54" t="inlineStr">
        <is>
          <t>IP-90, IP-91, IP-92</t>
        </is>
      </c>
      <c r="B54" t="inlineStr">
        <is>
          <t>43</t>
        </is>
      </c>
      <c r="C54" t="inlineStr">
        <is>
          <t>Deporte y Recreación</t>
        </is>
      </c>
      <c r="D54" t="inlineStr">
        <is>
          <t>4301</t>
        </is>
      </c>
      <c r="E54" t="inlineStr">
        <is>
          <t>Fomento a la recreación, la actividad física y el deporte para desarrollar entornos de convivencia y paz</t>
        </is>
      </c>
      <c r="F54" t="inlineStr">
        <is>
          <t>4301004</t>
        </is>
      </c>
      <c r="G54" t="inlineStr">
        <is>
          <t>Servicio de mantenimiento a la infraestructura deportiva</t>
        </is>
      </c>
      <c r="H54" t="inlineStr">
        <is>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is>
      </c>
      <c r="I54" t="inlineStr">
        <is>
          <t>2024252950013</t>
        </is>
      </c>
      <c r="J54" s="99">
        <v>1018220642.4447</v>
      </c>
      <c r="K54" s="99">
        <v>240138260.8654</v>
      </c>
      <c r="L54" s="99">
        <v>249503653.0392</v>
      </c>
      <c r="M54" s="99">
        <v>259234295.5076</v>
      </c>
      <c r="N54" s="99">
        <v>269344433.0325</v>
      </c>
      <c r="O54" s="99" t="inlineStr">
        <is>
          <t xml:space="preserve"> </t>
        </is>
      </c>
      <c r="P54" s="99" t="inlineStr">
        <is>
          <t xml:space="preserve"> </t>
        </is>
      </c>
      <c r="Q54" s="99" t="inlineStr">
        <is>
          <t xml:space="preserve"> </t>
        </is>
      </c>
      <c r="R54" s="100" t="inlineStr">
        <is>
          <t xml:space="preserve"> </t>
        </is>
      </c>
      <c r="S54" t="inlineStr">
        <is>
          <t>No se encontró ejecución en CUIPO</t>
        </is>
      </c>
      <c r="T54" s="101" t="inlineStr">
        <is>
          <t xml:space="preserve"> </t>
        </is>
      </c>
      <c r="U54" s="101" t="inlineStr">
        <is>
          <t xml:space="preserve"> </t>
        </is>
      </c>
      <c r="V54" s="101" t="inlineStr">
        <is>
          <t xml:space="preserve"> </t>
        </is>
      </c>
      <c r="W54" s="102" t="inlineStr">
        <is>
          <t xml:space="preserve"> </t>
        </is>
      </c>
      <c r="X54" t="inlineStr">
        <is>
          <t>No se encontró ejecución en CUIPO</t>
        </is>
      </c>
    </row>
    <row r="55">
      <c r="A55" t="inlineStr">
        <is>
          <t>IP-93</t>
        </is>
      </c>
      <c r="B55" t="inlineStr">
        <is>
          <t>43</t>
        </is>
      </c>
      <c r="C55" t="inlineStr">
        <is>
          <t>Deporte y Recreación</t>
        </is>
      </c>
      <c r="D55" t="inlineStr">
        <is>
          <t>4301</t>
        </is>
      </c>
      <c r="E55" t="inlineStr">
        <is>
          <t>Fomento a la recreación, la actividad física y el deporte para desarrollar entornos de convivencia y paz</t>
        </is>
      </c>
      <c r="F55" t="inlineStr">
        <is>
          <t>4301039</t>
        </is>
      </c>
      <c r="G55" t="inlineStr">
        <is>
          <t>Estudios de pre inversión</t>
        </is>
      </c>
      <c r="H55" t="inlineStr">
        <is>
          <t>Incluye la realización de estudios de pre factibilidad, factibilidad o definitivos para la ejecución de proyectos</t>
        </is>
      </c>
      <c r="I55" t="inlineStr">
        <is>
          <t>2024252950013</t>
        </is>
      </c>
      <c r="J55" s="99">
        <v>20994240.0504</v>
      </c>
      <c r="K55" s="99">
        <v>4951304.3477</v>
      </c>
      <c r="L55" s="99">
        <v>5144405.2173</v>
      </c>
      <c r="M55" s="99">
        <v>5345037.0208</v>
      </c>
      <c r="N55" s="99">
        <v>5553493.4646</v>
      </c>
      <c r="O55" s="99" t="inlineStr">
        <is>
          <t xml:space="preserve"> </t>
        </is>
      </c>
      <c r="P55" s="99" t="inlineStr">
        <is>
          <t xml:space="preserve"> </t>
        </is>
      </c>
      <c r="Q55" s="99" t="inlineStr">
        <is>
          <t xml:space="preserve"> </t>
        </is>
      </c>
      <c r="R55" s="100" t="inlineStr">
        <is>
          <t xml:space="preserve"> </t>
        </is>
      </c>
      <c r="S55" t="inlineStr">
        <is>
          <t>No se encontró ejecución en CUIPO</t>
        </is>
      </c>
      <c r="T55" s="101" t="inlineStr">
        <is>
          <t xml:space="preserve"> </t>
        </is>
      </c>
      <c r="U55" s="101" t="inlineStr">
        <is>
          <t xml:space="preserve"> </t>
        </is>
      </c>
      <c r="V55" s="101" t="inlineStr">
        <is>
          <t xml:space="preserve"> </t>
        </is>
      </c>
      <c r="W55" s="102" t="inlineStr">
        <is>
          <t xml:space="preserve"> </t>
        </is>
      </c>
      <c r="X55" t="inlineStr">
        <is>
          <t>No se encontró ejecución en CUIPO</t>
        </is>
      </c>
    </row>
    <row r="56">
      <c r="A56" t="inlineStr">
        <is>
          <t>IP-100</t>
        </is>
      </c>
      <c r="B56" t="inlineStr">
        <is>
          <t>43</t>
        </is>
      </c>
      <c r="C56" t="inlineStr">
        <is>
          <t>Deporte y Recreación</t>
        </is>
      </c>
      <c r="D56" t="inlineStr">
        <is>
          <t>4301</t>
        </is>
      </c>
      <c r="E56" t="inlineStr">
        <is>
          <t>Fomento a la recreación, la actividad física y el deporte para desarrollar entornos de convivencia y paz</t>
        </is>
      </c>
      <c r="F56" t="inlineStr">
        <is>
          <t>4301006</t>
        </is>
      </c>
      <c r="G56" t="inlineStr">
        <is>
          <t>Documentos normativos</t>
        </is>
      </c>
      <c r="H56" t="inlineStr">
        <is>
          <t>Corresponde a la formulación o reformulación de políticas públicas o normatividad concerniente a la práctica de la actividad física, de la recreación y el deporte.</t>
        </is>
      </c>
      <c r="I56" t="inlineStr">
        <is>
          <t>2024252950013</t>
        </is>
      </c>
      <c r="J56" s="99">
        <v>8000000</v>
      </c>
      <c r="K56" s="99">
        <v>0</v>
      </c>
      <c r="L56" s="99">
        <v>3000000</v>
      </c>
      <c r="M56" s="99">
        <v>3000000</v>
      </c>
      <c r="N56" s="99">
        <v>2000000</v>
      </c>
      <c r="O56" s="99" t="inlineStr">
        <is>
          <t xml:space="preserve"> </t>
        </is>
      </c>
      <c r="P56" s="99" t="inlineStr">
        <is>
          <t xml:space="preserve"> </t>
        </is>
      </c>
      <c r="Q56" s="99" t="inlineStr">
        <is>
          <t xml:space="preserve"> </t>
        </is>
      </c>
      <c r="R56" s="100" t="inlineStr">
        <is>
          <t xml:space="preserve"> </t>
        </is>
      </c>
      <c r="S56" t="inlineStr">
        <is>
          <t>No se encontró ejecución en CUIPO</t>
        </is>
      </c>
      <c r="T56" s="101" t="inlineStr">
        <is>
          <t xml:space="preserve"> </t>
        </is>
      </c>
      <c r="U56" s="101" t="inlineStr">
        <is>
          <t xml:space="preserve"> </t>
        </is>
      </c>
      <c r="V56" s="101" t="inlineStr">
        <is>
          <t xml:space="preserve"> </t>
        </is>
      </c>
      <c r="W56" s="102" t="inlineStr">
        <is>
          <t xml:space="preserve"> </t>
        </is>
      </c>
      <c r="X56" t="inlineStr">
        <is>
          <t>No se encontró ejecución en CUIPO</t>
        </is>
      </c>
    </row>
    <row r="57">
      <c r="A57" t="inlineStr">
        <is>
          <t>IP-101, IP-102, IP-94, IP-95, IP-96, IP-97, IP-98, IP-99</t>
        </is>
      </c>
      <c r="B57" t="inlineStr">
        <is>
          <t>43</t>
        </is>
      </c>
      <c r="C57" t="inlineStr">
        <is>
          <t>Deporte y Recreación</t>
        </is>
      </c>
      <c r="D57" t="inlineStr">
        <is>
          <t>4301</t>
        </is>
      </c>
      <c r="E57" t="inlineStr">
        <is>
          <t>Fomento a la recreación, la actividad física y el deporte para desarrollar entornos de convivencia y paz</t>
        </is>
      </c>
      <c r="F57" t="inlineStr">
        <is>
          <t>4301037</t>
        </is>
      </c>
      <c r="G57" t="inlineStr">
        <is>
          <t>Servicio de promoción de la actividad física, la recreación y el deporte</t>
        </is>
      </c>
      <c r="H57" t="inlineStr">
        <is>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is>
      </c>
      <c r="I57" t="inlineStr">
        <is>
          <t>2024252950013</t>
        </is>
      </c>
      <c r="J57" s="99">
        <v>1988688941.8415</v>
      </c>
      <c r="K57" s="99">
        <v>473276101.0269</v>
      </c>
      <c r="L57" s="99">
        <v>478733868.967</v>
      </c>
      <c r="M57" s="99">
        <v>508953885.1631</v>
      </c>
      <c r="N57" s="99">
        <v>527725086.6845</v>
      </c>
      <c r="O57" s="99" t="inlineStr">
        <is>
          <t xml:space="preserve"> </t>
        </is>
      </c>
      <c r="P57" s="99" t="inlineStr">
        <is>
          <t xml:space="preserve"> </t>
        </is>
      </c>
      <c r="Q57" s="99" t="inlineStr">
        <is>
          <t xml:space="preserve"> </t>
        </is>
      </c>
      <c r="R57" s="100" t="inlineStr">
        <is>
          <t xml:space="preserve"> </t>
        </is>
      </c>
      <c r="S57" t="inlineStr">
        <is>
          <t>No se encontró ejecución en CUIPO</t>
        </is>
      </c>
      <c r="T57" s="101" t="inlineStr">
        <is>
          <t xml:space="preserve"> </t>
        </is>
      </c>
      <c r="U57" s="101" t="inlineStr">
        <is>
          <t xml:space="preserve"> </t>
        </is>
      </c>
      <c r="V57" s="101" t="inlineStr">
        <is>
          <t xml:space="preserve"> </t>
        </is>
      </c>
      <c r="W57" s="102" t="inlineStr">
        <is>
          <t xml:space="preserve"> </t>
        </is>
      </c>
      <c r="X57" t="inlineStr">
        <is>
          <t>No se encontró ejecución en CUIPO</t>
        </is>
      </c>
    </row>
    <row r="58">
      <c r="A58" t="inlineStr">
        <is>
          <t>IP-103</t>
        </is>
      </c>
      <c r="B58" t="inlineStr">
        <is>
          <t>43</t>
        </is>
      </c>
      <c r="C58" t="inlineStr">
        <is>
          <t>Deporte y Recreación</t>
        </is>
      </c>
      <c r="D58" t="inlineStr">
        <is>
          <t>4301</t>
        </is>
      </c>
      <c r="E58" t="inlineStr">
        <is>
          <t>Fomento a la recreación, la actividad física y el deporte para desarrollar entornos de convivencia y paz</t>
        </is>
      </c>
      <c r="F58" t="inlineStr">
        <is>
          <t>4301037</t>
        </is>
      </c>
      <c r="G58" t="inlineStr">
        <is>
          <t>Servicio de promoción de la actividad física, la recreación y el deporte</t>
        </is>
      </c>
      <c r="H58" t="inlineStr">
        <is>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is>
      </c>
      <c r="I58" t="inlineStr">
        <is>
          <t>2024252950014</t>
        </is>
      </c>
      <c r="J58" s="99">
        <v>10497120.0252</v>
      </c>
      <c r="K58" s="99">
        <v>2475652.1739</v>
      </c>
      <c r="L58" s="99">
        <v>2572202.6086</v>
      </c>
      <c r="M58" s="99">
        <v>2672518.5104</v>
      </c>
      <c r="N58" s="99">
        <v>2776746.7323</v>
      </c>
      <c r="O58" s="99" t="inlineStr">
        <is>
          <t xml:space="preserve"> </t>
        </is>
      </c>
      <c r="P58" s="99" t="inlineStr">
        <is>
          <t xml:space="preserve"> </t>
        </is>
      </c>
      <c r="Q58" s="99" t="inlineStr">
        <is>
          <t xml:space="preserve"> </t>
        </is>
      </c>
      <c r="R58" s="100" t="inlineStr">
        <is>
          <t xml:space="preserve"> </t>
        </is>
      </c>
      <c r="S58" t="inlineStr">
        <is>
          <t>No se encontró ejecución en CUIPO</t>
        </is>
      </c>
      <c r="T58" s="101" t="inlineStr">
        <is>
          <t xml:space="preserve"> </t>
        </is>
      </c>
      <c r="U58" s="101" t="inlineStr">
        <is>
          <t xml:space="preserve"> </t>
        </is>
      </c>
      <c r="V58" s="101" t="inlineStr">
        <is>
          <t xml:space="preserve"> </t>
        </is>
      </c>
      <c r="W58" s="102" t="inlineStr">
        <is>
          <t xml:space="preserve"> </t>
        </is>
      </c>
      <c r="X58" t="inlineStr">
        <is>
          <t>No se encontró ejecución en CUIPO</t>
        </is>
      </c>
    </row>
    <row r="59">
      <c r="A59" t="inlineStr">
        <is>
          <t>IP-104, IP-105, IP-106, IP-107, IP-108, IP-109, IP-110</t>
        </is>
      </c>
      <c r="B59" t="inlineStr">
        <is>
          <t>32</t>
        </is>
      </c>
      <c r="C59" t="inlineStr">
        <is>
          <t>Ambiente y desarrollo sostenible</t>
        </is>
      </c>
      <c r="D59" t="inlineStr">
        <is>
          <t>3203</t>
        </is>
      </c>
      <c r="E59" t="inlineStr">
        <is>
          <t>Gestión integral del recurso hídrico</t>
        </is>
      </c>
      <c r="F59" t="inlineStr">
        <is>
          <t>3203050</t>
        </is>
      </c>
      <c r="G59" t="inlineStr">
        <is>
          <t>Servicio de protección del recurso hídrico</t>
        </is>
      </c>
      <c r="H59" t="inlineStr">
        <is>
          <t>Incluye acciones orientadas a la administración y manejo de áreas de reserva hídrica o zonas de reserva natural para la protección de las fuentes hídricas.</t>
        </is>
      </c>
      <c r="I59" t="inlineStr">
        <is>
          <t>2024252950014</t>
        </is>
      </c>
      <c r="J59" s="99">
        <v>4500902277.0757</v>
      </c>
      <c r="K59" s="99">
        <v>1061497675.54</v>
      </c>
      <c r="L59" s="99">
        <v>1102896084.8864</v>
      </c>
      <c r="M59" s="99">
        <v>1145909032.1968</v>
      </c>
      <c r="N59" s="99">
        <v>1190599484.4525</v>
      </c>
      <c r="O59" s="99" t="inlineStr">
        <is>
          <t xml:space="preserve"> </t>
        </is>
      </c>
      <c r="P59" s="99" t="inlineStr">
        <is>
          <t xml:space="preserve"> </t>
        </is>
      </c>
      <c r="Q59" s="99" t="inlineStr">
        <is>
          <t xml:space="preserve"> </t>
        </is>
      </c>
      <c r="R59" s="100" t="inlineStr">
        <is>
          <t xml:space="preserve"> </t>
        </is>
      </c>
      <c r="S59" t="inlineStr">
        <is>
          <t>No se encontró ejecución en CUIPO</t>
        </is>
      </c>
      <c r="T59" s="101" t="inlineStr">
        <is>
          <t xml:space="preserve"> </t>
        </is>
      </c>
      <c r="U59" s="101" t="inlineStr">
        <is>
          <t xml:space="preserve"> </t>
        </is>
      </c>
      <c r="V59" s="101" t="inlineStr">
        <is>
          <t xml:space="preserve"> </t>
        </is>
      </c>
      <c r="W59" s="102" t="inlineStr">
        <is>
          <t xml:space="preserve"> </t>
        </is>
      </c>
      <c r="X59" t="inlineStr">
        <is>
          <t>No se encontró ejecución en CUIPO</t>
        </is>
      </c>
    </row>
    <row r="60">
      <c r="A60" t="inlineStr">
        <is>
          <t>IP-111</t>
        </is>
      </c>
      <c r="B60" t="inlineStr">
        <is>
          <t>32</t>
        </is>
      </c>
      <c r="C60" t="inlineStr">
        <is>
          <t>Ambiente y desarrollo sostenible</t>
        </is>
      </c>
      <c r="D60" t="inlineStr">
        <is>
          <t>3203</t>
        </is>
      </c>
      <c r="E60" t="inlineStr">
        <is>
          <t>Gestión integral del recurso hídrico</t>
        </is>
      </c>
      <c r="F60" t="inlineStr">
        <is>
          <t>3203050</t>
        </is>
      </c>
      <c r="G60" t="inlineStr">
        <is>
          <t>Servicio de protección del recurso hídrico</t>
        </is>
      </c>
      <c r="H60" t="inlineStr">
        <is>
          <t>Incluye acciones orientadas a la administración y manejo de áreas de reserva hídrica o zonas de reserva natural para la protección de las fuentes hídricas.</t>
        </is>
      </c>
      <c r="I60" t="inlineStr">
        <is>
          <t>2024252950015</t>
        </is>
      </c>
      <c r="J60" s="99">
        <v>20000000</v>
      </c>
      <c r="K60" s="99">
        <v>0</v>
      </c>
      <c r="L60" s="99">
        <v>0</v>
      </c>
      <c r="M60" s="99">
        <v>20000000</v>
      </c>
      <c r="N60" s="99">
        <v>0</v>
      </c>
      <c r="O60" s="99" t="inlineStr">
        <is>
          <t xml:space="preserve"> </t>
        </is>
      </c>
      <c r="P60" s="99" t="inlineStr">
        <is>
          <t xml:space="preserve"> </t>
        </is>
      </c>
      <c r="Q60" s="99" t="inlineStr">
        <is>
          <t xml:space="preserve"> </t>
        </is>
      </c>
      <c r="R60" s="100" t="inlineStr">
        <is>
          <t xml:space="preserve"> </t>
        </is>
      </c>
      <c r="S60" t="inlineStr">
        <is>
          <t>No se encontró ejecución en CUIPO</t>
        </is>
      </c>
      <c r="T60" s="101" t="inlineStr">
        <is>
          <t xml:space="preserve"> </t>
        </is>
      </c>
      <c r="U60" s="101" t="inlineStr">
        <is>
          <t xml:space="preserve"> </t>
        </is>
      </c>
      <c r="V60" s="101" t="inlineStr">
        <is>
          <t xml:space="preserve"> </t>
        </is>
      </c>
      <c r="W60" s="102" t="inlineStr">
        <is>
          <t xml:space="preserve"> </t>
        </is>
      </c>
      <c r="X60" t="inlineStr">
        <is>
          <t>No se encontró ejecución en CUIPO</t>
        </is>
      </c>
    </row>
    <row r="61">
      <c r="A61" t="inlineStr">
        <is>
          <t>IP-112</t>
        </is>
      </c>
      <c r="B61" t="inlineStr">
        <is>
          <t>40</t>
        </is>
      </c>
      <c r="C61" t="inlineStr">
        <is>
          <t>Vivienda, ciudad y territorio</t>
        </is>
      </c>
      <c r="D61" t="inlineStr">
        <is>
          <t>4003</t>
        </is>
      </c>
      <c r="E61" t="inlineStr">
        <is>
          <t>Acceso de la población a los servicios de agua potable y saneamiento básico</t>
        </is>
      </c>
      <c r="F61" t="inlineStr">
        <is>
          <t>4003022</t>
        </is>
      </c>
      <c r="G61" t="inlineStr">
        <is>
          <t>Servicios de implementación del Plan de Gestión Integral de Residuos Solidos PGIRS</t>
        </is>
      </c>
      <c r="H61" t="inlineStr">
        <is>
          <t>Contempla acciones realizadas para implementar el Plan de Gestión Integral de Residuos Solidos </t>
        </is>
      </c>
      <c r="I61" t="inlineStr">
        <is>
          <t>2024252950015</t>
        </is>
      </c>
      <c r="J61" s="99">
        <v>1171816575.2066</v>
      </c>
      <c r="K61" s="99">
        <v>276362492.2667</v>
      </c>
      <c r="L61" s="99">
        <v>287140629.4651</v>
      </c>
      <c r="M61" s="99">
        <v>298339114.0141</v>
      </c>
      <c r="N61" s="99">
        <v>309974339.4607</v>
      </c>
      <c r="O61" s="99" t="inlineStr">
        <is>
          <t xml:space="preserve"> </t>
        </is>
      </c>
      <c r="P61" s="99" t="inlineStr">
        <is>
          <t xml:space="preserve"> </t>
        </is>
      </c>
      <c r="Q61" s="99" t="inlineStr">
        <is>
          <t xml:space="preserve"> </t>
        </is>
      </c>
      <c r="R61" s="100" t="inlineStr">
        <is>
          <t xml:space="preserve"> </t>
        </is>
      </c>
      <c r="S61" t="inlineStr">
        <is>
          <t>No se encontró ejecución en CUIPO</t>
        </is>
      </c>
      <c r="T61" s="101" t="inlineStr">
        <is>
          <t xml:space="preserve"> </t>
        </is>
      </c>
      <c r="U61" s="101" t="inlineStr">
        <is>
          <t xml:space="preserve"> </t>
        </is>
      </c>
      <c r="V61" s="101" t="inlineStr">
        <is>
          <t xml:space="preserve"> </t>
        </is>
      </c>
      <c r="W61" s="102" t="inlineStr">
        <is>
          <t xml:space="preserve"> </t>
        </is>
      </c>
      <c r="X61" t="inlineStr">
        <is>
          <t>No se encontró ejecución en CUIPO</t>
        </is>
      </c>
    </row>
    <row r="62">
      <c r="A62" t="inlineStr">
        <is>
          <t>IP-113</t>
        </is>
      </c>
      <c r="B62" t="inlineStr">
        <is>
          <t>40</t>
        </is>
      </c>
      <c r="C62" t="inlineStr">
        <is>
          <t>Vivienda, ciudad y territorio</t>
        </is>
      </c>
      <c r="D62" t="inlineStr">
        <is>
          <t>4003</t>
        </is>
      </c>
      <c r="E62" t="inlineStr">
        <is>
          <t>Acceso de la población a los servicios de agua potable y saneamiento básico</t>
        </is>
      </c>
      <c r="F62" t="inlineStr">
        <is>
          <t>4003055</t>
        </is>
      </c>
      <c r="G62" t="inlineStr">
        <is>
          <t>Servicio de asistencia técnica</t>
        </is>
      </c>
      <c r="H62" t="inlineStr">
        <is>
          <t>Corresponde al acompañamiento, asesoría y seguimiento técnico para la transferencia de herramientas de gestión y conocimiento a entidades nacionales y territoriales, o a grupos de valor, en procedimientos y trámites institucionales de competencia de la entidad.</t>
        </is>
      </c>
      <c r="I62" t="inlineStr">
        <is>
          <t>2024252950015</t>
        </is>
      </c>
      <c r="J62" s="99">
        <v>446784759.7123</v>
      </c>
      <c r="K62" s="99">
        <v>129718753.8667</v>
      </c>
      <c r="L62" s="99">
        <v>134777785.2675</v>
      </c>
      <c r="M62" s="99">
        <v>140034118.8928</v>
      </c>
      <c r="N62" s="99">
        <v>42254101.6853</v>
      </c>
      <c r="O62" s="99" t="inlineStr">
        <is>
          <t xml:space="preserve"> </t>
        </is>
      </c>
      <c r="P62" s="99" t="inlineStr">
        <is>
          <t xml:space="preserve"> </t>
        </is>
      </c>
      <c r="Q62" s="99" t="inlineStr">
        <is>
          <t xml:space="preserve"> </t>
        </is>
      </c>
      <c r="R62" s="100" t="inlineStr">
        <is>
          <t xml:space="preserve"> </t>
        </is>
      </c>
      <c r="S62" t="inlineStr">
        <is>
          <t>No se encontró ejecución en CUIPO</t>
        </is>
      </c>
      <c r="T62" s="101" t="inlineStr">
        <is>
          <t xml:space="preserve"> </t>
        </is>
      </c>
      <c r="U62" s="101" t="inlineStr">
        <is>
          <t xml:space="preserve"> </t>
        </is>
      </c>
      <c r="V62" s="101" t="inlineStr">
        <is>
          <t xml:space="preserve"> </t>
        </is>
      </c>
      <c r="W62" s="102" t="inlineStr">
        <is>
          <t xml:space="preserve"> </t>
        </is>
      </c>
      <c r="X62" t="inlineStr">
        <is>
          <t>No se encontró ejecución en CUIPO</t>
        </is>
      </c>
    </row>
    <row r="63">
      <c r="A63" t="inlineStr">
        <is>
          <t>IP-114</t>
        </is>
      </c>
      <c r="B63" t="inlineStr">
        <is>
          <t>17</t>
        </is>
      </c>
      <c r="C63" t="inlineStr">
        <is>
          <t xml:space="preserve">Agricultura y desarrollo rural
</t>
        </is>
      </c>
      <c r="D63" t="inlineStr">
        <is>
          <t>1704</t>
        </is>
      </c>
      <c r="E63" t="inlineStr">
        <is>
          <t>Ordenamiento social y uso productivo del territorio rural</t>
        </is>
      </c>
      <c r="F63" t="inlineStr">
        <is>
          <t>1704003</t>
        </is>
      </c>
      <c r="G63" t="inlineStr">
        <is>
          <t>Documentos de planeación</t>
        </is>
      </c>
      <c r="H63" t="inlineStr">
        <is>
          <t>Documentos cuyo objetivo es plasmar una visión de futuro a nivel país, entidad territorial, comunidad, sector, región, entidad o cualquier nivel de desagregación que se requiera. Incluye objetivos, estrategias, metas e indicadores</t>
        </is>
      </c>
      <c r="I63" t="inlineStr">
        <is>
          <t>2024252950016</t>
        </is>
      </c>
      <c r="J63" s="99">
        <v>550026107.5567</v>
      </c>
      <c r="K63" s="99">
        <v>129718753.8667</v>
      </c>
      <c r="L63" s="99">
        <v>134777785.2675</v>
      </c>
      <c r="M63" s="99">
        <v>140034118.8928</v>
      </c>
      <c r="N63" s="99">
        <v>145495449.5297</v>
      </c>
      <c r="O63" s="99" t="inlineStr">
        <is>
          <t xml:space="preserve"> </t>
        </is>
      </c>
      <c r="P63" s="99" t="inlineStr">
        <is>
          <t xml:space="preserve"> </t>
        </is>
      </c>
      <c r="Q63" s="99" t="inlineStr">
        <is>
          <t xml:space="preserve"> </t>
        </is>
      </c>
      <c r="R63" s="100" t="inlineStr">
        <is>
          <t xml:space="preserve"> </t>
        </is>
      </c>
      <c r="S63" t="inlineStr">
        <is>
          <t>No se encontró ejecución en CUIPO</t>
        </is>
      </c>
      <c r="T63" s="101" t="inlineStr">
        <is>
          <t xml:space="preserve"> </t>
        </is>
      </c>
      <c r="U63" s="101" t="inlineStr">
        <is>
          <t xml:space="preserve"> </t>
        </is>
      </c>
      <c r="V63" s="101" t="inlineStr">
        <is>
          <t xml:space="preserve"> </t>
        </is>
      </c>
      <c r="W63" s="102" t="inlineStr">
        <is>
          <t xml:space="preserve"> </t>
        </is>
      </c>
      <c r="X63" t="inlineStr">
        <is>
          <t>No se encontró ejecución en CUIPO</t>
        </is>
      </c>
    </row>
    <row r="64">
      <c r="A64" t="inlineStr">
        <is>
          <t>IP-115, IP-116, IP-117, IP-118, IP-120</t>
        </is>
      </c>
      <c r="B64" t="inlineStr">
        <is>
          <t>35</t>
        </is>
      </c>
      <c r="C64" t="inlineStr">
        <is>
          <t>Comercio, industria y turismo</t>
        </is>
      </c>
      <c r="D64" t="inlineStr">
        <is>
          <t>3502</t>
        </is>
      </c>
      <c r="E64" t="inlineStr">
        <is>
          <t>Productividad y competitividad de las empresas colombianas</t>
        </is>
      </c>
      <c r="F64" t="inlineStr">
        <is>
          <t>3502046</t>
        </is>
      </c>
      <c r="G64" t="inlineStr">
        <is>
          <t>Servicio de promoción turística</t>
        </is>
      </c>
      <c r="H64" t="inlineStr">
        <is>
          <t>Corresponde a campañas de divulgación y promoción de los atractivos turísticos de la zonas, así como las actividades para el posicionamiento de las regiones, departamentos y municipios como destinos turísticos.</t>
        </is>
      </c>
      <c r="I64" t="inlineStr">
        <is>
          <t>2024252950016</t>
        </is>
      </c>
      <c r="J64" s="99">
        <v>1407754950.441</v>
      </c>
      <c r="K64" s="99">
        <v>336311111.1111</v>
      </c>
      <c r="L64" s="99">
        <v>359427244.4445</v>
      </c>
      <c r="M64" s="99">
        <v>333527975.7185</v>
      </c>
      <c r="N64" s="99">
        <v>378488619.1669</v>
      </c>
      <c r="O64" s="99" t="inlineStr">
        <is>
          <t xml:space="preserve"> </t>
        </is>
      </c>
      <c r="P64" s="99" t="inlineStr">
        <is>
          <t xml:space="preserve"> </t>
        </is>
      </c>
      <c r="Q64" s="99" t="inlineStr">
        <is>
          <t xml:space="preserve"> </t>
        </is>
      </c>
      <c r="R64" s="100" t="inlineStr">
        <is>
          <t xml:space="preserve"> </t>
        </is>
      </c>
      <c r="S64" t="inlineStr">
        <is>
          <t>No se encontró ejecución en CUIPO</t>
        </is>
      </c>
      <c r="T64" s="101" t="inlineStr">
        <is>
          <t xml:space="preserve"> </t>
        </is>
      </c>
      <c r="U64" s="101" t="inlineStr">
        <is>
          <t xml:space="preserve"> </t>
        </is>
      </c>
      <c r="V64" s="101" t="inlineStr">
        <is>
          <t xml:space="preserve"> </t>
        </is>
      </c>
      <c r="W64" s="102" t="inlineStr">
        <is>
          <t xml:space="preserve"> </t>
        </is>
      </c>
      <c r="X64" t="inlineStr">
        <is>
          <t>No se encontró ejecución en CUIPO</t>
        </is>
      </c>
    </row>
    <row r="65">
      <c r="A65" t="inlineStr">
        <is>
          <t>IP-119</t>
        </is>
      </c>
      <c r="B65" t="inlineStr">
        <is>
          <t>35</t>
        </is>
      </c>
      <c r="C65" t="inlineStr">
        <is>
          <t>Comercio, industria y turismo</t>
        </is>
      </c>
      <c r="D65" t="inlineStr">
        <is>
          <t>3502</t>
        </is>
      </c>
      <c r="E65" t="inlineStr">
        <is>
          <t>Productividad y competitividad de las empresas colombianas</t>
        </is>
      </c>
      <c r="F65" t="inlineStr">
        <is>
          <t>3502008</t>
        </is>
      </c>
      <c r="G65" t="inlineStr">
        <is>
          <t>Servicio de asistencia técnica para mejorar la competitividad de los sectores productivos</t>
        </is>
      </c>
      <c r="H65" t="inlineStr">
        <is>
          <t>Con este servicio se busca remover cuellos de botella que afecten la competitividad de los sectores productivo de interés para las regiones, específicamente sectores que no están organizados en iniciativas clúster</t>
        </is>
      </c>
      <c r="I65" t="inlineStr">
        <is>
          <t>2024252950016</t>
        </is>
      </c>
      <c r="J65" s="99">
        <v>60681162.1652</v>
      </c>
      <c r="K65" s="99">
        <v>14311111.1111</v>
      </c>
      <c r="L65" s="99">
        <v>14869244.4444</v>
      </c>
      <c r="M65" s="99">
        <v>15449144.9778</v>
      </c>
      <c r="N65" s="99">
        <v>16051661.6319</v>
      </c>
      <c r="O65" s="99" t="inlineStr">
        <is>
          <t xml:space="preserve"> </t>
        </is>
      </c>
      <c r="P65" s="99" t="inlineStr">
        <is>
          <t xml:space="preserve"> </t>
        </is>
      </c>
      <c r="Q65" s="99" t="inlineStr">
        <is>
          <t xml:space="preserve"> </t>
        </is>
      </c>
      <c r="R65" s="100" t="inlineStr">
        <is>
          <t xml:space="preserve"> </t>
        </is>
      </c>
      <c r="S65" t="inlineStr">
        <is>
          <t>No se encontró ejecución en CUIPO</t>
        </is>
      </c>
      <c r="T65" s="101" t="inlineStr">
        <is>
          <t xml:space="preserve"> </t>
        </is>
      </c>
      <c r="U65" s="101" t="inlineStr">
        <is>
          <t xml:space="preserve"> </t>
        </is>
      </c>
      <c r="V65" s="101" t="inlineStr">
        <is>
          <t xml:space="preserve"> </t>
        </is>
      </c>
      <c r="W65" s="102" t="inlineStr">
        <is>
          <t xml:space="preserve"> </t>
        </is>
      </c>
      <c r="X65" t="inlineStr">
        <is>
          <t>No se encontró ejecución en CUIPO</t>
        </is>
      </c>
    </row>
    <row r="66">
      <c r="A66" t="inlineStr">
        <is>
          <t>IP-121</t>
        </is>
      </c>
      <c r="B66" t="inlineStr">
        <is>
          <t>35</t>
        </is>
      </c>
      <c r="C66" t="inlineStr">
        <is>
          <t>Comercio, industria y turismo</t>
        </is>
      </c>
      <c r="D66" t="inlineStr">
        <is>
          <t>3502</t>
        </is>
      </c>
      <c r="E66" t="inlineStr">
        <is>
          <t>Productividad y competitividad de las empresas colombianas</t>
        </is>
      </c>
      <c r="F66" t="inlineStr">
        <is>
          <t>3502012</t>
        </is>
      </c>
      <c r="G66" t="inlineStr">
        <is>
          <t>Servicio de apoyo para la modernización y fomento de la innovación empresarial</t>
        </is>
      </c>
      <c r="H66" t="inlineStr">
        <is>
          <t>Comprende instrumentos financieros y no financieros, de programas, proyectos y actividades para la innovación, el fomento y promoción empresarial. Los no financieros incluyen formación de capacidades, de transferencia de tecnología, de mentalidad y cultura, de profundización de redes y generación de información para el ecosistema de innovación y emprendimiento en Colombia.</t>
        </is>
      </c>
      <c r="I66" t="inlineStr">
        <is>
          <t>2024252950017</t>
        </is>
      </c>
      <c r="J66" s="99">
        <v>151702905.4131</v>
      </c>
      <c r="K66" s="99">
        <v>35777777.7778</v>
      </c>
      <c r="L66" s="99">
        <v>37173111.1111</v>
      </c>
      <c r="M66" s="99">
        <v>38622862.4444</v>
      </c>
      <c r="N66" s="99">
        <v>40129154.0798</v>
      </c>
      <c r="O66" s="99" t="inlineStr">
        <is>
          <t xml:space="preserve"> </t>
        </is>
      </c>
      <c r="P66" s="99" t="inlineStr">
        <is>
          <t xml:space="preserve"> </t>
        </is>
      </c>
      <c r="Q66" s="99" t="inlineStr">
        <is>
          <t xml:space="preserve"> </t>
        </is>
      </c>
      <c r="R66" s="100" t="inlineStr">
        <is>
          <t xml:space="preserve"> </t>
        </is>
      </c>
      <c r="S66" t="inlineStr">
        <is>
          <t>No se encontró ejecución en CUIPO</t>
        </is>
      </c>
      <c r="T66" s="101" t="inlineStr">
        <is>
          <t xml:space="preserve"> </t>
        </is>
      </c>
      <c r="U66" s="101" t="inlineStr">
        <is>
          <t xml:space="preserve"> </t>
        </is>
      </c>
      <c r="V66" s="101" t="inlineStr">
        <is>
          <t xml:space="preserve"> </t>
        </is>
      </c>
      <c r="W66" s="102" t="inlineStr">
        <is>
          <t xml:space="preserve"> </t>
        </is>
      </c>
      <c r="X66" t="inlineStr">
        <is>
          <t>No se encontró ejecución en CUIPO</t>
        </is>
      </c>
    </row>
    <row r="67">
      <c r="A67" t="inlineStr">
        <is>
          <t>IP-122, IP-123, IP-124, IP-125, IP-126, IP-127, IP-128</t>
        </is>
      </c>
      <c r="B67" t="inlineStr">
        <is>
          <t>24</t>
        </is>
      </c>
      <c r="C67" t="inlineStr">
        <is>
          <t>Transporte</t>
        </is>
      </c>
      <c r="D67" t="inlineStr">
        <is>
          <t>2402</t>
        </is>
      </c>
      <c r="E67" t="inlineStr">
        <is>
          <t>Infraestructura red vial regional</t>
        </is>
      </c>
      <c r="F67" t="inlineStr">
        <is>
          <t>2402105</t>
        </is>
      </c>
      <c r="G67" t="inlineStr">
        <is>
          <t>Documentos de lineamientos técnicos</t>
        </is>
      </c>
      <c r="H67" t="inlineStr">
        <is>
          <t>Documentos cuyo objetivo es describir y explicar instrumentos, estándares, requisitos y condiciones necesarias para llevar a cabo un proceso o actividad</t>
        </is>
      </c>
      <c r="I67" t="inlineStr">
        <is>
          <t>2024252950017</t>
        </is>
      </c>
      <c r="J67" s="99">
        <v>1503566947.3718</v>
      </c>
      <c r="K67" s="99">
        <v>351363636.3638</v>
      </c>
      <c r="L67" s="99">
        <v>365066818.1819</v>
      </c>
      <c r="M67" s="99">
        <v>378077695.6819</v>
      </c>
      <c r="N67" s="99">
        <v>409058797.1442</v>
      </c>
      <c r="O67" s="99" t="inlineStr">
        <is>
          <t xml:space="preserve"> </t>
        </is>
      </c>
      <c r="P67" s="99" t="inlineStr">
        <is>
          <t xml:space="preserve"> </t>
        </is>
      </c>
      <c r="Q67" s="99" t="inlineStr">
        <is>
          <t xml:space="preserve"> </t>
        </is>
      </c>
      <c r="R67" s="100" t="inlineStr">
        <is>
          <t xml:space="preserve"> </t>
        </is>
      </c>
      <c r="S67" t="inlineStr">
        <is>
          <t>No se encontró ejecución en CUIPO</t>
        </is>
      </c>
      <c r="T67" s="101" t="inlineStr">
        <is>
          <t xml:space="preserve"> </t>
        </is>
      </c>
      <c r="U67" s="101" t="inlineStr">
        <is>
          <t xml:space="preserve"> </t>
        </is>
      </c>
      <c r="V67" s="101" t="inlineStr">
        <is>
          <t xml:space="preserve"> </t>
        </is>
      </c>
      <c r="W67" s="102" t="inlineStr">
        <is>
          <t xml:space="preserve"> </t>
        </is>
      </c>
      <c r="X67" t="inlineStr">
        <is>
          <t>No se encontró ejecución en CUIPO</t>
        </is>
      </c>
    </row>
    <row r="68">
      <c r="A68" t="inlineStr">
        <is>
          <t>IP-129</t>
        </is>
      </c>
      <c r="B68" t="inlineStr">
        <is>
          <t>24</t>
        </is>
      </c>
      <c r="C68" t="inlineStr">
        <is>
          <t>Transporte</t>
        </is>
      </c>
      <c r="D68" t="inlineStr">
        <is>
          <t>2402</t>
        </is>
      </c>
      <c r="E68" t="inlineStr">
        <is>
          <t>Infraestructura red vial regional</t>
        </is>
      </c>
      <c r="F68" t="inlineStr">
        <is>
          <t>2402033</t>
        </is>
      </c>
      <c r="G68" t="inlineStr">
        <is>
          <t>Ciclo infraestructura construida en red vial secundaria</t>
        </is>
      </c>
      <c r="H68" t="inlineStr">
        <is>
          <t>Incluye la construcción de vías o secciones de la calzada destinada al tránsito de bicicletas en forma exclusiva</t>
        </is>
      </c>
      <c r="I68" t="inlineStr">
        <is>
          <t>2024252950018</t>
        </is>
      </c>
      <c r="J68" s="99">
        <v>163823719.1432</v>
      </c>
      <c r="K68" s="99">
        <v>38636363.6364</v>
      </c>
      <c r="L68" s="99">
        <v>40143181.8182</v>
      </c>
      <c r="M68" s="99">
        <v>41708765.9091</v>
      </c>
      <c r="N68" s="99">
        <v>43335407.7795</v>
      </c>
      <c r="O68" s="99" t="inlineStr">
        <is>
          <t xml:space="preserve"> </t>
        </is>
      </c>
      <c r="P68" s="99" t="inlineStr">
        <is>
          <t xml:space="preserve"> </t>
        </is>
      </c>
      <c r="Q68" s="99" t="inlineStr">
        <is>
          <t xml:space="preserve"> </t>
        </is>
      </c>
      <c r="R68" s="100" t="inlineStr">
        <is>
          <t xml:space="preserve"> </t>
        </is>
      </c>
      <c r="S68" t="inlineStr">
        <is>
          <t>No se encontró ejecución en CUIPO</t>
        </is>
      </c>
      <c r="T68" s="101" t="inlineStr">
        <is>
          <t xml:space="preserve"> </t>
        </is>
      </c>
      <c r="U68" s="101" t="inlineStr">
        <is>
          <t xml:space="preserve"> </t>
        </is>
      </c>
      <c r="V68" s="101" t="inlineStr">
        <is>
          <t xml:space="preserve"> </t>
        </is>
      </c>
      <c r="W68" s="102" t="inlineStr">
        <is>
          <t xml:space="preserve"> </t>
        </is>
      </c>
      <c r="X68" t="inlineStr">
        <is>
          <t>No se encontró ejecución en CUIPO</t>
        </is>
      </c>
    </row>
    <row r="69">
      <c r="A69" t="inlineStr">
        <is>
          <t>IP-130, IP-131, IP-132</t>
        </is>
      </c>
      <c r="B69" t="inlineStr">
        <is>
          <t>24</t>
        </is>
      </c>
      <c r="C69" t="inlineStr">
        <is>
          <t>Transporte</t>
        </is>
      </c>
      <c r="D69" t="inlineStr">
        <is>
          <t>2402</t>
        </is>
      </c>
      <c r="E69" t="inlineStr">
        <is>
          <t>Infraestructura red vial regional</t>
        </is>
      </c>
      <c r="F69" t="inlineStr">
        <is>
          <t>2402006</t>
        </is>
      </c>
      <c r="G69" t="inlineStr">
        <is>
          <t>Vía secundaria mejorada</t>
        </is>
      </c>
      <c r="H69" t="inlineStr">
        <is>
          <t>Incluye la construcción de obras de infraestructura vial en vías de la red vial secundaria que mejoren la prestación del servicio, así como los cambios en una infraestructura de transporte con el propósito de mejorar sus especificaciones técnicas iniciales</t>
        </is>
      </c>
      <c r="I69" t="inlineStr">
        <is>
          <t>2024252950018</t>
        </is>
      </c>
      <c r="J69" s="99">
        <v>3522625838.3723</v>
      </c>
      <c r="K69" s="99">
        <v>802521439.7669</v>
      </c>
      <c r="L69" s="99">
        <v>888819775.9178</v>
      </c>
      <c r="M69" s="99">
        <v>931158664.369</v>
      </c>
      <c r="N69" s="99">
        <v>900125958.3186</v>
      </c>
      <c r="O69" s="99" t="inlineStr">
        <is>
          <t xml:space="preserve"> </t>
        </is>
      </c>
      <c r="P69" s="99" t="inlineStr">
        <is>
          <t xml:space="preserve"> </t>
        </is>
      </c>
      <c r="Q69" s="99" t="inlineStr">
        <is>
          <t xml:space="preserve"> </t>
        </is>
      </c>
      <c r="R69" s="100" t="inlineStr">
        <is>
          <t xml:space="preserve"> </t>
        </is>
      </c>
      <c r="S69" t="inlineStr">
        <is>
          <t>No se encontró ejecución en CUIPO</t>
        </is>
      </c>
      <c r="T69" s="101" t="inlineStr">
        <is>
          <t xml:space="preserve"> </t>
        </is>
      </c>
      <c r="U69" s="101" t="inlineStr">
        <is>
          <t xml:space="preserve"> </t>
        </is>
      </c>
      <c r="V69" s="101" t="inlineStr">
        <is>
          <t xml:space="preserve"> </t>
        </is>
      </c>
      <c r="W69" s="102" t="inlineStr">
        <is>
          <t xml:space="preserve"> </t>
        </is>
      </c>
      <c r="X69" t="inlineStr">
        <is>
          <t>No se encontró ejecución en CUIPO</t>
        </is>
      </c>
    </row>
    <row r="70">
      <c r="A70" t="inlineStr">
        <is>
          <t>IP-133, IP-134, IP-135</t>
        </is>
      </c>
      <c r="B70" t="inlineStr">
        <is>
          <t>24</t>
        </is>
      </c>
      <c r="C70" t="inlineStr">
        <is>
          <t>Transporte</t>
        </is>
      </c>
      <c r="D70" t="inlineStr">
        <is>
          <t>2402</t>
        </is>
      </c>
      <c r="E70" t="inlineStr">
        <is>
          <t>Infraestructura red vial regional</t>
        </is>
      </c>
      <c r="F70" t="inlineStr">
        <is>
          <t>2402105</t>
        </is>
      </c>
      <c r="G70" t="inlineStr">
        <is>
          <t>Documentos de lineamientos técnicos</t>
        </is>
      </c>
      <c r="H70" t="inlineStr">
        <is>
          <t>Documentos cuyo objetivo es describir y explicar instrumentos, estándares, requisitos y condiciones necesarias para llevar a cabo un proceso o actividad</t>
        </is>
      </c>
      <c r="I70" t="inlineStr">
        <is>
          <t>2024252950018</t>
        </is>
      </c>
      <c r="J70" s="99">
        <v>3120944999.108</v>
      </c>
      <c r="K70" s="99">
        <v>746709329.1538</v>
      </c>
      <c r="L70" s="99">
        <v>747877146.837</v>
      </c>
      <c r="M70" s="99">
        <v>806088401.7174</v>
      </c>
      <c r="N70" s="99">
        <v>820270121.3998</v>
      </c>
      <c r="O70" s="99" t="inlineStr">
        <is>
          <t xml:space="preserve"> </t>
        </is>
      </c>
      <c r="P70" s="99" t="inlineStr">
        <is>
          <t xml:space="preserve"> </t>
        </is>
      </c>
      <c r="Q70" s="99" t="inlineStr">
        <is>
          <t xml:space="preserve"> </t>
        </is>
      </c>
      <c r="R70" s="100" t="inlineStr">
        <is>
          <t xml:space="preserve"> </t>
        </is>
      </c>
      <c r="S70" t="inlineStr">
        <is>
          <t>No se encontró ejecución en CUIPO</t>
        </is>
      </c>
      <c r="T70" s="101" t="inlineStr">
        <is>
          <t xml:space="preserve"> </t>
        </is>
      </c>
      <c r="U70" s="101" t="inlineStr">
        <is>
          <t xml:space="preserve"> </t>
        </is>
      </c>
      <c r="V70" s="101" t="inlineStr">
        <is>
          <t xml:space="preserve"> </t>
        </is>
      </c>
      <c r="W70" s="102" t="inlineStr">
        <is>
          <t xml:space="preserve"> </t>
        </is>
      </c>
      <c r="X70" t="inlineStr">
        <is>
          <t>No se encontró ejecución en CUIPO</t>
        </is>
      </c>
    </row>
    <row r="71">
      <c r="A71" t="inlineStr">
        <is>
          <t>IP-136</t>
        </is>
      </c>
      <c r="B71" t="inlineStr">
        <is>
          <t>24</t>
        </is>
      </c>
      <c r="C71" t="inlineStr">
        <is>
          <t>Transporte</t>
        </is>
      </c>
      <c r="D71" t="inlineStr">
        <is>
          <t>2402</t>
        </is>
      </c>
      <c r="E71" t="inlineStr">
        <is>
          <t>Infraestructura red vial regional</t>
        </is>
      </c>
      <c r="F71" t="inlineStr">
        <is>
          <t>2402130</t>
        </is>
      </c>
      <c r="G71" t="inlineStr">
        <is>
          <t>Puente peatonal de la red urbana construido</t>
        </is>
      </c>
      <c r="H71" t="inlineStr">
        <is>
          <t>Incluye la construcción de puentes peatonales en la modalidad de obra nueva.</t>
        </is>
      </c>
      <c r="I71" t="inlineStr">
        <is>
          <t>2024252950018</t>
        </is>
      </c>
      <c r="J71" s="99">
        <v>65232974.1384</v>
      </c>
      <c r="K71" s="99">
        <v>15384615.3846</v>
      </c>
      <c r="L71" s="99">
        <v>15984615.3846</v>
      </c>
      <c r="M71" s="99">
        <v>16608015.3846</v>
      </c>
      <c r="N71" s="99">
        <v>17255727.9846</v>
      </c>
      <c r="O71" s="99" t="inlineStr">
        <is>
          <t xml:space="preserve"> </t>
        </is>
      </c>
      <c r="P71" s="99" t="inlineStr">
        <is>
          <t xml:space="preserve"> </t>
        </is>
      </c>
      <c r="Q71" s="99" t="inlineStr">
        <is>
          <t xml:space="preserve"> </t>
        </is>
      </c>
      <c r="R71" s="100" t="inlineStr">
        <is>
          <t xml:space="preserve"> </t>
        </is>
      </c>
      <c r="S71" t="inlineStr">
        <is>
          <t>No se encontró ejecución en CUIPO</t>
        </is>
      </c>
      <c r="T71" s="101" t="inlineStr">
        <is>
          <t xml:space="preserve"> </t>
        </is>
      </c>
      <c r="U71" s="101" t="inlineStr">
        <is>
          <t xml:space="preserve"> </t>
        </is>
      </c>
      <c r="V71" s="101" t="inlineStr">
        <is>
          <t xml:space="preserve"> </t>
        </is>
      </c>
      <c r="W71" s="102" t="inlineStr">
        <is>
          <t xml:space="preserve"> </t>
        </is>
      </c>
      <c r="X71" t="inlineStr">
        <is>
          <t>No se encontró ejecución en CUIPO</t>
        </is>
      </c>
    </row>
    <row r="72">
      <c r="A72" t="inlineStr">
        <is>
          <t>IP-137</t>
        </is>
      </c>
      <c r="B72" t="inlineStr">
        <is>
          <t>24</t>
        </is>
      </c>
      <c r="C72" t="inlineStr">
        <is>
          <t>Transporte</t>
        </is>
      </c>
      <c r="D72" t="inlineStr">
        <is>
          <t>2402</t>
        </is>
      </c>
      <c r="E72" t="inlineStr">
        <is>
          <t>Infraestructura red vial regional</t>
        </is>
      </c>
      <c r="F72" t="inlineStr">
        <is>
          <t>2402105</t>
        </is>
      </c>
      <c r="G72" t="inlineStr">
        <is>
          <t>Documentos de lineamientos técnicos</t>
        </is>
      </c>
      <c r="H72" t="inlineStr">
        <is>
          <t>Documentos cuyo objetivo es describir y explicar instrumentos, estándares, requisitos y condiciones necesarias para llevar a cabo un proceso o actividad</t>
        </is>
      </c>
      <c r="I72" t="inlineStr">
        <is>
          <t>2024252950019</t>
        </is>
      </c>
      <c r="J72" s="99">
        <v>65232974.1384</v>
      </c>
      <c r="K72" s="99">
        <v>15384615.3846</v>
      </c>
      <c r="L72" s="99">
        <v>15984615.3846</v>
      </c>
      <c r="M72" s="99">
        <v>16608015.3846</v>
      </c>
      <c r="N72" s="99">
        <v>17255727.9846</v>
      </c>
      <c r="O72" s="99" t="inlineStr">
        <is>
          <t xml:space="preserve"> </t>
        </is>
      </c>
      <c r="P72" s="99" t="inlineStr">
        <is>
          <t xml:space="preserve"> </t>
        </is>
      </c>
      <c r="Q72" s="99" t="inlineStr">
        <is>
          <t xml:space="preserve"> </t>
        </is>
      </c>
      <c r="R72" s="100" t="inlineStr">
        <is>
          <t xml:space="preserve"> </t>
        </is>
      </c>
      <c r="S72" t="inlineStr">
        <is>
          <t>No se encontró ejecución en CUIPO</t>
        </is>
      </c>
      <c r="T72" s="101" t="inlineStr">
        <is>
          <t xml:space="preserve"> </t>
        </is>
      </c>
      <c r="U72" s="101" t="inlineStr">
        <is>
          <t xml:space="preserve"> </t>
        </is>
      </c>
      <c r="V72" s="101" t="inlineStr">
        <is>
          <t xml:space="preserve"> </t>
        </is>
      </c>
      <c r="W72" s="102" t="inlineStr">
        <is>
          <t xml:space="preserve"> </t>
        </is>
      </c>
      <c r="X72" t="inlineStr">
        <is>
          <t>No se encontró ejecución en CUIPO</t>
        </is>
      </c>
    </row>
    <row r="73">
      <c r="A73" t="inlineStr">
        <is>
          <t>IP-138, IP-139, IP-141</t>
        </is>
      </c>
      <c r="B73" t="inlineStr">
        <is>
          <t>40</t>
        </is>
      </c>
      <c r="C73" t="inlineStr">
        <is>
          <t>Vivienda, ciudad y territorio</t>
        </is>
      </c>
      <c r="D73" t="inlineStr">
        <is>
          <t>4002</t>
        </is>
      </c>
      <c r="E73" t="inlineStr">
        <is>
          <t>Ordenamiento territorial y desarrollo urbano</t>
        </is>
      </c>
      <c r="F73" t="inlineStr">
        <is>
          <t>4002001</t>
        </is>
      </c>
      <c r="G73" t="inlineStr">
        <is>
          <t>Servicios de asistencia técnica en planificación urbana y ordenamiento territorial</t>
        </is>
      </c>
      <c r="H73" t="inlineStr">
        <is>
          <t>Asistencia técnica realizada por Nación o Departamentos  ,en formulación, revisión, ajuste, evaluación y/o implementación de planes de ordenamiento territorial (Para municipios: POT, PBOT y EOT), plan de ordenamiento Departamental o plan Metropolitano de ordenamiento territorial.</t>
        </is>
      </c>
      <c r="I73" t="inlineStr">
        <is>
          <t>2024252950019</t>
        </is>
      </c>
      <c r="J73" s="99">
        <v>466150222.4176</v>
      </c>
      <c r="K73" s="99">
        <v>110400000</v>
      </c>
      <c r="L73" s="99">
        <v>111744000</v>
      </c>
      <c r="M73" s="99">
        <v>119179118.4</v>
      </c>
      <c r="N73" s="99">
        <v>124827104.0176</v>
      </c>
      <c r="O73" s="99" t="inlineStr">
        <is>
          <t xml:space="preserve"> </t>
        </is>
      </c>
      <c r="P73" s="99" t="inlineStr">
        <is>
          <t xml:space="preserve"> </t>
        </is>
      </c>
      <c r="Q73" s="99" t="inlineStr">
        <is>
          <t xml:space="preserve"> </t>
        </is>
      </c>
      <c r="R73" s="100" t="inlineStr">
        <is>
          <t xml:space="preserve"> </t>
        </is>
      </c>
      <c r="S73" t="inlineStr">
        <is>
          <t>No se encontró ejecución en CUIPO</t>
        </is>
      </c>
      <c r="T73" s="101" t="inlineStr">
        <is>
          <t xml:space="preserve"> </t>
        </is>
      </c>
      <c r="U73" s="101" t="inlineStr">
        <is>
          <t xml:space="preserve"> </t>
        </is>
      </c>
      <c r="V73" s="101" t="inlineStr">
        <is>
          <t xml:space="preserve"> </t>
        </is>
      </c>
      <c r="W73" s="102" t="inlineStr">
        <is>
          <t xml:space="preserve"> </t>
        </is>
      </c>
      <c r="X73" t="inlineStr">
        <is>
          <t>No se encontró ejecución en CUIPO</t>
        </is>
      </c>
    </row>
    <row r="74">
      <c r="A74" t="inlineStr">
        <is>
          <t>IP-140, IP-142</t>
        </is>
      </c>
      <c r="B74" t="inlineStr">
        <is>
          <t>32</t>
        </is>
      </c>
      <c r="C74" t="inlineStr">
        <is>
          <t>Ambiente y desarrollo sostenible</t>
        </is>
      </c>
      <c r="D74" t="inlineStr">
        <is>
          <t>3204</t>
        </is>
      </c>
      <c r="E74" t="inlineStr">
        <is>
          <t>Gestión de la información y el conocimiento ambiental</t>
        </is>
      </c>
      <c r="F74" t="inlineStr">
        <is>
          <t>3204002</t>
        </is>
      </c>
      <c r="G74" t="inlineStr">
        <is>
          <t>Documentos diagnóstico para la gestión de la información y el conocimiento ambiental</t>
        </is>
      </c>
      <c r="H74" t="inlineStr">
        <is>
          <t xml:space="preserve">Incluye la elaboración de documentos que caracterizan y valoran el estado de la información de los recursos naturales y la biodiversidad. </t>
        </is>
      </c>
      <c r="I74" t="inlineStr">
        <is>
          <t>2024252950019</t>
        </is>
      </c>
      <c r="J74" s="99">
        <v>47705375.8624</v>
      </c>
      <c r="K74" s="99">
        <v>9600000</v>
      </c>
      <c r="L74" s="99">
        <v>14974400</v>
      </c>
      <c r="M74" s="99">
        <v>10363401.6</v>
      </c>
      <c r="N74" s="99">
        <v>12767574.2624</v>
      </c>
      <c r="O74" s="99" t="inlineStr">
        <is>
          <t xml:space="preserve"> </t>
        </is>
      </c>
      <c r="P74" s="99" t="inlineStr">
        <is>
          <t xml:space="preserve"> </t>
        </is>
      </c>
      <c r="Q74" s="99" t="inlineStr">
        <is>
          <t xml:space="preserve"> </t>
        </is>
      </c>
      <c r="R74" s="100" t="inlineStr">
        <is>
          <t xml:space="preserve"> </t>
        </is>
      </c>
      <c r="S74" t="inlineStr">
        <is>
          <t>No se encontró ejecución en CUIPO</t>
        </is>
      </c>
      <c r="T74" s="101" t="inlineStr">
        <is>
          <t xml:space="preserve"> </t>
        </is>
      </c>
      <c r="U74" s="101" t="inlineStr">
        <is>
          <t xml:space="preserve"> </t>
        </is>
      </c>
      <c r="V74" s="101" t="inlineStr">
        <is>
          <t xml:space="preserve"> </t>
        </is>
      </c>
      <c r="W74" s="102" t="inlineStr">
        <is>
          <t xml:space="preserve"> </t>
        </is>
      </c>
      <c r="X74" t="inlineStr">
        <is>
          <t>No se encontró ejecución en CUIPO</t>
        </is>
      </c>
    </row>
    <row r="75">
      <c r="A75" t="inlineStr">
        <is>
          <t>IP-143</t>
        </is>
      </c>
      <c r="B75" t="inlineStr">
        <is>
          <t>32</t>
        </is>
      </c>
      <c r="C75" t="inlineStr">
        <is>
          <t>Ambiente y desarrollo sostenible</t>
        </is>
      </c>
      <c r="D75" t="inlineStr">
        <is>
          <t>3204</t>
        </is>
      </c>
      <c r="E75" t="inlineStr">
        <is>
          <t>Gestión de la información y el conocimiento ambiental</t>
        </is>
      </c>
      <c r="F75" t="inlineStr">
        <is>
          <t>3204002</t>
        </is>
      </c>
      <c r="G75" t="inlineStr">
        <is>
          <t>Documentos diagnóstico para la gestión de la información y el conocimiento ambiental</t>
        </is>
      </c>
      <c r="H75" t="inlineStr">
        <is>
          <t xml:space="preserve">Incluye la elaboración de documentos que caracterizan y valoran el estado de la información de los recursos naturales y la biodiversidad. </t>
        </is>
      </c>
      <c r="I75" t="inlineStr">
        <is>
          <t>2024252950020</t>
        </is>
      </c>
      <c r="J75" s="99">
        <v>5000000</v>
      </c>
      <c r="K75" s="99">
        <v>0</v>
      </c>
      <c r="L75" s="99">
        <v>0</v>
      </c>
      <c r="M75" s="99">
        <v>0</v>
      </c>
      <c r="N75" s="99">
        <v>5000000</v>
      </c>
      <c r="O75" s="99" t="inlineStr">
        <is>
          <t xml:space="preserve"> </t>
        </is>
      </c>
      <c r="P75" s="99" t="inlineStr">
        <is>
          <t xml:space="preserve"> </t>
        </is>
      </c>
      <c r="Q75" s="99" t="inlineStr">
        <is>
          <t xml:space="preserve"> </t>
        </is>
      </c>
      <c r="R75" s="100" t="inlineStr">
        <is>
          <t xml:space="preserve"> </t>
        </is>
      </c>
      <c r="S75" t="inlineStr">
        <is>
          <t>No se encontró ejecución en CUIPO</t>
        </is>
      </c>
      <c r="T75" s="101" t="inlineStr">
        <is>
          <t xml:space="preserve"> </t>
        </is>
      </c>
      <c r="U75" s="101" t="inlineStr">
        <is>
          <t xml:space="preserve"> </t>
        </is>
      </c>
      <c r="V75" s="101" t="inlineStr">
        <is>
          <t xml:space="preserve"> </t>
        </is>
      </c>
      <c r="W75" s="102" t="inlineStr">
        <is>
          <t xml:space="preserve"> </t>
        </is>
      </c>
      <c r="X75" t="inlineStr">
        <is>
          <t>No se encontró ejecución en CUIPO</t>
        </is>
      </c>
    </row>
    <row r="76">
      <c r="A76" t="inlineStr">
        <is>
          <t>IP-144</t>
        </is>
      </c>
      <c r="B76" t="inlineStr">
        <is>
          <t>40</t>
        </is>
      </c>
      <c r="C76" t="inlineStr">
        <is>
          <t>Vivienda, ciudad y territorio</t>
        </is>
      </c>
      <c r="D76" t="inlineStr">
        <is>
          <t>4003</t>
        </is>
      </c>
      <c r="E76" t="inlineStr">
        <is>
          <t>Acceso de la población a los servicios de agua potable y saneamiento básico</t>
        </is>
      </c>
      <c r="F76" t="inlineStr">
        <is>
          <t>4003006</t>
        </is>
      </c>
      <c r="G76" t="inlineStr">
        <is>
          <t>Documentos de planeación</t>
        </is>
      </c>
      <c r="H76" t="inlineStr">
        <is>
          <t>Documentos cuyo objetivo es plasmar una visión de futuro a nivel país, entidad territorial, comunidad, sector, región, entidad o cualquier nivel de desagregación que se requiera. Incluye objetivos, estrategias, metas e indicadores</t>
        </is>
      </c>
      <c r="I76" t="inlineStr">
        <is>
          <t>2024252950020</t>
        </is>
      </c>
      <c r="J76" s="99">
        <v>266155667.0713</v>
      </c>
      <c r="K76" s="99">
        <v>62770441.244</v>
      </c>
      <c r="L76" s="99">
        <v>65218488.4525</v>
      </c>
      <c r="M76" s="99">
        <v>67762009.5021</v>
      </c>
      <c r="N76" s="99">
        <v>70404727.8727</v>
      </c>
      <c r="O76" s="99" t="inlineStr">
        <is>
          <t xml:space="preserve"> </t>
        </is>
      </c>
      <c r="P76" s="99" t="inlineStr">
        <is>
          <t xml:space="preserve"> </t>
        </is>
      </c>
      <c r="Q76" s="99" t="inlineStr">
        <is>
          <t xml:space="preserve"> </t>
        </is>
      </c>
      <c r="R76" s="100" t="inlineStr">
        <is>
          <t xml:space="preserve"> </t>
        </is>
      </c>
      <c r="S76" t="inlineStr">
        <is>
          <t>No se encontró ejecución en CUIPO</t>
        </is>
      </c>
      <c r="T76" s="101" t="inlineStr">
        <is>
          <t xml:space="preserve"> </t>
        </is>
      </c>
      <c r="U76" s="101" t="inlineStr">
        <is>
          <t xml:space="preserve"> </t>
        </is>
      </c>
      <c r="V76" s="101" t="inlineStr">
        <is>
          <t xml:space="preserve"> </t>
        </is>
      </c>
      <c r="W76" s="102" t="inlineStr">
        <is>
          <t xml:space="preserve"> </t>
        </is>
      </c>
      <c r="X76" t="inlineStr">
        <is>
          <t>No se encontró ejecución en CUIPO</t>
        </is>
      </c>
    </row>
    <row r="77">
      <c r="A77" t="inlineStr">
        <is>
          <t>IP-145</t>
        </is>
      </c>
      <c r="B77" t="inlineStr">
        <is>
          <t>40</t>
        </is>
      </c>
      <c r="C77" t="inlineStr">
        <is>
          <t>Vivienda, ciudad y territorio</t>
        </is>
      </c>
      <c r="D77" t="inlineStr">
        <is>
          <t>4003</t>
        </is>
      </c>
      <c r="E77" t="inlineStr">
        <is>
          <t>Acceso de la población a los servicios de agua potable y saneamiento básico</t>
        </is>
      </c>
      <c r="F77" t="inlineStr">
        <is>
          <t>4003025</t>
        </is>
      </c>
      <c r="G77" t="inlineStr">
        <is>
          <t>Servicios de apoyo financiero para la ejecución de proyectos de acueductos y alcantarillado</t>
        </is>
      </c>
      <c r="H77" t="inlineStr">
        <is>
          <t/>
        </is>
      </c>
      <c r="I77" t="inlineStr">
        <is>
          <t>2024252950020</t>
        </is>
      </c>
      <c r="J77" s="99">
        <v>3000000</v>
      </c>
      <c r="K77" s="99">
        <v>0</v>
      </c>
      <c r="L77" s="99">
        <v>3000000</v>
      </c>
      <c r="M77" s="99">
        <v>0</v>
      </c>
      <c r="N77" s="99">
        <v>0</v>
      </c>
      <c r="O77" s="99" t="inlineStr">
        <is>
          <t xml:space="preserve"> </t>
        </is>
      </c>
      <c r="P77" s="99" t="inlineStr">
        <is>
          <t xml:space="preserve"> </t>
        </is>
      </c>
      <c r="Q77" s="99" t="inlineStr">
        <is>
          <t xml:space="preserve"> </t>
        </is>
      </c>
      <c r="R77" s="100" t="inlineStr">
        <is>
          <t xml:space="preserve"> </t>
        </is>
      </c>
      <c r="S77" t="inlineStr">
        <is>
          <t>No se encontró ejecución en CUIPO</t>
        </is>
      </c>
      <c r="T77" s="101" t="inlineStr">
        <is>
          <t xml:space="preserve"> </t>
        </is>
      </c>
      <c r="U77" s="101" t="inlineStr">
        <is>
          <t xml:space="preserve"> </t>
        </is>
      </c>
      <c r="V77" s="101" t="inlineStr">
        <is>
          <t xml:space="preserve"> </t>
        </is>
      </c>
      <c r="W77" s="102" t="inlineStr">
        <is>
          <t xml:space="preserve"> </t>
        </is>
      </c>
      <c r="X77" t="inlineStr">
        <is>
          <t>No se encontró ejecución en CUIPO</t>
        </is>
      </c>
    </row>
    <row r="78">
      <c r="A78" t="inlineStr">
        <is>
          <t>IP-146</t>
        </is>
      </c>
      <c r="B78" t="inlineStr">
        <is>
          <t>40</t>
        </is>
      </c>
      <c r="C78" t="inlineStr">
        <is>
          <t>Vivienda, ciudad y territorio</t>
        </is>
      </c>
      <c r="D78" t="inlineStr">
        <is>
          <t>4003</t>
        </is>
      </c>
      <c r="E78" t="inlineStr">
        <is>
          <t>Acceso de la población a los servicios de agua potable y saneamiento básico</t>
        </is>
      </c>
      <c r="F78" t="inlineStr">
        <is>
          <t>4003041</t>
        </is>
      </c>
      <c r="G78" t="inlineStr">
        <is>
          <t>Servicio de regulación en Agua Potable y Saneamiento Básico</t>
        </is>
      </c>
      <c r="H78" t="inlineStr">
        <is>
          <t>Es el conjunto de actividades que permiten la expedición de la regulación de carácter general y particular en agua potable y saneamiento básico, basado en el conocimiento jurídico y técnico de la entidad.</t>
        </is>
      </c>
      <c r="I78" t="inlineStr">
        <is>
          <t>2024252950020</t>
        </is>
      </c>
      <c r="J78" s="99">
        <v>2449770391.8844</v>
      </c>
      <c r="K78" s="99">
        <v>577756506.698</v>
      </c>
      <c r="L78" s="99">
        <v>600289010.4592</v>
      </c>
      <c r="M78" s="99">
        <v>623700281.8672</v>
      </c>
      <c r="N78" s="99">
        <v>648024592.86</v>
      </c>
      <c r="O78" s="99" t="inlineStr">
        <is>
          <t xml:space="preserve"> </t>
        </is>
      </c>
      <c r="P78" s="99" t="inlineStr">
        <is>
          <t xml:space="preserve"> </t>
        </is>
      </c>
      <c r="Q78" s="99" t="inlineStr">
        <is>
          <t xml:space="preserve"> </t>
        </is>
      </c>
      <c r="R78" s="100" t="inlineStr">
        <is>
          <t xml:space="preserve"> </t>
        </is>
      </c>
      <c r="S78" t="inlineStr">
        <is>
          <t>No se encontró ejecución en CUIPO</t>
        </is>
      </c>
      <c r="T78" s="101" t="inlineStr">
        <is>
          <t xml:space="preserve"> </t>
        </is>
      </c>
      <c r="U78" s="101" t="inlineStr">
        <is>
          <t xml:space="preserve"> </t>
        </is>
      </c>
      <c r="V78" s="101" t="inlineStr">
        <is>
          <t xml:space="preserve"> </t>
        </is>
      </c>
      <c r="W78" s="102" t="inlineStr">
        <is>
          <t xml:space="preserve"> </t>
        </is>
      </c>
      <c r="X78" t="inlineStr">
        <is>
          <t>No se encontró ejecución en CUIPO</t>
        </is>
      </c>
    </row>
    <row r="79">
      <c r="A79" t="inlineStr">
        <is>
          <t>IP-147</t>
        </is>
      </c>
      <c r="B79" t="inlineStr">
        <is>
          <t>40</t>
        </is>
      </c>
      <c r="C79" t="inlineStr">
        <is>
          <t>Vivienda, ciudad y territorio</t>
        </is>
      </c>
      <c r="D79" t="inlineStr">
        <is>
          <t>4003</t>
        </is>
      </c>
      <c r="E79" t="inlineStr">
        <is>
          <t>Acceso de la población a los servicios de agua potable y saneamiento básico</t>
        </is>
      </c>
      <c r="F79" t="inlineStr">
        <is>
          <t>4003025</t>
        </is>
      </c>
      <c r="G79" t="inlineStr">
        <is>
          <t>Servicios de apoyo financiero para la ejecución de proyectos de acueductos y alcantarillado</t>
        </is>
      </c>
      <c r="H79" t="inlineStr">
        <is>
          <t/>
        </is>
      </c>
      <c r="I79" t="inlineStr">
        <is>
          <t>2024252950021</t>
        </is>
      </c>
      <c r="J79" s="99">
        <v>2449770391.8844</v>
      </c>
      <c r="K79" s="99">
        <v>577756506.698</v>
      </c>
      <c r="L79" s="99">
        <v>600289010.4592</v>
      </c>
      <c r="M79" s="99">
        <v>623700281.8672</v>
      </c>
      <c r="N79" s="99">
        <v>648024592.86</v>
      </c>
      <c r="O79" s="99" t="inlineStr">
        <is>
          <t xml:space="preserve"> </t>
        </is>
      </c>
      <c r="P79" s="99" t="inlineStr">
        <is>
          <t xml:space="preserve"> </t>
        </is>
      </c>
      <c r="Q79" s="99" t="inlineStr">
        <is>
          <t xml:space="preserve"> </t>
        </is>
      </c>
      <c r="R79" s="100" t="inlineStr">
        <is>
          <t xml:space="preserve"> </t>
        </is>
      </c>
      <c r="S79" t="inlineStr">
        <is>
          <t>No se encontró ejecución en CUIPO</t>
        </is>
      </c>
      <c r="T79" s="101" t="inlineStr">
        <is>
          <t xml:space="preserve"> </t>
        </is>
      </c>
      <c r="U79" s="101" t="inlineStr">
        <is>
          <t xml:space="preserve"> </t>
        </is>
      </c>
      <c r="V79" s="101" t="inlineStr">
        <is>
          <t xml:space="preserve"> </t>
        </is>
      </c>
      <c r="W79" s="102" t="inlineStr">
        <is>
          <t xml:space="preserve"> </t>
        </is>
      </c>
      <c r="X79" t="inlineStr">
        <is>
          <t>No se encontró ejecución en CUIPO</t>
        </is>
      </c>
    </row>
    <row r="80">
      <c r="A80" t="inlineStr">
        <is>
          <t>IP-148, IP-151</t>
        </is>
      </c>
      <c r="B80" t="inlineStr">
        <is>
          <t>17</t>
        </is>
      </c>
      <c r="C80" t="inlineStr">
        <is>
          <t xml:space="preserve">Agricultura y desarrollo rural
</t>
        </is>
      </c>
      <c r="D80" t="inlineStr">
        <is>
          <t>1702</t>
        </is>
      </c>
      <c r="E80" t="inlineStr">
        <is>
          <t>Inclusión productiva de pequeños productores rurales</t>
        </is>
      </c>
      <c r="F80" t="inlineStr">
        <is>
          <t>1702010</t>
        </is>
      </c>
      <c r="G80" t="inlineStr">
        <is>
          <t>Servicio de asistencia técnica agropecuaria dirigida a pequeños productores</t>
        </is>
      </c>
      <c r="H80" t="inlineStr">
        <is>
          <t>Atención integral a productores agrícolas, pecuarios, forestales y acuícolas o pesqueros en: Aptitud de suelos; Tecnologías y recursos para actividad productiva; Procedimientos para acceder al financiamiento; Mercadeo; organización de productores y Dotación de infraestructura productiva. Pequeño Productor:se dedica a actividad agropecuaria, pesquera, acuícola cuyos activos NO superen los 200 SMMLV</t>
        </is>
      </c>
      <c r="I80" t="inlineStr">
        <is>
          <t>2024252950021</t>
        </is>
      </c>
      <c r="J80" s="99">
        <v>288960328.8565</v>
      </c>
      <c r="K80" s="99">
        <v>94510517.6544</v>
      </c>
      <c r="L80" s="99">
        <v>98196427.8429</v>
      </c>
      <c r="M80" s="99">
        <v>47206171.3385</v>
      </c>
      <c r="N80" s="99">
        <v>49047212.0207</v>
      </c>
      <c r="O80" s="99" t="inlineStr">
        <is>
          <t xml:space="preserve"> </t>
        </is>
      </c>
      <c r="P80" s="99" t="inlineStr">
        <is>
          <t xml:space="preserve"> </t>
        </is>
      </c>
      <c r="Q80" s="99" t="inlineStr">
        <is>
          <t xml:space="preserve"> </t>
        </is>
      </c>
      <c r="R80" s="100" t="inlineStr">
        <is>
          <t xml:space="preserve"> </t>
        </is>
      </c>
      <c r="S80" t="inlineStr">
        <is>
          <t>No se encontró ejecución en CUIPO</t>
        </is>
      </c>
      <c r="T80" s="101" t="inlineStr">
        <is>
          <t xml:space="preserve"> </t>
        </is>
      </c>
      <c r="U80" s="101" t="inlineStr">
        <is>
          <t xml:space="preserve"> </t>
        </is>
      </c>
      <c r="V80" s="101" t="inlineStr">
        <is>
          <t xml:space="preserve"> </t>
        </is>
      </c>
      <c r="W80" s="102" t="inlineStr">
        <is>
          <t xml:space="preserve"> </t>
        </is>
      </c>
      <c r="X80" t="inlineStr">
        <is>
          <t>No se encontró ejecución en CUIPO</t>
        </is>
      </c>
    </row>
    <row r="81">
      <c r="A81" t="inlineStr">
        <is>
          <t>IP-149, IP-153</t>
        </is>
      </c>
      <c r="B81" t="inlineStr">
        <is>
          <t>17</t>
        </is>
      </c>
      <c r="C81" t="inlineStr">
        <is>
          <t xml:space="preserve">Agricultura y desarrollo rural
</t>
        </is>
      </c>
      <c r="D81" t="inlineStr">
        <is>
          <t>1702</t>
        </is>
      </c>
      <c r="E81" t="inlineStr">
        <is>
          <t>Inclusión productiva de pequeños productores rurales</t>
        </is>
      </c>
      <c r="F81" t="inlineStr">
        <is>
          <t>1702041</t>
        </is>
      </c>
      <c r="G81" t="inlineStr">
        <is>
          <t>Documentos de evaluación</t>
        </is>
      </c>
      <c r="H81" t="inlineStr">
        <is>
          <t>Documentos técnicos mediante los cuales se realiza seguimiento y el análisis de resultados e impactos de una política pública  a través de indicadores,  índices y tasas y otras herramientas técnicas para la toma de decisiones.</t>
        </is>
      </c>
      <c r="I81" t="inlineStr">
        <is>
          <t>2024252950021</t>
        </is>
      </c>
      <c r="J81" s="99">
        <v>155322682.4191</v>
      </c>
      <c r="K81" s="99">
        <v>42004674.513</v>
      </c>
      <c r="L81" s="99">
        <v>43642856.819</v>
      </c>
      <c r="M81" s="99">
        <v>45344928.2352</v>
      </c>
      <c r="N81" s="99">
        <v>24330222.8519</v>
      </c>
      <c r="O81" s="99" t="inlineStr">
        <is>
          <t xml:space="preserve"> </t>
        </is>
      </c>
      <c r="P81" s="99" t="inlineStr">
        <is>
          <t xml:space="preserve"> </t>
        </is>
      </c>
      <c r="Q81" s="99" t="inlineStr">
        <is>
          <t xml:space="preserve"> </t>
        </is>
      </c>
      <c r="R81" s="100" t="inlineStr">
        <is>
          <t xml:space="preserve"> </t>
        </is>
      </c>
      <c r="S81" t="inlineStr">
        <is>
          <t>No se encontró ejecución en CUIPO</t>
        </is>
      </c>
      <c r="T81" s="101" t="inlineStr">
        <is>
          <t xml:space="preserve"> </t>
        </is>
      </c>
      <c r="U81" s="101" t="inlineStr">
        <is>
          <t xml:space="preserve"> </t>
        </is>
      </c>
      <c r="V81" s="101" t="inlineStr">
        <is>
          <t xml:space="preserve"> </t>
        </is>
      </c>
      <c r="W81" s="102" t="inlineStr">
        <is>
          <t xml:space="preserve"> </t>
        </is>
      </c>
      <c r="X81" t="inlineStr">
        <is>
          <t>No se encontró ejecución en CUIPO</t>
        </is>
      </c>
    </row>
    <row r="82">
      <c r="A82" t="inlineStr">
        <is>
          <t>IP-150</t>
        </is>
      </c>
      <c r="B82" t="inlineStr">
        <is>
          <t>17</t>
        </is>
      </c>
      <c r="C82" t="inlineStr">
        <is>
          <t xml:space="preserve">Agricultura y desarrollo rural
</t>
        </is>
      </c>
      <c r="D82" t="inlineStr">
        <is>
          <t>1702</t>
        </is>
      </c>
      <c r="E82" t="inlineStr">
        <is>
          <t>Inclusión productiva de pequeños productores rurales</t>
        </is>
      </c>
      <c r="F82" t="inlineStr">
        <is>
          <t>1702007</t>
        </is>
      </c>
      <c r="G82" t="inlineStr">
        <is>
          <t>Servicio de apoyo financiero para proyectos productivos</t>
        </is>
      </c>
      <c r="H82" t="inlineStr">
        <is>
          <t>Subsidio o cofinanciación para el establecimiento o fortalecimiento de proyectos productivos agropecuarios.</t>
        </is>
      </c>
      <c r="I82" t="inlineStr">
        <is>
          <t>2024252950021</t>
        </is>
      </c>
      <c r="J82" s="99">
        <v>222632300.0042</v>
      </c>
      <c r="K82" s="99">
        <v>52505843.1413</v>
      </c>
      <c r="L82" s="99">
        <v>54553571.0238</v>
      </c>
      <c r="M82" s="99">
        <v>56681160.2938</v>
      </c>
      <c r="N82" s="99">
        <v>58891725.5453</v>
      </c>
      <c r="O82" s="99" t="inlineStr">
        <is>
          <t xml:space="preserve"> </t>
        </is>
      </c>
      <c r="P82" s="99" t="inlineStr">
        <is>
          <t xml:space="preserve"> </t>
        </is>
      </c>
      <c r="Q82" s="99" t="inlineStr">
        <is>
          <t xml:space="preserve"> </t>
        </is>
      </c>
      <c r="R82" s="100" t="inlineStr">
        <is>
          <t xml:space="preserve"> </t>
        </is>
      </c>
      <c r="S82" t="inlineStr">
        <is>
          <t>No se encontró ejecución en CUIPO</t>
        </is>
      </c>
      <c r="T82" s="101" t="inlineStr">
        <is>
          <t xml:space="preserve"> </t>
        </is>
      </c>
      <c r="U82" s="101" t="inlineStr">
        <is>
          <t xml:space="preserve"> </t>
        </is>
      </c>
      <c r="V82" s="101" t="inlineStr">
        <is>
          <t xml:space="preserve"> </t>
        </is>
      </c>
      <c r="W82" s="102" t="inlineStr">
        <is>
          <t xml:space="preserve"> </t>
        </is>
      </c>
      <c r="X82" t="inlineStr">
        <is>
          <t>No se encontró ejecución en CUIPO</t>
        </is>
      </c>
    </row>
    <row r="83">
      <c r="A83" t="inlineStr">
        <is>
          <t>IP-152</t>
        </is>
      </c>
      <c r="B83" t="inlineStr">
        <is>
          <t>17</t>
        </is>
      </c>
      <c r="C83" t="inlineStr">
        <is>
          <t xml:space="preserve">Agricultura y desarrollo rural
</t>
        </is>
      </c>
      <c r="D83" t="inlineStr">
        <is>
          <t>1702</t>
        </is>
      </c>
      <c r="E83" t="inlineStr">
        <is>
          <t>Inclusión productiva de pequeños productores rurales</t>
        </is>
      </c>
      <c r="F83" t="inlineStr">
        <is>
          <t>1702025</t>
        </is>
      </c>
      <c r="G83" t="inlineStr">
        <is>
          <t>Servicio de apoyo en la formulación y estructuración de proyectos</t>
        </is>
      </c>
      <c r="H83" t="inlineStr">
        <is>
          <t>Acompañamiento a los diferentes esquemas asociativos en la estructuración de Proyectos integrales de desarrollo agropecuario y rural de tipo estratégicos, territoriales y asociativos priorizados.</t>
        </is>
      </c>
      <c r="I83" t="inlineStr">
        <is>
          <t>2024252950021</t>
        </is>
      </c>
      <c r="J83" s="99">
        <v>132539524.8349</v>
      </c>
      <c r="K83" s="99">
        <v>42004674.5131</v>
      </c>
      <c r="L83" s="99">
        <v>43642856.8191</v>
      </c>
      <c r="M83" s="99">
        <v>45344928.2351</v>
      </c>
      <c r="N83" s="99">
        <v>1547065.2676</v>
      </c>
      <c r="O83" s="99" t="inlineStr">
        <is>
          <t xml:space="preserve"> </t>
        </is>
      </c>
      <c r="P83" s="99" t="inlineStr">
        <is>
          <t xml:space="preserve"> </t>
        </is>
      </c>
      <c r="Q83" s="99" t="inlineStr">
        <is>
          <t xml:space="preserve"> </t>
        </is>
      </c>
      <c r="R83" s="100" t="inlineStr">
        <is>
          <t xml:space="preserve"> </t>
        </is>
      </c>
      <c r="S83" t="inlineStr">
        <is>
          <t>No se encontró ejecución en CUIPO</t>
        </is>
      </c>
      <c r="T83" s="101" t="inlineStr">
        <is>
          <t xml:space="preserve"> </t>
        </is>
      </c>
      <c r="U83" s="101" t="inlineStr">
        <is>
          <t xml:space="preserve"> </t>
        </is>
      </c>
      <c r="V83" s="101" t="inlineStr">
        <is>
          <t xml:space="preserve"> </t>
        </is>
      </c>
      <c r="W83" s="102" t="inlineStr">
        <is>
          <t xml:space="preserve"> </t>
        </is>
      </c>
      <c r="X83" t="inlineStr">
        <is>
          <t>No se encontró ejecución en CUIPO</t>
        </is>
      </c>
    </row>
    <row r="84">
      <c r="A84" t="inlineStr">
        <is>
          <t>IP-154</t>
        </is>
      </c>
      <c r="B84" t="inlineStr">
        <is>
          <t>17</t>
        </is>
      </c>
      <c r="C84" t="inlineStr">
        <is>
          <t xml:space="preserve">Agricultura y desarrollo rural
</t>
        </is>
      </c>
      <c r="D84" t="inlineStr">
        <is>
          <t>1702</t>
        </is>
      </c>
      <c r="E84" t="inlineStr">
        <is>
          <t>Inclusión productiva de pequeños productores rurales</t>
        </is>
      </c>
      <c r="F84" t="inlineStr">
        <is>
          <t>1702038</t>
        </is>
      </c>
      <c r="G84" t="inlineStr">
        <is>
          <t>Servicio de apoyo a la comercialización</t>
        </is>
      </c>
      <c r="H84" t="inlineStr">
        <is>
          <t>Consiste en el acompañamiento para la  identificación de apoyos específicos, la adquisición de competencias comerciales y  en casos requeridos, la inserción o consolidación en  encadenamientos comerciales.</t>
        </is>
      </c>
      <c r="I84" t="inlineStr">
        <is>
          <t>2024252950021</t>
        </is>
      </c>
      <c r="J84" s="99">
        <v>222632300.0042</v>
      </c>
      <c r="K84" s="99">
        <v>52505843.1413</v>
      </c>
      <c r="L84" s="99">
        <v>54553571.0238</v>
      </c>
      <c r="M84" s="99">
        <v>56681160.2938</v>
      </c>
      <c r="N84" s="99">
        <v>58891725.5453</v>
      </c>
      <c r="O84" s="99" t="inlineStr">
        <is>
          <t xml:space="preserve"> </t>
        </is>
      </c>
      <c r="P84" s="99" t="inlineStr">
        <is>
          <t xml:space="preserve"> </t>
        </is>
      </c>
      <c r="Q84" s="99" t="inlineStr">
        <is>
          <t xml:space="preserve"> </t>
        </is>
      </c>
      <c r="R84" s="100" t="inlineStr">
        <is>
          <t xml:space="preserve"> </t>
        </is>
      </c>
      <c r="S84" t="inlineStr">
        <is>
          <t>No se encontró ejecución en CUIPO</t>
        </is>
      </c>
      <c r="T84" s="101" t="inlineStr">
        <is>
          <t xml:space="preserve"> </t>
        </is>
      </c>
      <c r="U84" s="101" t="inlineStr">
        <is>
          <t xml:space="preserve"> </t>
        </is>
      </c>
      <c r="V84" s="101" t="inlineStr">
        <is>
          <t xml:space="preserve"> </t>
        </is>
      </c>
      <c r="W84" s="102" t="inlineStr">
        <is>
          <t xml:space="preserve"> </t>
        </is>
      </c>
      <c r="X84" t="inlineStr">
        <is>
          <t>No se encontró ejecución en CUIPO</t>
        </is>
      </c>
    </row>
    <row r="85">
      <c r="A85" t="inlineStr">
        <is>
          <t>IP-155</t>
        </is>
      </c>
      <c r="B85" t="inlineStr">
        <is>
          <t>17</t>
        </is>
      </c>
      <c r="C85" t="inlineStr">
        <is>
          <t xml:space="preserve">Agricultura y desarrollo rural
</t>
        </is>
      </c>
      <c r="D85" t="inlineStr">
        <is>
          <t>1702</t>
        </is>
      </c>
      <c r="E85" t="inlineStr">
        <is>
          <t>Inclusión productiva de pequeños productores rurales</t>
        </is>
      </c>
      <c r="F85" t="inlineStr">
        <is>
          <t>1702041</t>
        </is>
      </c>
      <c r="G85" t="inlineStr">
        <is>
          <t>Documentos de evaluación</t>
        </is>
      </c>
      <c r="H85" t="inlineStr">
        <is>
          <t>Documentos técnicos mediante los cuales se realiza seguimiento y el análisis de resultados e impactos de una política pública  a través de indicadores,  índices y tasas y otras herramientas técnicas para la toma de decisiones.</t>
        </is>
      </c>
      <c r="I85" t="inlineStr">
        <is>
          <t>2024252950022</t>
        </is>
      </c>
      <c r="J85" s="99">
        <v>73948043.3163</v>
      </c>
      <c r="K85" s="99">
        <v>21002337.2565</v>
      </c>
      <c r="L85" s="99">
        <v>6716551.7241</v>
      </c>
      <c r="M85" s="99">
        <v>22672464.1176</v>
      </c>
      <c r="N85" s="99">
        <v>23556690.2181</v>
      </c>
      <c r="O85" s="99" t="inlineStr">
        <is>
          <t xml:space="preserve"> </t>
        </is>
      </c>
      <c r="P85" s="99" t="inlineStr">
        <is>
          <t xml:space="preserve"> </t>
        </is>
      </c>
      <c r="Q85" s="99" t="inlineStr">
        <is>
          <t xml:space="preserve"> </t>
        </is>
      </c>
      <c r="R85" s="100" t="inlineStr">
        <is>
          <t xml:space="preserve"> </t>
        </is>
      </c>
      <c r="S85" t="inlineStr">
        <is>
          <t>No se encontró ejecución en CUIPO</t>
        </is>
      </c>
      <c r="T85" s="101" t="inlineStr">
        <is>
          <t xml:space="preserve"> </t>
        </is>
      </c>
      <c r="U85" s="101" t="inlineStr">
        <is>
          <t xml:space="preserve"> </t>
        </is>
      </c>
      <c r="V85" s="101" t="inlineStr">
        <is>
          <t xml:space="preserve"> </t>
        </is>
      </c>
      <c r="W85" s="102" t="inlineStr">
        <is>
          <t xml:space="preserve"> </t>
        </is>
      </c>
      <c r="X85" t="inlineStr">
        <is>
          <t>No se encontró ejecución en CUIPO</t>
        </is>
      </c>
    </row>
    <row r="86">
      <c r="A86" t="inlineStr">
        <is>
          <t>IP-156</t>
        </is>
      </c>
      <c r="B86" t="inlineStr">
        <is>
          <t>17</t>
        </is>
      </c>
      <c r="C86" t="inlineStr">
        <is>
          <t xml:space="preserve">Agricultura y desarrollo rural
</t>
        </is>
      </c>
      <c r="D86" t="inlineStr">
        <is>
          <t>1707</t>
        </is>
      </c>
      <c r="E86" t="inlineStr">
        <is>
          <t>Sanidad agropecuaria e inocuidad agroalimentaria</t>
        </is>
      </c>
      <c r="F86" t="inlineStr">
        <is>
          <t>1707060</t>
        </is>
      </c>
      <c r="G86" t="inlineStr">
        <is>
          <t>Estudios de preinversión</t>
        </is>
      </c>
      <c r="H86" t="inlineStr">
        <is>
          <t>Son estudios técnicos y diseños (arquitectónico, estructural, eléctrico, hidráulico y sanitario), siguiendo la normatividad vigente y aplicable a la construcción de laboratorios agropecuarios.</t>
        </is>
      </c>
      <c r="I86" t="inlineStr">
        <is>
          <t>2024252950023</t>
        </is>
      </c>
      <c r="J86" s="99">
        <v>10000000</v>
      </c>
      <c r="K86" s="99">
        <v>0</v>
      </c>
      <c r="L86" s="99">
        <v>5000000</v>
      </c>
      <c r="M86" s="99">
        <v>0</v>
      </c>
      <c r="N86" s="99">
        <v>5000000</v>
      </c>
      <c r="O86" s="99" t="inlineStr">
        <is>
          <t xml:space="preserve"> </t>
        </is>
      </c>
      <c r="P86" s="99" t="inlineStr">
        <is>
          <t xml:space="preserve"> </t>
        </is>
      </c>
      <c r="Q86" s="99" t="inlineStr">
        <is>
          <t xml:space="preserve"> </t>
        </is>
      </c>
      <c r="R86" s="100" t="inlineStr">
        <is>
          <t xml:space="preserve"> </t>
        </is>
      </c>
      <c r="S86" t="inlineStr">
        <is>
          <t>No se encontró ejecución en CUIPO</t>
        </is>
      </c>
      <c r="T86" s="101" t="inlineStr">
        <is>
          <t xml:space="preserve"> </t>
        </is>
      </c>
      <c r="U86" s="101" t="inlineStr">
        <is>
          <t xml:space="preserve"> </t>
        </is>
      </c>
      <c r="V86" s="101" t="inlineStr">
        <is>
          <t xml:space="preserve"> </t>
        </is>
      </c>
      <c r="W86" s="102" t="inlineStr">
        <is>
          <t xml:space="preserve"> </t>
        </is>
      </c>
      <c r="X86" t="inlineStr">
        <is>
          <t>No se encontró ejecución en CUIPO</t>
        </is>
      </c>
    </row>
    <row r="87">
      <c r="A87" t="inlineStr">
        <is>
          <t>IP-157</t>
        </is>
      </c>
      <c r="B87" t="inlineStr">
        <is>
          <t>17</t>
        </is>
      </c>
      <c r="C87" t="inlineStr">
        <is>
          <t xml:space="preserve">Agricultura y desarrollo rural
</t>
        </is>
      </c>
      <c r="D87" t="inlineStr">
        <is>
          <t>1707</t>
        </is>
      </c>
      <c r="E87" t="inlineStr">
        <is>
          <t>Sanidad agropecuaria e inocuidad agroalimentaria</t>
        </is>
      </c>
      <c r="F87" t="inlineStr">
        <is>
          <t>1707043</t>
        </is>
      </c>
      <c r="G87" t="inlineStr">
        <is>
          <t>Servicios de control de parásitos para especies de interés agropecuario</t>
        </is>
      </c>
      <c r="H87" t="inlineStr">
        <is>
          <t>Consiste en el desarrollo de prácticas enfocadas a promover y proteger la salud de las especies animales por medio del control de parásitos internos y/o extermos . Incluye aplicación de vermífugos, baños, entre otros</t>
        </is>
      </c>
      <c r="I87" t="inlineStr">
        <is>
          <t>2024252950024</t>
        </is>
      </c>
      <c r="J87" s="99">
        <v>61000000</v>
      </c>
      <c r="K87" s="99">
        <v>0</v>
      </c>
      <c r="L87" s="99">
        <v>10000000</v>
      </c>
      <c r="M87" s="99">
        <v>50000000</v>
      </c>
      <c r="N87" s="99">
        <v>1000000</v>
      </c>
      <c r="O87" s="99" t="inlineStr">
        <is>
          <t xml:space="preserve"> </t>
        </is>
      </c>
      <c r="P87" s="99" t="inlineStr">
        <is>
          <t xml:space="preserve"> </t>
        </is>
      </c>
      <c r="Q87" s="99" t="inlineStr">
        <is>
          <t xml:space="preserve"> </t>
        </is>
      </c>
      <c r="R87" s="100" t="inlineStr">
        <is>
          <t xml:space="preserve"> </t>
        </is>
      </c>
      <c r="S87" t="inlineStr">
        <is>
          <t>No se encontró ejecución en CUIPO</t>
        </is>
      </c>
      <c r="T87" s="101" t="inlineStr">
        <is>
          <t xml:space="preserve"> </t>
        </is>
      </c>
      <c r="U87" s="101" t="inlineStr">
        <is>
          <t xml:space="preserve"> </t>
        </is>
      </c>
      <c r="V87" s="101" t="inlineStr">
        <is>
          <t xml:space="preserve"> </t>
        </is>
      </c>
      <c r="W87" s="102" t="inlineStr">
        <is>
          <t xml:space="preserve"> </t>
        </is>
      </c>
      <c r="X87" t="inlineStr">
        <is>
          <t>No se encontró ejecución en CUIPO</t>
        </is>
      </c>
    </row>
    <row r="88">
      <c r="A88" t="inlineStr">
        <is>
          <t>IP-158, IP-161</t>
        </is>
      </c>
      <c r="B88" t="inlineStr">
        <is>
          <t>45</t>
        </is>
      </c>
      <c r="C88" t="inlineStr">
        <is>
          <t>Gobierno Territorial</t>
        </is>
      </c>
      <c r="D88" t="inlineStr">
        <is>
          <t>4503</t>
        </is>
      </c>
      <c r="E88" t="inlineStr">
        <is>
          <t>Gestión del riesgo de desastres y emergencias</t>
        </is>
      </c>
      <c r="F88" t="inlineStr">
        <is>
          <t>4503004</t>
        </is>
      </c>
      <c r="G88" t="inlineStr">
        <is>
          <t>Servicio de atención a emergencias y desastres</t>
        </is>
      </c>
      <c r="H88" t="inlineStr">
        <is>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is>
      </c>
      <c r="I88" t="inlineStr">
        <is>
          <t>2024252950024</t>
        </is>
      </c>
      <c r="J88" s="99">
        <v>1971117724.9145</v>
      </c>
      <c r="K88" s="99">
        <v>492966503.8462</v>
      </c>
      <c r="L88" s="99">
        <v>512192197.4962</v>
      </c>
      <c r="M88" s="99">
        <v>532167693.1985</v>
      </c>
      <c r="N88" s="99">
        <v>433791330.3736</v>
      </c>
      <c r="O88" s="99" t="inlineStr">
        <is>
          <t xml:space="preserve"> </t>
        </is>
      </c>
      <c r="P88" s="99" t="inlineStr">
        <is>
          <t xml:space="preserve"> </t>
        </is>
      </c>
      <c r="Q88" s="99" t="inlineStr">
        <is>
          <t xml:space="preserve"> </t>
        </is>
      </c>
      <c r="R88" s="100" t="inlineStr">
        <is>
          <t xml:space="preserve"> </t>
        </is>
      </c>
      <c r="S88" t="inlineStr">
        <is>
          <t>No se encontró ejecución en CUIPO</t>
        </is>
      </c>
      <c r="T88" s="101" t="inlineStr">
        <is>
          <t xml:space="preserve"> </t>
        </is>
      </c>
      <c r="U88" s="101" t="inlineStr">
        <is>
          <t xml:space="preserve"> </t>
        </is>
      </c>
      <c r="V88" s="101" t="inlineStr">
        <is>
          <t xml:space="preserve"> </t>
        </is>
      </c>
      <c r="W88" s="102" t="inlineStr">
        <is>
          <t xml:space="preserve"> </t>
        </is>
      </c>
      <c r="X88" t="inlineStr">
        <is>
          <t>No se encontró ejecución en CUIPO</t>
        </is>
      </c>
    </row>
    <row r="89">
      <c r="A89" t="inlineStr">
        <is>
          <t>IP-159, IP-160</t>
        </is>
      </c>
      <c r="B89" t="inlineStr">
        <is>
          <t>45</t>
        </is>
      </c>
      <c r="C89" t="inlineStr">
        <is>
          <t>Gobierno Territorial</t>
        </is>
      </c>
      <c r="D89" t="inlineStr">
        <is>
          <t>4503</t>
        </is>
      </c>
      <c r="E89" t="inlineStr">
        <is>
          <t>Gestión del riesgo de desastres y emergencias</t>
        </is>
      </c>
      <c r="F89" t="inlineStr">
        <is>
          <t>4503022</t>
        </is>
      </c>
      <c r="G89" t="inlineStr">
        <is>
          <t>Obras de infraestructura para la reducción del riesgo de desastres</t>
        </is>
      </c>
      <c r="H89" t="inlineStr">
        <is>
          <t>Intervenciones que buscan reducir el nivel de riesgo existente en un determinado sitio, mediante acciones de carácter estructural – físicas que conlleven a corregir o reducir las condiciones de amenaza, cuando esto sea posible, y/o la vulnerabilidad de los elementos expuestos.</t>
        </is>
      </c>
      <c r="I89" t="inlineStr">
        <is>
          <t>2024252950024</t>
        </is>
      </c>
      <c r="J89" s="99">
        <v>418049725.5546</v>
      </c>
      <c r="K89" s="99">
        <v>98593300.7692</v>
      </c>
      <c r="L89" s="99">
        <v>102438439.4992</v>
      </c>
      <c r="M89" s="99">
        <v>106433538.6396</v>
      </c>
      <c r="N89" s="99">
        <v>110584446.6466</v>
      </c>
      <c r="O89" s="99" t="inlineStr">
        <is>
          <t xml:space="preserve"> </t>
        </is>
      </c>
      <c r="P89" s="99" t="inlineStr">
        <is>
          <t xml:space="preserve"> </t>
        </is>
      </c>
      <c r="Q89" s="99" t="inlineStr">
        <is>
          <t xml:space="preserve"> </t>
        </is>
      </c>
      <c r="R89" s="100" t="inlineStr">
        <is>
          <t xml:space="preserve"> </t>
        </is>
      </c>
      <c r="S89" t="inlineStr">
        <is>
          <t>No se encontró ejecución en CUIPO</t>
        </is>
      </c>
      <c r="T89" s="101" t="inlineStr">
        <is>
          <t xml:space="preserve"> </t>
        </is>
      </c>
      <c r="U89" s="101" t="inlineStr">
        <is>
          <t xml:space="preserve"> </t>
        </is>
      </c>
      <c r="V89" s="101" t="inlineStr">
        <is>
          <t xml:space="preserve"> </t>
        </is>
      </c>
      <c r="W89" s="102" t="inlineStr">
        <is>
          <t xml:space="preserve"> </t>
        </is>
      </c>
      <c r="X89" t="inlineStr">
        <is>
          <t>No se encontró ejecución en CUIPO</t>
        </is>
      </c>
    </row>
    <row r="90">
      <c r="A90" t="inlineStr">
        <is>
          <t>IP-162</t>
        </is>
      </c>
      <c r="B90" t="inlineStr">
        <is>
          <t>45</t>
        </is>
      </c>
      <c r="C90" t="inlineStr">
        <is>
          <t>Gobierno Territorial</t>
        </is>
      </c>
      <c r="D90" t="inlineStr">
        <is>
          <t>4503</t>
        </is>
      </c>
      <c r="E90" t="inlineStr">
        <is>
          <t>Gestión del riesgo de desastres y emergencias</t>
        </is>
      </c>
      <c r="F90" t="inlineStr">
        <is>
          <t>4503022</t>
        </is>
      </c>
      <c r="G90" t="inlineStr">
        <is>
          <t>Obras de infraestructura para la reducción del riesgo de desastres</t>
        </is>
      </c>
      <c r="H90" t="inlineStr">
        <is>
          <t>Intervenciones que buscan reducir el nivel de riesgo existente en un determinado sitio, mediante acciones de carácter estructural – físicas que conlleven a corregir o reducir las condiciones de amenaza, cuando esto sea posible, y/o la vulnerabilidad de los elementos expuestos.</t>
        </is>
      </c>
      <c r="I90" t="inlineStr">
        <is>
          <t>2024252950025</t>
        </is>
      </c>
      <c r="J90" s="99">
        <v>209024862.7773</v>
      </c>
      <c r="K90" s="99">
        <v>49296650.3846</v>
      </c>
      <c r="L90" s="99">
        <v>51219219.7496</v>
      </c>
      <c r="M90" s="99">
        <v>53216769.3198</v>
      </c>
      <c r="N90" s="99">
        <v>55292223.3233</v>
      </c>
      <c r="O90" s="99" t="inlineStr">
        <is>
          <t xml:space="preserve"> </t>
        </is>
      </c>
      <c r="P90" s="99" t="inlineStr">
        <is>
          <t xml:space="preserve"> </t>
        </is>
      </c>
      <c r="Q90" s="99" t="inlineStr">
        <is>
          <t xml:space="preserve"> </t>
        </is>
      </c>
      <c r="R90" s="100" t="inlineStr">
        <is>
          <t xml:space="preserve"> </t>
        </is>
      </c>
      <c r="S90" t="inlineStr">
        <is>
          <t>No se encontró ejecución en CUIPO</t>
        </is>
      </c>
      <c r="T90" s="101" t="inlineStr">
        <is>
          <t xml:space="preserve"> </t>
        </is>
      </c>
      <c r="U90" s="101" t="inlineStr">
        <is>
          <t xml:space="preserve"> </t>
        </is>
      </c>
      <c r="V90" s="101" t="inlineStr">
        <is>
          <t xml:space="preserve"> </t>
        </is>
      </c>
      <c r="W90" s="102" t="inlineStr">
        <is>
          <t xml:space="preserve"> </t>
        </is>
      </c>
      <c r="X90" t="inlineStr">
        <is>
          <t>No se encontró ejecución en CUIPO</t>
        </is>
      </c>
    </row>
    <row r="91">
      <c r="A91" t="inlineStr">
        <is>
          <t>IP-163</t>
        </is>
      </c>
      <c r="B91" t="inlineStr">
        <is>
          <t>45</t>
        </is>
      </c>
      <c r="C91" t="inlineStr">
        <is>
          <t>Gobierno Territorial</t>
        </is>
      </c>
      <c r="D91" t="inlineStr">
        <is>
          <t>4599</t>
        </is>
      </c>
      <c r="E91" t="inlineStr">
        <is>
          <t>Fortalecimiento a la gestión y dirección de la administración pública territorial</t>
        </is>
      </c>
      <c r="F91" t="inlineStr">
        <is>
          <t>4599002</t>
        </is>
      </c>
      <c r="G91" t="inlineStr">
        <is>
          <t>Servicio de saneamiento fiscal y financiero</t>
        </is>
      </c>
      <c r="H91" t="inlineStr">
        <is>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is>
      </c>
      <c r="I91" t="inlineStr">
        <is>
          <t>2024252950026</t>
        </is>
      </c>
      <c r="J91" s="99">
        <v>241767022.631</v>
      </c>
      <c r="K91" s="99">
        <v>49000000</v>
      </c>
      <c r="L91" s="99">
        <v>52911000</v>
      </c>
      <c r="M91" s="99">
        <v>54896529</v>
      </c>
      <c r="N91" s="99">
        <v>84959493.631</v>
      </c>
      <c r="O91" s="99" t="inlineStr">
        <is>
          <t xml:space="preserve"> </t>
        </is>
      </c>
      <c r="P91" s="99" t="inlineStr">
        <is>
          <t xml:space="preserve"> </t>
        </is>
      </c>
      <c r="Q91" s="99" t="inlineStr">
        <is>
          <t xml:space="preserve"> </t>
        </is>
      </c>
      <c r="R91" s="100" t="inlineStr">
        <is>
          <t xml:space="preserve"> </t>
        </is>
      </c>
      <c r="S91" t="inlineStr">
        <is>
          <t>No se encontró ejecución en CUIPO</t>
        </is>
      </c>
      <c r="T91" s="101" t="inlineStr">
        <is>
          <t xml:space="preserve"> </t>
        </is>
      </c>
      <c r="U91" s="101" t="inlineStr">
        <is>
          <t xml:space="preserve"> </t>
        </is>
      </c>
      <c r="V91" s="101" t="inlineStr">
        <is>
          <t xml:space="preserve"> </t>
        </is>
      </c>
      <c r="W91" s="102" t="inlineStr">
        <is>
          <t xml:space="preserve"> </t>
        </is>
      </c>
      <c r="X91" t="inlineStr">
        <is>
          <t>No se encontró ejecución en CUIPO</t>
        </is>
      </c>
    </row>
    <row r="92">
      <c r="A92" t="inlineStr">
        <is>
          <t>IP-164</t>
        </is>
      </c>
      <c r="B92" t="inlineStr">
        <is>
          <t>45</t>
        </is>
      </c>
      <c r="C92" t="inlineStr">
        <is>
          <t>Gobierno Territorial</t>
        </is>
      </c>
      <c r="D92" t="inlineStr">
        <is>
          <t>4599</t>
        </is>
      </c>
      <c r="E92" t="inlineStr">
        <is>
          <t>Fortalecimiento a la gestión y dirección de la administración pública territorial</t>
        </is>
      </c>
      <c r="F92" t="inlineStr">
        <is>
          <t>4599023</t>
        </is>
      </c>
      <c r="G92" t="inlineStr">
        <is>
          <t>Servicio de Implementación Sistemas de Gestión</t>
        </is>
      </c>
      <c r="H92"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92" t="inlineStr">
        <is>
          <t>2024252950026</t>
        </is>
      </c>
      <c r="J92" s="99">
        <v>1483403260.5384</v>
      </c>
      <c r="K92" s="99">
        <v>349847434.1401</v>
      </c>
      <c r="L92" s="99">
        <v>363491484.0716</v>
      </c>
      <c r="M92" s="99">
        <v>377667651.9504</v>
      </c>
      <c r="N92" s="99">
        <v>392396690.3763</v>
      </c>
      <c r="O92" s="99" t="inlineStr">
        <is>
          <t xml:space="preserve"> </t>
        </is>
      </c>
      <c r="P92" s="99" t="inlineStr">
        <is>
          <t xml:space="preserve"> </t>
        </is>
      </c>
      <c r="Q92" s="99" t="inlineStr">
        <is>
          <t xml:space="preserve"> </t>
        </is>
      </c>
      <c r="R92" s="100" t="inlineStr">
        <is>
          <t xml:space="preserve"> </t>
        </is>
      </c>
      <c r="S92" t="inlineStr">
        <is>
          <t>No se encontró ejecución en CUIPO</t>
        </is>
      </c>
      <c r="T92" s="101" t="inlineStr">
        <is>
          <t xml:space="preserve"> </t>
        </is>
      </c>
      <c r="U92" s="101" t="inlineStr">
        <is>
          <t xml:space="preserve"> </t>
        </is>
      </c>
      <c r="V92" s="101" t="inlineStr">
        <is>
          <t xml:space="preserve"> </t>
        </is>
      </c>
      <c r="W92" s="102" t="inlineStr">
        <is>
          <t xml:space="preserve"> </t>
        </is>
      </c>
      <c r="X92" t="inlineStr">
        <is>
          <t>No se encontró ejecución en CUIPO</t>
        </is>
      </c>
    </row>
    <row r="93">
      <c r="A93" t="inlineStr">
        <is>
          <t>IP-165, IP-166</t>
        </is>
      </c>
      <c r="B93" t="inlineStr">
        <is>
          <t>45</t>
        </is>
      </c>
      <c r="C93" t="inlineStr">
        <is>
          <t>Gobierno Territorial</t>
        </is>
      </c>
      <c r="D93" t="inlineStr">
        <is>
          <t>4599</t>
        </is>
      </c>
      <c r="E93" t="inlineStr">
        <is>
          <t>Fortalecimiento a la gestión y dirección de la administración pública territorial</t>
        </is>
      </c>
      <c r="F93" t="inlineStr">
        <is>
          <t>4599038</t>
        </is>
      </c>
      <c r="G93" t="inlineStr">
        <is>
          <t>Servicio de apoyo financiero para el fortalecimiento del talento humano</t>
        </is>
      </c>
      <c r="H93" t="inlineStr">
        <is>
          <t>Corresponde al apoyo financiero para la realización de programas educativos, dirigidos a servidores públicos con el fin de contribuir a la formación del talento humano orientado al fortalecimiento de la capacidad institucional.</t>
        </is>
      </c>
      <c r="I93" t="inlineStr">
        <is>
          <t>2024252950026</t>
        </is>
      </c>
      <c r="J93" s="99">
        <v>110893550.7027</v>
      </c>
      <c r="K93" s="99">
        <v>23323162.2761</v>
      </c>
      <c r="L93" s="99">
        <v>26232765.6048</v>
      </c>
      <c r="M93" s="99">
        <v>35177843.4634</v>
      </c>
      <c r="N93" s="99">
        <v>26159779.3584</v>
      </c>
      <c r="O93" s="99" t="inlineStr">
        <is>
          <t xml:space="preserve"> </t>
        </is>
      </c>
      <c r="P93" s="99" t="inlineStr">
        <is>
          <t xml:space="preserve"> </t>
        </is>
      </c>
      <c r="Q93" s="99" t="inlineStr">
        <is>
          <t xml:space="preserve"> </t>
        </is>
      </c>
      <c r="R93" s="100" t="inlineStr">
        <is>
          <t xml:space="preserve"> </t>
        </is>
      </c>
      <c r="S93" t="inlineStr">
        <is>
          <t>No se encontró ejecución en CUIPO</t>
        </is>
      </c>
      <c r="T93" s="101" t="inlineStr">
        <is>
          <t xml:space="preserve"> </t>
        </is>
      </c>
      <c r="U93" s="101" t="inlineStr">
        <is>
          <t xml:space="preserve"> </t>
        </is>
      </c>
      <c r="V93" s="101" t="inlineStr">
        <is>
          <t xml:space="preserve"> </t>
        </is>
      </c>
      <c r="W93" s="102" t="inlineStr">
        <is>
          <t xml:space="preserve"> </t>
        </is>
      </c>
      <c r="X93" t="inlineStr">
        <is>
          <t>No se encontró ejecución en CUIPO</t>
        </is>
      </c>
    </row>
    <row r="94">
      <c r="A94" t="inlineStr">
        <is>
          <t>IP-167, IP-168, IP-169</t>
        </is>
      </c>
      <c r="B94" t="inlineStr">
        <is>
          <t>45</t>
        </is>
      </c>
      <c r="C94" t="inlineStr">
        <is>
          <t>Gobierno Territorial</t>
        </is>
      </c>
      <c r="D94" t="inlineStr">
        <is>
          <t>4599</t>
        </is>
      </c>
      <c r="E94" t="inlineStr">
        <is>
          <t>Fortalecimiento a la gestión y dirección de la administración pública territorial</t>
        </is>
      </c>
      <c r="F94" t="inlineStr">
        <is>
          <t>4599031</t>
        </is>
      </c>
      <c r="G94" t="inlineStr">
        <is>
          <t>Servicio de asistencia técnica</t>
        </is>
      </c>
      <c r="H94" t="inlineStr">
        <is>
          <t>Corresponde al acompañamiento,apoyo,  asesoría y seguimiento técnico para la transferencia de herramientas de gestión y conocimiento en políticas, planes , proyectos y programas de apoyo a la dirección y gestión de la administración territorial.</t>
        </is>
      </c>
      <c r="I94" t="inlineStr">
        <is>
          <t>2024252950026</t>
        </is>
      </c>
      <c r="J94" s="99">
        <v>1883192722.3106</v>
      </c>
      <c r="K94" s="99">
        <v>467629403.6339</v>
      </c>
      <c r="L94" s="99">
        <v>463916261.1181</v>
      </c>
      <c r="M94" s="99">
        <v>504815761.4402</v>
      </c>
      <c r="N94" s="99">
        <v>446831296.1184</v>
      </c>
      <c r="O94" s="99" t="inlineStr">
        <is>
          <t xml:space="preserve"> </t>
        </is>
      </c>
      <c r="P94" s="99" t="inlineStr">
        <is>
          <t xml:space="preserve"> </t>
        </is>
      </c>
      <c r="Q94" s="99" t="inlineStr">
        <is>
          <t xml:space="preserve"> </t>
        </is>
      </c>
      <c r="R94" s="100" t="inlineStr">
        <is>
          <t xml:space="preserve"> </t>
        </is>
      </c>
      <c r="S94" t="inlineStr">
        <is>
          <t>No se encontró ejecución en CUIPO</t>
        </is>
      </c>
      <c r="T94" s="101" t="inlineStr">
        <is>
          <t xml:space="preserve"> </t>
        </is>
      </c>
      <c r="U94" s="101" t="inlineStr">
        <is>
          <t xml:space="preserve"> </t>
        </is>
      </c>
      <c r="V94" s="101" t="inlineStr">
        <is>
          <t xml:space="preserve"> </t>
        </is>
      </c>
      <c r="W94" s="102" t="inlineStr">
        <is>
          <t xml:space="preserve"> </t>
        </is>
      </c>
      <c r="X94" t="inlineStr">
        <is>
          <t>No se encontró ejecución en CUIPO</t>
        </is>
      </c>
    </row>
    <row r="95">
      <c r="A95" t="inlineStr">
        <is>
          <t>IP-170</t>
        </is>
      </c>
      <c r="B95" t="inlineStr">
        <is>
          <t>45</t>
        </is>
      </c>
      <c r="C95" t="inlineStr">
        <is>
          <t>Gobierno Territorial</t>
        </is>
      </c>
      <c r="D95" t="inlineStr">
        <is>
          <t>4599</t>
        </is>
      </c>
      <c r="E95" t="inlineStr">
        <is>
          <t>Fortalecimiento a la gestión y dirección de la administración pública territorial</t>
        </is>
      </c>
      <c r="F95" t="inlineStr">
        <is>
          <t>4599017</t>
        </is>
      </c>
      <c r="G95" t="inlineStr">
        <is>
          <t>Servicio de gestión documental</t>
        </is>
      </c>
      <c r="H95" t="inlineStr">
        <is>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is>
      </c>
      <c r="I95" t="inlineStr">
        <is>
          <t>2024252950026</t>
        </is>
      </c>
      <c r="J95" s="99">
        <v>94000000</v>
      </c>
      <c r="K95" s="99">
        <v>0</v>
      </c>
      <c r="L95" s="99">
        <v>20000000</v>
      </c>
      <c r="M95" s="99">
        <v>4000000</v>
      </c>
      <c r="N95" s="99">
        <v>70000000</v>
      </c>
      <c r="O95" s="99" t="inlineStr">
        <is>
          <t xml:space="preserve"> </t>
        </is>
      </c>
      <c r="P95" s="99" t="inlineStr">
        <is>
          <t xml:space="preserve"> </t>
        </is>
      </c>
      <c r="Q95" s="99" t="inlineStr">
        <is>
          <t xml:space="preserve"> </t>
        </is>
      </c>
      <c r="R95" s="100" t="inlineStr">
        <is>
          <t xml:space="preserve"> </t>
        </is>
      </c>
      <c r="S95" t="inlineStr">
        <is>
          <t>No se encontró ejecución en CUIPO</t>
        </is>
      </c>
      <c r="T95" s="101" t="inlineStr">
        <is>
          <t xml:space="preserve"> </t>
        </is>
      </c>
      <c r="U95" s="101" t="inlineStr">
        <is>
          <t xml:space="preserve"> </t>
        </is>
      </c>
      <c r="V95" s="101" t="inlineStr">
        <is>
          <t xml:space="preserve"> </t>
        </is>
      </c>
      <c r="W95" s="102" t="inlineStr">
        <is>
          <t xml:space="preserve"> </t>
        </is>
      </c>
      <c r="X95" t="inlineStr">
        <is>
          <t>No se encontró ejecución en CUIPO</t>
        </is>
      </c>
    </row>
    <row r="96">
      <c r="A96" t="inlineStr">
        <is>
          <t>IP-171</t>
        </is>
      </c>
      <c r="B96" t="inlineStr">
        <is>
          <t>45</t>
        </is>
      </c>
      <c r="C96" t="inlineStr">
        <is>
          <t>Gobierno Territorial</t>
        </is>
      </c>
      <c r="D96" t="inlineStr">
        <is>
          <t>4599</t>
        </is>
      </c>
      <c r="E96" t="inlineStr">
        <is>
          <t>Fortalecimiento a la gestión y dirección de la administración pública territorial</t>
        </is>
      </c>
      <c r="F96" t="inlineStr">
        <is>
          <t>4599023</t>
        </is>
      </c>
      <c r="G96" t="inlineStr">
        <is>
          <t>Servicio de Implementación Sistemas de Gestión</t>
        </is>
      </c>
      <c r="H96"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96" t="inlineStr">
        <is>
          <t>2024252950027</t>
        </is>
      </c>
      <c r="J96" s="99">
        <v>109178567.9052</v>
      </c>
      <c r="K96" s="99">
        <v>34543376.8688</v>
      </c>
      <c r="L96" s="99">
        <v>35890568.5667</v>
      </c>
      <c r="M96" s="99">
        <v>0</v>
      </c>
      <c r="N96" s="99">
        <v>38744622.4697</v>
      </c>
      <c r="O96" s="99" t="inlineStr">
        <is>
          <t xml:space="preserve"> </t>
        </is>
      </c>
      <c r="P96" s="99" t="inlineStr">
        <is>
          <t xml:space="preserve"> </t>
        </is>
      </c>
      <c r="Q96" s="99" t="inlineStr">
        <is>
          <t xml:space="preserve"> </t>
        </is>
      </c>
      <c r="R96" s="100" t="inlineStr">
        <is>
          <t xml:space="preserve"> </t>
        </is>
      </c>
      <c r="S96" t="inlineStr">
        <is>
          <t>No se encontró ejecución en CUIPO</t>
        </is>
      </c>
      <c r="T96" s="101" t="inlineStr">
        <is>
          <t xml:space="preserve"> </t>
        </is>
      </c>
      <c r="U96" s="101" t="inlineStr">
        <is>
          <t xml:space="preserve"> </t>
        </is>
      </c>
      <c r="V96" s="101" t="inlineStr">
        <is>
          <t xml:space="preserve"> </t>
        </is>
      </c>
      <c r="W96" s="102" t="inlineStr">
        <is>
          <t xml:space="preserve"> </t>
        </is>
      </c>
      <c r="X96" t="inlineStr">
        <is>
          <t>No se encontró ejecución en CUIPO</t>
        </is>
      </c>
    </row>
    <row r="97">
      <c r="A97" t="inlineStr">
        <is>
          <t>IP-172</t>
        </is>
      </c>
      <c r="B97" t="inlineStr">
        <is>
          <t>40</t>
        </is>
      </c>
      <c r="C97" t="inlineStr">
        <is>
          <t>Vivienda, ciudad y territorio</t>
        </is>
      </c>
      <c r="D97" t="inlineStr">
        <is>
          <t>4003</t>
        </is>
      </c>
      <c r="E97" t="inlineStr">
        <is>
          <t>Acceso de la población a los servicios de agua potable y saneamiento básico</t>
        </is>
      </c>
      <c r="F97" t="inlineStr">
        <is>
          <t>4003055</t>
        </is>
      </c>
      <c r="G97" t="inlineStr">
        <is>
          <t>Servicio de asistencia técnica</t>
        </is>
      </c>
      <c r="H97" t="inlineStr">
        <is>
          <t>Corresponde al acompañamiento, asesoría y seguimiento técnico para la transferencia de herramientas de gestión y conocimiento a entidades nacionales y territoriales, o a grupos de valor, en procedimientos y trámites institucionales de competencia de la entidad.</t>
        </is>
      </c>
      <c r="I97" t="inlineStr">
        <is>
          <t>2024252950027</t>
        </is>
      </c>
      <c r="J97" s="99">
        <v>1103414614.1082</v>
      </c>
      <c r="K97" s="99">
        <v>260230499.5597</v>
      </c>
      <c r="L97" s="99">
        <v>270379489.0426</v>
      </c>
      <c r="M97" s="99">
        <v>280924289.1152</v>
      </c>
      <c r="N97" s="99">
        <v>291880336.3907</v>
      </c>
      <c r="O97" s="99" t="inlineStr">
        <is>
          <t xml:space="preserve"> </t>
        </is>
      </c>
      <c r="P97" s="99" t="inlineStr">
        <is>
          <t xml:space="preserve"> </t>
        </is>
      </c>
      <c r="Q97" s="99" t="inlineStr">
        <is>
          <t xml:space="preserve"> </t>
        </is>
      </c>
      <c r="R97" s="100" t="inlineStr">
        <is>
          <t xml:space="preserve"> </t>
        </is>
      </c>
      <c r="S97" t="inlineStr">
        <is>
          <t>No se encontró ejecución en CUIPO</t>
        </is>
      </c>
      <c r="T97" s="101" t="inlineStr">
        <is>
          <t xml:space="preserve"> </t>
        </is>
      </c>
      <c r="U97" s="101" t="inlineStr">
        <is>
          <t xml:space="preserve"> </t>
        </is>
      </c>
      <c r="V97" s="101" t="inlineStr">
        <is>
          <t xml:space="preserve"> </t>
        </is>
      </c>
      <c r="W97" s="102" t="inlineStr">
        <is>
          <t xml:space="preserve"> </t>
        </is>
      </c>
      <c r="X97" t="inlineStr">
        <is>
          <t>No se encontró ejecución en CUIPO</t>
        </is>
      </c>
    </row>
    <row r="98">
      <c r="A98" t="inlineStr">
        <is>
          <t>IP-173</t>
        </is>
      </c>
      <c r="B98" t="inlineStr">
        <is>
          <t>40</t>
        </is>
      </c>
      <c r="C98" t="inlineStr">
        <is>
          <t>Vivienda, ciudad y territorio</t>
        </is>
      </c>
      <c r="D98" t="inlineStr">
        <is>
          <t>4003</t>
        </is>
      </c>
      <c r="E98" t="inlineStr">
        <is>
          <t>Acceso de la población a los servicios de agua potable y saneamiento básico</t>
        </is>
      </c>
      <c r="F98" t="inlineStr">
        <is>
          <t>4003047</t>
        </is>
      </c>
      <c r="G98" t="inlineStr">
        <is>
          <t>Servicio de apoyo financiero para subsidios al consumo en los servicios públicos domiciliarios</t>
        </is>
      </c>
      <c r="H98" t="inlineStr">
        <is>
          <t>Los subsidios al consumo están destinados a satisfacer necesidades básicas de los usuarios de los estratos 1, 2 y 3 en el servicio público domiciliario de acueducto, alcantarillado y aseo.</t>
        </is>
      </c>
      <c r="I98" t="inlineStr">
        <is>
          <t>2024252950027</t>
        </is>
      </c>
      <c r="J98" s="99">
        <v>1165294065.0156</v>
      </c>
      <c r="K98" s="99">
        <v>274824216.3877</v>
      </c>
      <c r="L98" s="99">
        <v>285542360.8268</v>
      </c>
      <c r="M98" s="99">
        <v>296678512.899</v>
      </c>
      <c r="N98" s="99">
        <v>308248974.9021</v>
      </c>
      <c r="O98" s="99" t="inlineStr">
        <is>
          <t xml:space="preserve"> </t>
        </is>
      </c>
      <c r="P98" s="99" t="inlineStr">
        <is>
          <t xml:space="preserve"> </t>
        </is>
      </c>
      <c r="Q98" s="99" t="inlineStr">
        <is>
          <t xml:space="preserve"> </t>
        </is>
      </c>
      <c r="R98" s="100" t="inlineStr">
        <is>
          <t xml:space="preserve"> </t>
        </is>
      </c>
      <c r="S98" t="inlineStr">
        <is>
          <t>No se encontró ejecución en CUIPO</t>
        </is>
      </c>
      <c r="T98" s="101" t="inlineStr">
        <is>
          <t xml:space="preserve"> </t>
        </is>
      </c>
      <c r="U98" s="101" t="inlineStr">
        <is>
          <t xml:space="preserve"> </t>
        </is>
      </c>
      <c r="V98" s="101" t="inlineStr">
        <is>
          <t xml:space="preserve"> </t>
        </is>
      </c>
      <c r="W98" s="102" t="inlineStr">
        <is>
          <t xml:space="preserve"> </t>
        </is>
      </c>
      <c r="X98" t="inlineStr">
        <is>
          <t>No se encontró ejecución en CUIPO</t>
        </is>
      </c>
    </row>
    <row r="99">
      <c r="A99" t="inlineStr">
        <is>
          <t>IP-174</t>
        </is>
      </c>
      <c r="B99" t="inlineStr">
        <is>
          <t>40</t>
        </is>
      </c>
      <c r="C99" t="inlineStr">
        <is>
          <t>Vivienda, ciudad y territorio</t>
        </is>
      </c>
      <c r="D99" t="inlineStr">
        <is>
          <t>4003</t>
        </is>
      </c>
      <c r="E99" t="inlineStr">
        <is>
          <t>Acceso de la población a los servicios de agua potable y saneamiento básico</t>
        </is>
      </c>
      <c r="F99" t="inlineStr">
        <is>
          <t>4003042</t>
        </is>
      </c>
      <c r="G99" t="inlineStr">
        <is>
          <t>Estudios de pre inversión e inversión</t>
        </is>
      </c>
      <c r="H99" t="inlineStr">
        <is>
          <t>Incluye la realización de estudios de pre factibilidad, factibilidad o definitivos para la ejecución de proyectos</t>
        </is>
      </c>
      <c r="I99" t="inlineStr">
        <is>
          <t>2024252950027</t>
        </is>
      </c>
      <c r="J99" s="99">
        <v>1507700370.0146</v>
      </c>
      <c r="K99" s="99">
        <v>355577690.7961</v>
      </c>
      <c r="L99" s="99">
        <v>369445220.7371</v>
      </c>
      <c r="M99" s="99">
        <v>383853584.3459</v>
      </c>
      <c r="N99" s="99">
        <v>398823874.1355</v>
      </c>
      <c r="O99" s="99" t="inlineStr">
        <is>
          <t xml:space="preserve"> </t>
        </is>
      </c>
      <c r="P99" s="99" t="inlineStr">
        <is>
          <t xml:space="preserve"> </t>
        </is>
      </c>
      <c r="Q99" s="99" t="inlineStr">
        <is>
          <t xml:space="preserve"> </t>
        </is>
      </c>
      <c r="R99" s="100" t="inlineStr">
        <is>
          <t xml:space="preserve"> </t>
        </is>
      </c>
      <c r="S99" t="inlineStr">
        <is>
          <t>No se encontró ejecución en CUIPO</t>
        </is>
      </c>
      <c r="T99" s="101" t="inlineStr">
        <is>
          <t xml:space="preserve"> </t>
        </is>
      </c>
      <c r="U99" s="101" t="inlineStr">
        <is>
          <t xml:space="preserve"> </t>
        </is>
      </c>
      <c r="V99" s="101" t="inlineStr">
        <is>
          <t xml:space="preserve"> </t>
        </is>
      </c>
      <c r="W99" s="102" t="inlineStr">
        <is>
          <t xml:space="preserve"> </t>
        </is>
      </c>
      <c r="X99" t="inlineStr">
        <is>
          <t>No se encontró ejecución en CUIPO</t>
        </is>
      </c>
    </row>
    <row r="100">
      <c r="J100" s="99"/>
      <c r="K100" s="99"/>
      <c r="L100" s="99"/>
      <c r="M100" s="99"/>
      <c r="N100" s="99"/>
      <c r="O100" s="99"/>
      <c r="P100" s="99"/>
      <c r="Q100" s="99"/>
      <c r="R100" s="100"/>
      <c r="T100" s="101"/>
      <c r="U100" s="101"/>
      <c r="V100" s="101"/>
      <c r="W100" s="102"/>
    </row>
  </sheetData>
  <mergeCells count="6">
    <mergeCell ref="T6:X6"/>
    <mergeCell ref="K6:N6"/>
    <mergeCell ref="O6:S6"/>
    <mergeCell ref="A2:L2"/>
    <mergeCell ref="A3:L3"/>
    <mergeCell ref="A4:L4"/>
  </mergeCells>
  <conditionalFormatting sqref="R8:R1048576">
    <cfRule type="cellIs" dxfId="3" priority="1" operator="between">
      <formula>1.00000001</formula>
      <formula>9999999999</formula>
    </cfRule>
  </conditionalFormatting>
  <conditionalFormatting sqref="R8:R1048576">
    <cfRule type="colorScale" priority="3">
      <colorScale>
        <cfvo type="num" val="0"/>
        <cfvo type="num" val="0.5"/>
        <cfvo type="num" val="1"/>
        <color rgb="FFFB9985"/>
        <color rgb="FFFCF797"/>
        <color rgb="FFADEC9E"/>
      </colorScale>
    </cfRule>
  </conditionalFormatting>
  <conditionalFormatting sqref="W8:W1048576">
    <cfRule type="cellIs" dxfId="2" priority="2" operator="between">
      <formula>1.00000001</formula>
      <formula>9999999999</formula>
    </cfRule>
  </conditionalFormatting>
  <conditionalFormatting sqref="W8:W1048576">
    <cfRule type="colorScale" priority="5">
      <colorScale>
        <cfvo type="num" val="0"/>
        <cfvo type="num" val="0.5"/>
        <cfvo type="num" val="1"/>
        <color rgb="FFFB9985"/>
        <color rgb="FFFCF797"/>
        <color rgb="FFADEC9E"/>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W121"/>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8" customWidth="1"/>
    <col min="8" max="8" width="11.28515625" customWidth="1"/>
    <col min="9" max="9" width="19.28515625" customWidth="1"/>
    <col min="10" max="10" width="14.7109375" customWidth="1"/>
    <col min="11" max="11" width="12.85546875" customWidth="1"/>
    <col min="12" max="12" width="12" customWidth="1"/>
    <col min="13" max="13" width="10.85546875" customWidth="1"/>
    <col min="14" max="17" width="13.28515625" customWidth="1"/>
    <col min="18" max="18" width="17.7109375" customWidth="1"/>
    <col min="19" max="19" width="11.7109375" style="48" customWidth="1"/>
    <col min="20" max="20" width="28.140625" customWidth="1"/>
    <col min="21" max="21" width="17.7109375" customWidth="1"/>
    <col min="22" max="22" width="11.7109375" customWidth="1"/>
    <col min="23" max="23" width="28.140625" customWidth="1"/>
  </cols>
  <sheetData>
    <row r="1" spans="1:23" s="20" ht="26.25" customFormat="1" x14ac:dyDescent="0.3">
      <c r="A1" s="31" t="s">
        <v>116</v>
      </c>
      <c r="B1" s="4"/>
      <c r="C1" s="4"/>
      <c r="D1" s="4"/>
      <c r="E1" s="4"/>
      <c r="F1" s="4"/>
      <c r="G1" s="4"/>
      <c r="H1" s="4"/>
      <c r="I1" s="4"/>
      <c r="J1" s="4"/>
      <c r="K1" s="4"/>
      <c r="L1" s="4"/>
      <c r="M1" s="4"/>
      <c r="N1" s="4"/>
      <c r="O1" s="4"/>
      <c r="P1" s="4"/>
      <c r="Q1" s="4"/>
      <c r="R1" s="4"/>
      <c r="S1" s="47"/>
      <c r="T1" s="4"/>
      <c r="U1" s="4"/>
      <c r="V1" s="4"/>
      <c r="W1" s="4"/>
    </row>
    <row r="2" spans="1:23" s="20" ht="65.25" customFormat="1" customHeight="1" x14ac:dyDescent="0.3">
      <c r="A2" s="94" t="s">
        <v>117</v>
      </c>
      <c r="B2" s="94"/>
      <c r="C2" s="94"/>
      <c r="D2" s="94"/>
      <c r="E2" s="94"/>
      <c r="F2" s="94"/>
      <c r="G2" s="94"/>
      <c r="H2" s="94"/>
      <c r="I2" s="94"/>
      <c r="J2" s="94"/>
      <c r="K2" s="94"/>
      <c r="L2" s="94"/>
      <c r="M2" s="94"/>
      <c r="N2" s="46"/>
      <c r="O2" s="46"/>
      <c r="P2" s="46"/>
      <c r="Q2" s="4"/>
      <c r="R2" s="4"/>
      <c r="S2" s="47"/>
      <c r="T2" s="4"/>
      <c r="U2" s="4"/>
      <c r="V2" s="4"/>
      <c r="W2" s="4"/>
    </row>
    <row r="3" spans="1:23" s="20" ht="35.25" customFormat="1" customHeight="1" x14ac:dyDescent="0.3">
      <c r="A3" s="94" t="s">
        <v>119</v>
      </c>
      <c r="B3" s="94"/>
      <c r="C3" s="94"/>
      <c r="D3" s="94"/>
      <c r="E3" s="94"/>
      <c r="F3" s="94"/>
      <c r="G3" s="94"/>
      <c r="H3" s="94"/>
      <c r="I3" s="94"/>
      <c r="J3" s="94"/>
      <c r="K3" s="94"/>
      <c r="L3" s="94"/>
      <c r="M3" s="94"/>
      <c r="N3" s="46"/>
      <c r="O3" s="46"/>
      <c r="P3" s="46"/>
      <c r="Q3" s="4"/>
      <c r="R3" s="4"/>
      <c r="S3" s="47"/>
      <c r="T3" s="4"/>
      <c r="U3" s="4"/>
      <c r="V3" s="4"/>
      <c r="W3" s="4"/>
    </row>
    <row r="4" spans="1:23" s="20" ht="16.5" customFormat="1" x14ac:dyDescent="0.3">
      <c r="A4" s="95" t="s">
        <v>132</v>
      </c>
      <c r="B4" s="95"/>
      <c r="C4" s="95"/>
      <c r="D4" s="95"/>
      <c r="E4" s="95"/>
      <c r="F4" s="95"/>
      <c r="G4" s="95"/>
      <c r="H4" s="95"/>
      <c r="I4" s="95"/>
      <c r="J4" s="95"/>
      <c r="K4" s="95"/>
      <c r="L4" s="46"/>
      <c r="M4" s="46"/>
      <c r="N4" s="46"/>
      <c r="O4" s="46"/>
      <c r="P4" s="46"/>
      <c r="Q4" s="4"/>
      <c r="R4" s="4"/>
      <c r="S4" s="47"/>
      <c r="T4" s="4"/>
      <c r="U4" s="4"/>
      <c r="V4" s="4"/>
      <c r="W4" s="4"/>
    </row>
    <row r="5" spans="1:23" s="20" ht="9.75" customFormat="1" customHeight="1" x14ac:dyDescent="0.3">
      <c r="A5" s="46"/>
      <c r="B5" s="46"/>
      <c r="C5" s="46"/>
      <c r="D5" s="46"/>
      <c r="E5" s="46"/>
      <c r="F5" s="46"/>
      <c r="G5" s="46"/>
      <c r="H5" s="46"/>
      <c r="I5" s="46"/>
      <c r="J5" s="46"/>
      <c r="K5" s="46"/>
      <c r="L5" s="46"/>
      <c r="M5" s="46"/>
      <c r="N5" s="46"/>
      <c r="O5" s="46"/>
      <c r="P5" s="46"/>
      <c r="Q5" s="4"/>
      <c r="R5" s="4"/>
      <c r="S5" s="47"/>
      <c r="T5" s="4"/>
      <c r="U5" s="4"/>
      <c r="V5" s="4"/>
      <c r="W5" s="4"/>
    </row>
    <row r="6" spans="1:23" s="20" ht="20.45" customFormat="1" customHeight="1" x14ac:dyDescent="0.3">
      <c r="A6" s="4"/>
      <c r="B6" s="4"/>
      <c r="C6" s="4"/>
      <c r="D6" s="4"/>
      <c r="E6" s="4"/>
      <c r="F6" s="4"/>
      <c r="G6" s="4"/>
      <c r="H6" s="4"/>
      <c r="I6" s="4"/>
      <c r="J6" s="4"/>
      <c r="K6" s="4"/>
      <c r="L6" s="4"/>
      <c r="M6" s="4"/>
      <c r="N6" s="91" t="s">
        <v>133</v>
      </c>
      <c r="O6" s="92"/>
      <c r="P6" s="92"/>
      <c r="Q6" s="93"/>
      <c r="R6" s="96" t="s">
        <v>75</v>
      </c>
      <c r="S6" s="97"/>
      <c r="T6" s="98"/>
      <c r="U6" s="96" t="str">
        <f>CONCATENATE("Ejecución PIIP ",Resumen!$X$1)</f>
        <v>Ejecución PIIP (Dar clic en Habilitar Edición)</v>
      </c>
      <c r="V6" s="97"/>
      <c r="W6" s="98"/>
    </row>
    <row r="7" spans="1:23"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Código Indicador Producto (MGA)</t>
        </is>
      </c>
      <c r="I7" s="16" t="inlineStr">
        <is>
          <t>Indicador Producto (MGA)</t>
        </is>
      </c>
      <c r="J7" s="16" t="inlineStr">
        <is>
          <t>Códigos BPIN Asociados</t>
        </is>
      </c>
      <c r="K7" s="16" t="inlineStr">
        <is>
          <t>Acumulativo</t>
        </is>
      </c>
      <c r="L7" s="16" t="inlineStr">
        <is>
          <t>Unidad de Medida</t>
        </is>
      </c>
      <c r="M7" s="16" t="inlineStr">
        <is>
          <t>Meta del Cuatrenio (SisPT)</t>
        </is>
      </c>
      <c r="N7" s="61" t="inlineStr">
        <is>
          <t>Programado 2024 (SisPT)</t>
        </is>
      </c>
      <c r="O7" s="16" t="inlineStr">
        <is>
          <t>Programado 2025 (SisPT)</t>
        </is>
      </c>
      <c r="P7" s="16" t="inlineStr">
        <is>
          <t>Programado 2026 (SisPT)</t>
        </is>
      </c>
      <c r="Q7" s="54" t="inlineStr">
        <is>
          <t>Programado 2027 (SisPT)</t>
        </is>
      </c>
      <c r="R7" s="57" t="inlineStr">
        <is>
          <t>Ejecución Física 2024 (PIIP)</t>
        </is>
      </c>
      <c r="S7" s="65" t="inlineStr">
        <is>
          <t>Avance físico 2024 (%)</t>
        </is>
      </c>
      <c r="T7" s="66" t="inlineStr">
        <is>
          <t>Explicación del valor 2024</t>
        </is>
      </c>
      <c r="U7" s="57" t="inlineStr">
        <is>
          <t>Ejecución Física 2025 (PIIP)</t>
        </is>
      </c>
      <c r="V7" s="65" t="inlineStr">
        <is>
          <t>Avance físico 2025 (%)</t>
        </is>
      </c>
      <c r="W7" s="66" t="inlineStr">
        <is>
          <t>Explicación del valor 2025</t>
        </is>
      </c>
    </row>
    <row r="8">
      <c r="A8" t="inlineStr">
        <is>
          <t>IP-1, IP-2, IP-4</t>
        </is>
      </c>
      <c r="B8" t="inlineStr">
        <is>
          <t>45</t>
        </is>
      </c>
      <c r="C8" t="inlineStr">
        <is>
          <t>Gobierno Territorial</t>
        </is>
      </c>
      <c r="D8" t="inlineStr">
        <is>
          <t>4501</t>
        </is>
      </c>
      <c r="E8" t="inlineStr">
        <is>
          <t>Fortalecimiento de la convivencia y la seguridad ciudadana</t>
        </is>
      </c>
      <c r="F8" t="inlineStr">
        <is>
          <t>4501048</t>
        </is>
      </c>
      <c r="G8" t="inlineStr">
        <is>
          <t>Servicio de apoyo para el acceso a la justicia policiva</t>
        </is>
      </c>
      <c r="H8" t="inlineStr">
        <is>
          <t>450104800</t>
        </is>
      </c>
      <c r="I8" t="inlineStr">
        <is>
          <t>Estrategias implementadas</t>
        </is>
      </c>
      <c r="J8" t="inlineStr">
        <is>
          <t>2024252950001</t>
        </is>
      </c>
      <c r="K8" t="inlineStr">
        <is>
          <t>No</t>
        </is>
      </c>
      <c r="L8" t="inlineStr">
        <is>
          <t>Número</t>
        </is>
      </c>
      <c r="M8">
        <v>19</v>
      </c>
      <c r="N8">
        <v>37</v>
      </c>
      <c r="O8">
        <v>17</v>
      </c>
      <c r="P8">
        <v>19</v>
      </c>
      <c r="Q8">
        <v>17</v>
      </c>
      <c r="R8">
        <v>0</v>
      </c>
      <c r="S8" s="103">
        <v>0</v>
      </c>
      <c r="T8" t="inlineStr">
        <is>
          <t>No se ejecutó en la vigencia</t>
        </is>
      </c>
      <c r="U8">
        <v>2.5</v>
      </c>
      <c r="V8" s="104">
        <v>0.147058823529412</v>
      </c>
      <c r="W8" t="inlineStr">
        <is>
          <t>Lo ejecutado está por debajo de lo programado en la vigencia</t>
        </is>
      </c>
    </row>
    <row r="9">
      <c r="A9" t="inlineStr">
        <is>
          <t>IP-3</t>
        </is>
      </c>
      <c r="B9" t="inlineStr">
        <is>
          <t>45</t>
        </is>
      </c>
      <c r="C9" t="inlineStr">
        <is>
          <t>Gobierno Territorial</t>
        </is>
      </c>
      <c r="D9" t="inlineStr">
        <is>
          <t>4501</t>
        </is>
      </c>
      <c r="E9" t="inlineStr">
        <is>
          <t>Fortalecimiento de la convivencia y la seguridad ciudadana</t>
        </is>
      </c>
      <c r="F9" t="inlineStr">
        <is>
          <t>4501007</t>
        </is>
      </c>
      <c r="G9" t="inlineStr">
        <is>
          <t>Servicio información implementado</t>
        </is>
      </c>
      <c r="H9" t="inlineStr">
        <is>
          <t>450100700</t>
        </is>
      </c>
      <c r="I9" t="inlineStr">
        <is>
          <t>Sistemas de información implementados</t>
        </is>
      </c>
      <c r="J9" t="inlineStr">
        <is>
          <t>2024252950001</t>
        </is>
      </c>
      <c r="K9" t="inlineStr">
        <is>
          <t>Si</t>
        </is>
      </c>
      <c r="L9" t="inlineStr">
        <is>
          <t>Número</t>
        </is>
      </c>
      <c r="M9">
        <v>23</v>
      </c>
      <c r="N9">
        <v>8</v>
      </c>
      <c r="O9">
        <v>10</v>
      </c>
      <c r="P9">
        <v>10</v>
      </c>
      <c r="Q9">
        <v>3</v>
      </c>
      <c r="R9" t="inlineStr">
        <is>
          <t xml:space="preserve"> </t>
        </is>
      </c>
      <c r="S9" s="103" t="inlineStr">
        <is>
          <t xml:space="preserve"> </t>
        </is>
      </c>
      <c r="T9" t="inlineStr">
        <is>
          <t>No se encontró ejecución en PIIP</t>
        </is>
      </c>
      <c r="U9" t="inlineStr">
        <is>
          <t xml:space="preserve"> </t>
        </is>
      </c>
      <c r="V9" s="104" t="inlineStr">
        <is>
          <t xml:space="preserve"> </t>
        </is>
      </c>
      <c r="W9" t="inlineStr">
        <is>
          <t>No se encontró ejecución en PIIP</t>
        </is>
      </c>
    </row>
    <row r="10">
      <c r="A10" t="inlineStr">
        <is>
          <t>IP-5, IP-6</t>
        </is>
      </c>
      <c r="B10" t="inlineStr">
        <is>
          <t>45</t>
        </is>
      </c>
      <c r="C10" t="inlineStr">
        <is>
          <t>Gobierno Territorial</t>
        </is>
      </c>
      <c r="D10" t="inlineStr">
        <is>
          <t>4501</t>
        </is>
      </c>
      <c r="E10" t="inlineStr">
        <is>
          <t>Fortalecimiento de la convivencia y la seguridad ciudadana</t>
        </is>
      </c>
      <c r="F10" t="inlineStr">
        <is>
          <t>4501001</t>
        </is>
      </c>
      <c r="G10" t="inlineStr">
        <is>
          <t>Servicio de asistencia técnica</t>
        </is>
      </c>
      <c r="H10" t="inlineStr">
        <is>
          <t>450100100</t>
        </is>
      </c>
      <c r="I10" t="inlineStr">
        <is>
          <t>Instancias territoriales asistidas técnicamente</t>
        </is>
      </c>
      <c r="J10" t="inlineStr">
        <is>
          <t>2024252950001</t>
        </is>
      </c>
      <c r="K10" t="inlineStr">
        <is>
          <t>No</t>
        </is>
      </c>
      <c r="L10" t="inlineStr">
        <is>
          <t>Número</t>
        </is>
      </c>
      <c r="M10">
        <v>2</v>
      </c>
      <c r="N10">
        <v>20</v>
      </c>
      <c r="O10">
        <v>1</v>
      </c>
      <c r="P10">
        <v>0</v>
      </c>
      <c r="Q10">
        <v>0</v>
      </c>
      <c r="R10" t="inlineStr">
        <is>
          <t xml:space="preserve"> </t>
        </is>
      </c>
      <c r="S10" s="103" t="inlineStr">
        <is>
          <t xml:space="preserve"> </t>
        </is>
      </c>
      <c r="T10" t="inlineStr">
        <is>
          <t>No se encontró ejecución en PIIP</t>
        </is>
      </c>
      <c r="U10" t="inlineStr">
        <is>
          <t xml:space="preserve"> </t>
        </is>
      </c>
      <c r="V10" s="104" t="inlineStr">
        <is>
          <t xml:space="preserve"> </t>
        </is>
      </c>
      <c r="W10" t="inlineStr">
        <is>
          <t>No se encontró ejecución en PIIP</t>
        </is>
      </c>
    </row>
    <row r="11">
      <c r="A11" t="inlineStr">
        <is>
          <t>IP-10, IP-7, IP-8, IP-9</t>
        </is>
      </c>
      <c r="B11" t="inlineStr">
        <is>
          <t>45</t>
        </is>
      </c>
      <c r="C11" t="inlineStr">
        <is>
          <t>Gobierno Territorial</t>
        </is>
      </c>
      <c r="D11" t="inlineStr">
        <is>
          <t>4501</t>
        </is>
      </c>
      <c r="E11" t="inlineStr">
        <is>
          <t>Fortalecimiento de la convivencia y la seguridad ciudadana</t>
        </is>
      </c>
      <c r="F11" t="inlineStr">
        <is>
          <t>4501048</t>
        </is>
      </c>
      <c r="G11" t="inlineStr">
        <is>
          <t>Servicio de apoyo para el acceso a la justicia policiva</t>
        </is>
      </c>
      <c r="H11" t="inlineStr">
        <is>
          <t>450104800</t>
        </is>
      </c>
      <c r="I11" t="inlineStr">
        <is>
          <t>Estrategias implementadas</t>
        </is>
      </c>
      <c r="J11" t="inlineStr">
        <is>
          <t>2024252950001</t>
        </is>
      </c>
      <c r="K11" t="inlineStr">
        <is>
          <t>Si</t>
        </is>
      </c>
      <c r="L11" t="inlineStr">
        <is>
          <t>Número</t>
        </is>
      </c>
      <c r="M11">
        <v>85</v>
      </c>
      <c r="N11">
        <v>15</v>
      </c>
      <c r="O11">
        <v>27</v>
      </c>
      <c r="P11">
        <v>28</v>
      </c>
      <c r="Q11">
        <v>15</v>
      </c>
      <c r="R11" t="inlineStr">
        <is>
          <t xml:space="preserve"> </t>
        </is>
      </c>
      <c r="S11" s="103" t="inlineStr">
        <is>
          <t xml:space="preserve"> </t>
        </is>
      </c>
      <c r="T11" t="inlineStr">
        <is>
          <t>No se encontró ejecución en PIIP</t>
        </is>
      </c>
      <c r="U11" t="inlineStr">
        <is>
          <t xml:space="preserve"> </t>
        </is>
      </c>
      <c r="V11" s="104" t="inlineStr">
        <is>
          <t xml:space="preserve"> </t>
        </is>
      </c>
      <c r="W11" t="inlineStr">
        <is>
          <t>No se encontró ejecución en PIIP</t>
        </is>
      </c>
    </row>
    <row r="12">
      <c r="A12" t="inlineStr">
        <is>
          <t>IP-11</t>
        </is>
      </c>
      <c r="B12" t="inlineStr">
        <is>
          <t>45</t>
        </is>
      </c>
      <c r="C12" t="inlineStr">
        <is>
          <t>Gobierno Territorial</t>
        </is>
      </c>
      <c r="D12" t="inlineStr">
        <is>
          <t>4501</t>
        </is>
      </c>
      <c r="E12" t="inlineStr">
        <is>
          <t>Fortalecimiento de la convivencia y la seguridad ciudadana</t>
        </is>
      </c>
      <c r="F12" t="inlineStr">
        <is>
          <t>4501001</t>
        </is>
      </c>
      <c r="G12" t="inlineStr">
        <is>
          <t>Servicio de asistencia técnica</t>
        </is>
      </c>
      <c r="H12" t="inlineStr">
        <is>
          <t>450100100</t>
        </is>
      </c>
      <c r="I12" t="inlineStr">
        <is>
          <t>Instancias territoriales asistidas técnicamente</t>
        </is>
      </c>
      <c r="J12" t="inlineStr">
        <is>
          <t>2024252950002</t>
        </is>
      </c>
      <c r="K12" t="inlineStr">
        <is>
          <t>No</t>
        </is>
      </c>
      <c r="L12" t="inlineStr">
        <is>
          <t>Número</t>
        </is>
      </c>
      <c r="M12">
        <v>1</v>
      </c>
      <c r="N12">
        <v>1</v>
      </c>
      <c r="O12">
        <v>1</v>
      </c>
      <c r="P12">
        <v>1</v>
      </c>
      <c r="Q12">
        <v>1</v>
      </c>
      <c r="R12" t="inlineStr">
        <is>
          <t xml:space="preserve"> </t>
        </is>
      </c>
      <c r="S12" s="103" t="inlineStr">
        <is>
          <t xml:space="preserve"> </t>
        </is>
      </c>
      <c r="T12" t="inlineStr">
        <is>
          <t>No se encontró ejecución en PIIP</t>
        </is>
      </c>
      <c r="U12" t="inlineStr">
        <is>
          <t xml:space="preserve"> </t>
        </is>
      </c>
      <c r="V12" s="104" t="inlineStr">
        <is>
          <t xml:space="preserve"> </t>
        </is>
      </c>
      <c r="W12" t="inlineStr">
        <is>
          <t>No se encontró ejecución en PIIP</t>
        </is>
      </c>
    </row>
    <row r="13">
      <c r="A13" t="inlineStr">
        <is>
          <t>IP-12</t>
        </is>
      </c>
      <c r="B13" t="inlineStr">
        <is>
          <t>41</t>
        </is>
      </c>
      <c r="C13" t="inlineStr">
        <is>
          <t xml:space="preserve">Inclusión social y reconciliación </t>
        </is>
      </c>
      <c r="D13" t="inlineStr">
        <is>
          <t>4101</t>
        </is>
      </c>
      <c r="E13" t="inlineStr">
        <is>
          <t>Atención, asistencia y reparación integral a las víctimas</t>
        </is>
      </c>
      <c r="F13" t="inlineStr">
        <is>
          <t>4101031</t>
        </is>
      </c>
      <c r="G13" t="inlineStr">
        <is>
          <t>Servicios de implementaciónde medidas de satisfacción y acompañamiento a las víctimas del conflicto armado</t>
        </is>
      </c>
      <c r="H13" t="inlineStr">
        <is>
          <t>410103102</t>
        </is>
      </c>
      <c r="I13" t="inlineStr">
        <is>
          <t>Acciones realizadas en cumplimiento de las medidas de satisfacción, distintas al mensaje estatal de reconocimiento.</t>
        </is>
      </c>
      <c r="J13" t="inlineStr">
        <is>
          <t>2024252950003</t>
        </is>
      </c>
      <c r="K13" t="inlineStr">
        <is>
          <t>No</t>
        </is>
      </c>
      <c r="L13" t="inlineStr">
        <is>
          <t>Número</t>
        </is>
      </c>
      <c r="M13">
        <v>100</v>
      </c>
      <c r="N13">
        <v>100</v>
      </c>
      <c r="O13">
        <v>100</v>
      </c>
      <c r="P13">
        <v>100</v>
      </c>
      <c r="Q13">
        <v>100</v>
      </c>
      <c r="R13" t="inlineStr">
        <is>
          <t xml:space="preserve"> </t>
        </is>
      </c>
      <c r="S13" s="103" t="inlineStr">
        <is>
          <t xml:space="preserve"> </t>
        </is>
      </c>
      <c r="T13" t="inlineStr">
        <is>
          <t>No se encontró ejecución en PIIP</t>
        </is>
      </c>
      <c r="U13" t="inlineStr">
        <is>
          <t xml:space="preserve"> </t>
        </is>
      </c>
      <c r="V13" s="104" t="inlineStr">
        <is>
          <t xml:space="preserve"> </t>
        </is>
      </c>
      <c r="W13" t="inlineStr">
        <is>
          <t>No se encontró ejecución en PIIP</t>
        </is>
      </c>
    </row>
    <row r="14">
      <c r="A14" t="inlineStr">
        <is>
          <t>IP-13</t>
        </is>
      </c>
      <c r="B14" t="inlineStr">
        <is>
          <t>40</t>
        </is>
      </c>
      <c r="C14" t="inlineStr">
        <is>
          <t>Vivienda, ciudad y territorio</t>
        </is>
      </c>
      <c r="D14" t="inlineStr">
        <is>
          <t>4001</t>
        </is>
      </c>
      <c r="E14" t="inlineStr">
        <is>
          <t>Acceso a soluciones de vivienda</t>
        </is>
      </c>
      <c r="F14" t="inlineStr">
        <is>
          <t>4001032</t>
        </is>
      </c>
      <c r="G14" t="inlineStr">
        <is>
          <t>Servicio de apoyo financiero para mejoramiento de vivienda</t>
        </is>
      </c>
      <c r="H14" t="inlineStr">
        <is>
          <t>400103200</t>
        </is>
      </c>
      <c r="I14" t="inlineStr">
        <is>
          <t>Hogares beneficiados con mejoramiento de una vivienda  </t>
        </is>
      </c>
      <c r="J14" t="inlineStr">
        <is>
          <t>2024252950003</t>
        </is>
      </c>
      <c r="K14" t="inlineStr">
        <is>
          <t>Si</t>
        </is>
      </c>
      <c r="L14" t="inlineStr">
        <is>
          <t>Número</t>
        </is>
      </c>
      <c r="M14">
        <v>500</v>
      </c>
      <c r="N14">
        <v>0</v>
      </c>
      <c r="O14">
        <v>200</v>
      </c>
      <c r="P14">
        <v>200</v>
      </c>
      <c r="Q14">
        <v>50</v>
      </c>
      <c r="R14" t="inlineStr">
        <is>
          <t xml:space="preserve"> </t>
        </is>
      </c>
      <c r="S14" s="103" t="inlineStr">
        <is>
          <t xml:space="preserve"> </t>
        </is>
      </c>
      <c r="T14" t="inlineStr">
        <is>
          <t>No se encontró ejecución en PIIP</t>
        </is>
      </c>
      <c r="U14" t="inlineStr">
        <is>
          <t xml:space="preserve"> </t>
        </is>
      </c>
      <c r="V14" s="104" t="inlineStr">
        <is>
          <t xml:space="preserve"> </t>
        </is>
      </c>
      <c r="W14" t="inlineStr">
        <is>
          <t>No se encontró ejecución en PIIP</t>
        </is>
      </c>
    </row>
    <row r="15">
      <c r="A15" t="inlineStr">
        <is>
          <t>IP-14</t>
        </is>
      </c>
      <c r="B15" t="inlineStr">
        <is>
          <t>40</t>
        </is>
      </c>
      <c r="C15" t="inlineStr">
        <is>
          <t>Vivienda, ciudad y territorio</t>
        </is>
      </c>
      <c r="D15" t="inlineStr">
        <is>
          <t>4001</t>
        </is>
      </c>
      <c r="E15" t="inlineStr">
        <is>
          <t>Acceso a soluciones de vivienda</t>
        </is>
      </c>
      <c r="F15" t="inlineStr">
        <is>
          <t>4001044</t>
        </is>
      </c>
      <c r="G15" t="inlineStr">
        <is>
          <t>Vivienda de Interés Social mejoradas</t>
        </is>
      </c>
      <c r="H15" t="inlineStr">
        <is>
          <t>400104400</t>
        </is>
      </c>
      <c r="I15" t="inlineStr">
        <is>
          <t>Vivienda de Interés Social mejoradas</t>
        </is>
      </c>
      <c r="J15" t="inlineStr">
        <is>
          <t>2024252950004</t>
        </is>
      </c>
      <c r="K15" t="inlineStr">
        <is>
          <t>Si</t>
        </is>
      </c>
      <c r="L15" t="inlineStr">
        <is>
          <t>Número</t>
        </is>
      </c>
      <c r="M15">
        <v>80</v>
      </c>
      <c r="N15">
        <v>10</v>
      </c>
      <c r="O15">
        <v>30</v>
      </c>
      <c r="P15">
        <v>30</v>
      </c>
      <c r="Q15">
        <v>10</v>
      </c>
      <c r="R15" t="inlineStr">
        <is>
          <t xml:space="preserve"> </t>
        </is>
      </c>
      <c r="S15" s="103" t="inlineStr">
        <is>
          <t xml:space="preserve"> </t>
        </is>
      </c>
      <c r="T15" t="inlineStr">
        <is>
          <t>No se encontró ejecución en PIIP</t>
        </is>
      </c>
      <c r="U15" t="inlineStr">
        <is>
          <t xml:space="preserve"> </t>
        </is>
      </c>
      <c r="V15" s="104" t="inlineStr">
        <is>
          <t xml:space="preserve"> </t>
        </is>
      </c>
      <c r="W15" t="inlineStr">
        <is>
          <t>No se encontró ejecución en PIIP</t>
        </is>
      </c>
    </row>
    <row r="16">
      <c r="A16" t="inlineStr">
        <is>
          <t>IP-15, IP-17</t>
        </is>
      </c>
      <c r="B16" t="inlineStr">
        <is>
          <t>32</t>
        </is>
      </c>
      <c r="C16" t="inlineStr">
        <is>
          <t>Ambiente y desarrollo sostenible</t>
        </is>
      </c>
      <c r="D16" t="inlineStr">
        <is>
          <t>3205</t>
        </is>
      </c>
      <c r="E16" t="inlineStr">
        <is>
          <t>Ordenamiento ambiental territorial</t>
        </is>
      </c>
      <c r="F16" t="inlineStr">
        <is>
          <t>3205001</t>
        </is>
      </c>
      <c r="G16" t="inlineStr">
        <is>
          <t>Documentos de lineamientos técnicos para el ordenamiento ambiental territorial</t>
        </is>
      </c>
      <c r="H16" t="inlineStr">
        <is>
          <t>320500102</t>
        </is>
      </c>
      <c r="I16" t="inlineStr">
        <is>
          <t xml:space="preserve">Documentos de lineamientos técnicos con directrices ambientales y de gestión del riesgo en la planificación ambiental territorial divulgados </t>
        </is>
      </c>
      <c r="J16" t="inlineStr">
        <is>
          <t>2024252950004</t>
        </is>
      </c>
      <c r="K16" t="inlineStr">
        <is>
          <t>No</t>
        </is>
      </c>
      <c r="L16" t="inlineStr">
        <is>
          <t>Número</t>
        </is>
      </c>
      <c r="M16">
        <v>2</v>
      </c>
      <c r="N16">
        <v>0</v>
      </c>
      <c r="O16">
        <v>1</v>
      </c>
      <c r="P16">
        <v>1</v>
      </c>
      <c r="Q16">
        <v>0</v>
      </c>
      <c r="R16" t="inlineStr">
        <is>
          <t xml:space="preserve"> </t>
        </is>
      </c>
      <c r="S16" s="103" t="inlineStr">
        <is>
          <t xml:space="preserve"> </t>
        </is>
      </c>
      <c r="T16" t="inlineStr">
        <is>
          <t>No se encontró ejecución en PIIP</t>
        </is>
      </c>
      <c r="U16" t="inlineStr">
        <is>
          <t xml:space="preserve"> </t>
        </is>
      </c>
      <c r="V16" s="104" t="inlineStr">
        <is>
          <t xml:space="preserve"> </t>
        </is>
      </c>
      <c r="W16" t="inlineStr">
        <is>
          <t>No se encontró ejecución en PIIP</t>
        </is>
      </c>
    </row>
    <row r="17">
      <c r="A17" t="inlineStr">
        <is>
          <t>IP-16</t>
        </is>
      </c>
      <c r="B17" t="inlineStr">
        <is>
          <t>32</t>
        </is>
      </c>
      <c r="C17" t="inlineStr">
        <is>
          <t>Ambiente y desarrollo sostenible</t>
        </is>
      </c>
      <c r="D17" t="inlineStr">
        <is>
          <t>3205</t>
        </is>
      </c>
      <c r="E17" t="inlineStr">
        <is>
          <t>Ordenamiento ambiental territorial</t>
        </is>
      </c>
      <c r="F17" t="inlineStr">
        <is>
          <t>3205001</t>
        </is>
      </c>
      <c r="G17" t="inlineStr">
        <is>
          <t>Documentos de lineamientos técnicos para el ordenamiento ambiental territorial</t>
        </is>
      </c>
      <c r="H17" t="inlineStr">
        <is>
          <t>320500102</t>
        </is>
      </c>
      <c r="I17" t="inlineStr">
        <is>
          <t xml:space="preserve">Documentos de lineamientos técnicos con directrices ambientales y de gestión del riesgo en la planificación ambiental territorial divulgados </t>
        </is>
      </c>
      <c r="J17" t="inlineStr">
        <is>
          <t>2024252950004</t>
        </is>
      </c>
      <c r="K17" t="inlineStr">
        <is>
          <t>Si</t>
        </is>
      </c>
      <c r="L17" t="inlineStr">
        <is>
          <t>Número</t>
        </is>
      </c>
      <c r="M17">
        <v>40</v>
      </c>
      <c r="N17">
        <v>10</v>
      </c>
      <c r="O17">
        <v>10</v>
      </c>
      <c r="P17">
        <v>10</v>
      </c>
      <c r="Q17">
        <v>10</v>
      </c>
      <c r="R17" t="inlineStr">
        <is>
          <t xml:space="preserve"> </t>
        </is>
      </c>
      <c r="S17" s="103" t="inlineStr">
        <is>
          <t xml:space="preserve"> </t>
        </is>
      </c>
      <c r="T17" t="inlineStr">
        <is>
          <t>No se encontró ejecución en PIIP</t>
        </is>
      </c>
      <c r="U17" t="inlineStr">
        <is>
          <t xml:space="preserve"> </t>
        </is>
      </c>
      <c r="V17" s="104" t="inlineStr">
        <is>
          <t xml:space="preserve"> </t>
        </is>
      </c>
      <c r="W17" t="inlineStr">
        <is>
          <t>No se encontró ejecución en PIIP</t>
        </is>
      </c>
    </row>
    <row r="18">
      <c r="A18" t="inlineStr">
        <is>
          <t>IP-18</t>
        </is>
      </c>
      <c r="B18" t="inlineStr">
        <is>
          <t>32</t>
        </is>
      </c>
      <c r="C18" t="inlineStr">
        <is>
          <t>Ambiente y desarrollo sostenible</t>
        </is>
      </c>
      <c r="D18" t="inlineStr">
        <is>
          <t>3205</t>
        </is>
      </c>
      <c r="E18" t="inlineStr">
        <is>
          <t>Ordenamiento ambiental territorial</t>
        </is>
      </c>
      <c r="F18" t="inlineStr">
        <is>
          <t>3205001</t>
        </is>
      </c>
      <c r="G18" t="inlineStr">
        <is>
          <t>Documentos de lineamientos técnicos para el ordenamiento ambiental territorial</t>
        </is>
      </c>
      <c r="H18" t="inlineStr">
        <is>
          <t>320500102</t>
        </is>
      </c>
      <c r="I18" t="inlineStr">
        <is>
          <t xml:space="preserve">Documentos de lineamientos técnicos con directrices ambientales y de gestión del riesgo en la planificación ambiental territorial divulgados </t>
        </is>
      </c>
      <c r="J18" t="inlineStr">
        <is>
          <t>2024252950005</t>
        </is>
      </c>
      <c r="K18" t="inlineStr">
        <is>
          <t>Si</t>
        </is>
      </c>
      <c r="L18" t="inlineStr">
        <is>
          <t>Número</t>
        </is>
      </c>
      <c r="M18">
        <v>45</v>
      </c>
      <c r="N18">
        <v>10</v>
      </c>
      <c r="O18">
        <v>13</v>
      </c>
      <c r="P18">
        <v>12</v>
      </c>
      <c r="Q18">
        <v>10</v>
      </c>
      <c r="R18" t="inlineStr">
        <is>
          <t xml:space="preserve"> </t>
        </is>
      </c>
      <c r="S18" s="103" t="inlineStr">
        <is>
          <t xml:space="preserve"> </t>
        </is>
      </c>
      <c r="T18" t="inlineStr">
        <is>
          <t>No se encontró ejecución en PIIP</t>
        </is>
      </c>
      <c r="U18" t="inlineStr">
        <is>
          <t xml:space="preserve"> </t>
        </is>
      </c>
      <c r="V18" s="104" t="inlineStr">
        <is>
          <t xml:space="preserve"> </t>
        </is>
      </c>
      <c r="W18" t="inlineStr">
        <is>
          <t>No se encontró ejecución en PIIP</t>
        </is>
      </c>
    </row>
    <row r="19">
      <c r="A19" t="inlineStr">
        <is>
          <t>IP-19, IP-20, IP-21</t>
        </is>
      </c>
      <c r="B19" t="inlineStr">
        <is>
          <t>22</t>
        </is>
      </c>
      <c r="C19" t="inlineStr">
        <is>
          <t>Educación</t>
        </is>
      </c>
      <c r="D19" t="inlineStr">
        <is>
          <t>2202</t>
        </is>
      </c>
      <c r="E19" t="inlineStr">
        <is>
          <t>Calidad y fomento de la educación superior</t>
        </is>
      </c>
      <c r="F19" t="inlineStr">
        <is>
          <t>2202064</t>
        </is>
      </c>
      <c r="G19" t="inlineStr">
        <is>
          <t>Servicio de apoyo financiero para la permanencia a la educación superior</t>
        </is>
      </c>
      <c r="H19" t="inlineStr">
        <is>
          <t>220206405</t>
        </is>
      </c>
      <c r="I19" t="inlineStr">
        <is>
          <t>Beneficiarios de estrategias de fomento a la educación inclusiva</t>
        </is>
      </c>
      <c r="J19" t="inlineStr">
        <is>
          <t>2024252950005</t>
        </is>
      </c>
      <c r="K19" t="inlineStr">
        <is>
          <t>Si</t>
        </is>
      </c>
      <c r="L19" t="inlineStr">
        <is>
          <t>Número</t>
        </is>
      </c>
      <c r="M19">
        <v>660</v>
      </c>
      <c r="N19">
        <v>80</v>
      </c>
      <c r="O19">
        <v>150</v>
      </c>
      <c r="P19">
        <v>250</v>
      </c>
      <c r="Q19">
        <v>180</v>
      </c>
      <c r="R19" t="inlineStr">
        <is>
          <t xml:space="preserve"> </t>
        </is>
      </c>
      <c r="S19" s="103" t="inlineStr">
        <is>
          <t xml:space="preserve"> </t>
        </is>
      </c>
      <c r="T19" t="inlineStr">
        <is>
          <t>No se encontró ejecución en PIIP</t>
        </is>
      </c>
      <c r="U19" t="inlineStr">
        <is>
          <t xml:space="preserve"> </t>
        </is>
      </c>
      <c r="V19" s="104" t="inlineStr">
        <is>
          <t xml:space="preserve"> </t>
        </is>
      </c>
      <c r="W19" t="inlineStr">
        <is>
          <t>No se encontró ejecución en PIIP</t>
        </is>
      </c>
    </row>
    <row r="20">
      <c r="A20" t="inlineStr">
        <is>
          <t>IP-22</t>
        </is>
      </c>
      <c r="B20" t="inlineStr">
        <is>
          <t>22</t>
        </is>
      </c>
      <c r="C20" t="inlineStr">
        <is>
          <t>Educación</t>
        </is>
      </c>
      <c r="D20" t="inlineStr">
        <is>
          <t>2202</t>
        </is>
      </c>
      <c r="E20" t="inlineStr">
        <is>
          <t>Calidad y fomento de la educación superior</t>
        </is>
      </c>
      <c r="F20" t="inlineStr">
        <is>
          <t>2202064</t>
        </is>
      </c>
      <c r="G20" t="inlineStr">
        <is>
          <t>Servicio de apoyo financiero para la permanencia a la educación superior</t>
        </is>
      </c>
      <c r="H20" t="inlineStr">
        <is>
          <t>220206405</t>
        </is>
      </c>
      <c r="I20" t="inlineStr">
        <is>
          <t>Beneficiarios de estrategias de fomento a la educación inclusiva</t>
        </is>
      </c>
      <c r="J20" t="inlineStr">
        <is>
          <t>2024252950006</t>
        </is>
      </c>
      <c r="K20" t="inlineStr">
        <is>
          <t>No</t>
        </is>
      </c>
      <c r="L20" t="inlineStr">
        <is>
          <t>Número</t>
        </is>
      </c>
      <c r="M20">
        <v>1</v>
      </c>
      <c r="N20">
        <v>1</v>
      </c>
      <c r="O20">
        <v>1</v>
      </c>
      <c r="P20">
        <v>1</v>
      </c>
      <c r="Q20">
        <v>1</v>
      </c>
      <c r="R20" t="inlineStr">
        <is>
          <t xml:space="preserve"> </t>
        </is>
      </c>
      <c r="S20" s="103" t="inlineStr">
        <is>
          <t xml:space="preserve"> </t>
        </is>
      </c>
      <c r="T20" t="inlineStr">
        <is>
          <t>No se encontró ejecución en PIIP</t>
        </is>
      </c>
      <c r="U20" t="inlineStr">
        <is>
          <t xml:space="preserve"> </t>
        </is>
      </c>
      <c r="V20" s="104" t="inlineStr">
        <is>
          <t xml:space="preserve"> </t>
        </is>
      </c>
      <c r="W20" t="inlineStr">
        <is>
          <t>No se encontró ejecución en PIIP</t>
        </is>
      </c>
    </row>
    <row r="21">
      <c r="A21" t="inlineStr">
        <is>
          <t>IP-23</t>
        </is>
      </c>
      <c r="B21" t="inlineStr">
        <is>
          <t>22</t>
        </is>
      </c>
      <c r="C21" t="inlineStr">
        <is>
          <t>Educación</t>
        </is>
      </c>
      <c r="D21" t="inlineStr">
        <is>
          <t>2201</t>
        </is>
      </c>
      <c r="E21" t="inlineStr">
        <is>
          <t>Calidad, cobertura y fortalecimiento de la educación inicial, prescolar, básica y media</t>
        </is>
      </c>
      <c r="F21" t="inlineStr">
        <is>
          <t>2201069</t>
        </is>
      </c>
      <c r="G21" t="inlineStr">
        <is>
          <t>Infraestructura educativa dotada</t>
        </is>
      </c>
      <c r="H21" t="inlineStr">
        <is>
          <t>220106908</t>
        </is>
      </c>
      <c r="I21" t="inlineStr">
        <is>
          <t>Aulas dotadas</t>
        </is>
      </c>
      <c r="J21" t="inlineStr">
        <is>
          <t>2024252950006</t>
        </is>
      </c>
      <c r="K21" t="inlineStr">
        <is>
          <t>Si</t>
        </is>
      </c>
      <c r="L21" t="inlineStr">
        <is>
          <t>Número</t>
        </is>
      </c>
      <c r="M21">
        <v>9</v>
      </c>
      <c r="N21">
        <v>1</v>
      </c>
      <c r="O21">
        <v>3</v>
      </c>
      <c r="P21">
        <v>3</v>
      </c>
      <c r="Q21">
        <v>2</v>
      </c>
      <c r="R21" t="inlineStr">
        <is>
          <t xml:space="preserve"> </t>
        </is>
      </c>
      <c r="S21" s="103" t="inlineStr">
        <is>
          <t xml:space="preserve"> </t>
        </is>
      </c>
      <c r="T21" t="inlineStr">
        <is>
          <t>No se encontró ejecución en PIIP</t>
        </is>
      </c>
      <c r="U21" t="inlineStr">
        <is>
          <t xml:space="preserve"> </t>
        </is>
      </c>
      <c r="V21" s="104" t="inlineStr">
        <is>
          <t xml:space="preserve"> </t>
        </is>
      </c>
      <c r="W21" t="inlineStr">
        <is>
          <t>No se encontró ejecución en PIIP</t>
        </is>
      </c>
    </row>
    <row r="22">
      <c r="A22" t="inlineStr">
        <is>
          <t>IP-24</t>
        </is>
      </c>
      <c r="B22" t="inlineStr">
        <is>
          <t>23</t>
        </is>
      </c>
      <c r="C22" t="inlineStr">
        <is>
          <t>Tecnologías de la información y las comunicaciones</t>
        </is>
      </c>
      <c r="D22" t="inlineStr">
        <is>
          <t>2301</t>
        </is>
      </c>
      <c r="E22" t="inlineStr">
        <is>
          <t>Facilitar el acceso y uso de las Tecnologías de la Información y las Comunicaciones (TIC) en todo el territorio nacional</t>
        </is>
      </c>
      <c r="F22" t="inlineStr">
        <is>
          <t>2301079</t>
        </is>
      </c>
      <c r="G22" t="inlineStr">
        <is>
          <t xml:space="preserve"> Servicio de acceso zonas digitales</t>
        </is>
      </c>
      <c r="H22" t="inlineStr">
        <is>
          <t>230107904</t>
        </is>
      </c>
      <c r="I22" t="inlineStr">
        <is>
          <t>Usuarios asistidos por zona digital</t>
        </is>
      </c>
      <c r="J22" t="inlineStr">
        <is>
          <t>2024252950006</t>
        </is>
      </c>
      <c r="K22" t="inlineStr">
        <is>
          <t>No</t>
        </is>
      </c>
      <c r="L22" t="inlineStr">
        <is>
          <t>Número</t>
        </is>
      </c>
      <c r="M22">
        <v>1</v>
      </c>
      <c r="N22">
        <v>1</v>
      </c>
      <c r="O22">
        <v>1</v>
      </c>
      <c r="P22">
        <v>1</v>
      </c>
      <c r="Q22">
        <v>1</v>
      </c>
      <c r="R22" t="inlineStr">
        <is>
          <t xml:space="preserve"> </t>
        </is>
      </c>
      <c r="S22" s="103" t="inlineStr">
        <is>
          <t xml:space="preserve"> </t>
        </is>
      </c>
      <c r="T22" t="inlineStr">
        <is>
          <t>No se encontró ejecución en PIIP</t>
        </is>
      </c>
      <c r="U22" t="inlineStr">
        <is>
          <t xml:space="preserve"> </t>
        </is>
      </c>
      <c r="V22" s="104" t="inlineStr">
        <is>
          <t xml:space="preserve"> </t>
        </is>
      </c>
      <c r="W22" t="inlineStr">
        <is>
          <t>No se encontró ejecución en PIIP</t>
        </is>
      </c>
    </row>
    <row r="23">
      <c r="A23" t="inlineStr">
        <is>
          <t>IP-25, IP-28</t>
        </is>
      </c>
      <c r="B23" t="inlineStr">
        <is>
          <t>22</t>
        </is>
      </c>
      <c r="C23" t="inlineStr">
        <is>
          <t>Educación</t>
        </is>
      </c>
      <c r="D23" t="inlineStr">
        <is>
          <t>2201</t>
        </is>
      </c>
      <c r="E23" t="inlineStr">
        <is>
          <t>Calidad, cobertura y fortalecimiento de la educación inicial, prescolar, básica y media</t>
        </is>
      </c>
      <c r="F23" t="inlineStr">
        <is>
          <t>2201069</t>
        </is>
      </c>
      <c r="G23" t="inlineStr">
        <is>
          <t>Infraestructura educativa dotada</t>
        </is>
      </c>
      <c r="H23" t="inlineStr">
        <is>
          <t>220106908</t>
        </is>
      </c>
      <c r="I23" t="inlineStr">
        <is>
          <t>Aulas dotadas</t>
        </is>
      </c>
      <c r="J23" t="inlineStr">
        <is>
          <t>2024252950006</t>
        </is>
      </c>
      <c r="K23" t="inlineStr">
        <is>
          <t>No</t>
        </is>
      </c>
      <c r="L23" t="inlineStr">
        <is>
          <t>Número</t>
        </is>
      </c>
      <c r="M23">
        <v>72</v>
      </c>
      <c r="N23">
        <v>72</v>
      </c>
      <c r="O23">
        <v>72</v>
      </c>
      <c r="P23">
        <v>72</v>
      </c>
      <c r="Q23">
        <v>72</v>
      </c>
      <c r="R23" t="inlineStr">
        <is>
          <t xml:space="preserve"> </t>
        </is>
      </c>
      <c r="S23" s="103" t="inlineStr">
        <is>
          <t xml:space="preserve"> </t>
        </is>
      </c>
      <c r="T23" t="inlineStr">
        <is>
          <t>No se encontró ejecución en PIIP</t>
        </is>
      </c>
      <c r="U23" t="inlineStr">
        <is>
          <t xml:space="preserve"> </t>
        </is>
      </c>
      <c r="V23" s="104" t="inlineStr">
        <is>
          <t xml:space="preserve"> </t>
        </is>
      </c>
      <c r="W23" t="inlineStr">
        <is>
          <t>No se encontró ejecución en PIIP</t>
        </is>
      </c>
    </row>
    <row r="24">
      <c r="A24" t="inlineStr">
        <is>
          <t>IP-26</t>
        </is>
      </c>
      <c r="B24" t="inlineStr">
        <is>
          <t>22</t>
        </is>
      </c>
      <c r="C24" t="inlineStr">
        <is>
          <t>Educación</t>
        </is>
      </c>
      <c r="D24" t="inlineStr">
        <is>
          <t>2201</t>
        </is>
      </c>
      <c r="E24" t="inlineStr">
        <is>
          <t>Calidad, cobertura y fortalecimiento de la educación inicial, prescolar, básica y media</t>
        </is>
      </c>
      <c r="F24" t="inlineStr">
        <is>
          <t>2201089</t>
        </is>
      </c>
      <c r="G24" t="inlineStr">
        <is>
          <t>Servicio de asistencia técnica</t>
        </is>
      </c>
      <c r="H24" t="inlineStr">
        <is>
          <t>220108900</t>
        </is>
      </c>
      <c r="I24" t="inlineStr">
        <is>
          <t>Asistencias Técnicas Realizadas</t>
        </is>
      </c>
      <c r="J24" t="inlineStr">
        <is>
          <t>2024252950006</t>
        </is>
      </c>
      <c r="K24" t="inlineStr">
        <is>
          <t>No</t>
        </is>
      </c>
      <c r="L24" t="inlineStr">
        <is>
          <t>Número</t>
        </is>
      </c>
      <c r="M24">
        <v>1</v>
      </c>
      <c r="N24">
        <v>1</v>
      </c>
      <c r="O24">
        <v>1</v>
      </c>
      <c r="P24">
        <v>1</v>
      </c>
      <c r="Q24">
        <v>1</v>
      </c>
      <c r="R24">
        <v>1</v>
      </c>
      <c r="S24" s="103">
        <v>1</v>
      </c>
      <c r="T24" t="inlineStr">
        <is>
          <t>Se ejecutó el 100% de lo programado en la vigencia</t>
        </is>
      </c>
      <c r="U24">
        <v>0.4</v>
      </c>
      <c r="V24" s="104">
        <v>0.4</v>
      </c>
      <c r="W24" t="inlineStr">
        <is>
          <t>Lo ejecutado está por debajo de lo programado en la vigencia</t>
        </is>
      </c>
    </row>
    <row r="25">
      <c r="A25" t="inlineStr">
        <is>
          <t>IP-27</t>
        </is>
      </c>
      <c r="B25" t="inlineStr">
        <is>
          <t>22</t>
        </is>
      </c>
      <c r="C25" t="inlineStr">
        <is>
          <t>Educación</t>
        </is>
      </c>
      <c r="D25" t="inlineStr">
        <is>
          <t>2201</t>
        </is>
      </c>
      <c r="E25" t="inlineStr">
        <is>
          <t>Calidad, cobertura y fortalecimiento de la educación inicial, prescolar, básica y media</t>
        </is>
      </c>
      <c r="F25" t="inlineStr">
        <is>
          <t>2201039</t>
        </is>
      </c>
      <c r="G25" t="inlineStr">
        <is>
          <t>Estudios y diseños de infraestructura educativa</t>
        </is>
      </c>
      <c r="H25" t="inlineStr">
        <is>
          <t>220103900</t>
        </is>
      </c>
      <c r="I25" t="inlineStr">
        <is>
          <t>Estudios y diseños de infraestructura educativa elaborados</t>
        </is>
      </c>
      <c r="J25" t="inlineStr">
        <is>
          <t>2024252950006</t>
        </is>
      </c>
      <c r="K25" t="inlineStr">
        <is>
          <t>No</t>
        </is>
      </c>
      <c r="L25" t="inlineStr">
        <is>
          <t>Número</t>
        </is>
      </c>
      <c r="M25">
        <v>1</v>
      </c>
      <c r="N25">
        <v>0</v>
      </c>
      <c r="O25">
        <v>0</v>
      </c>
      <c r="P25">
        <v>1</v>
      </c>
      <c r="Q25">
        <v>0</v>
      </c>
      <c r="R25">
        <v>0</v>
      </c>
      <c r="S25" s="103" t="inlineStr">
        <is>
          <t xml:space="preserve"> </t>
        </is>
      </c>
      <c r="T25" t="inlineStr">
        <is>
          <t>No se programó ni ejecutó en la vigencia</t>
        </is>
      </c>
      <c r="U25" t="inlineStr">
        <is>
          <t xml:space="preserve"> </t>
        </is>
      </c>
      <c r="V25" s="104" t="inlineStr">
        <is>
          <t xml:space="preserve"> </t>
        </is>
      </c>
      <c r="W25" t="inlineStr">
        <is>
          <t>No se encontró ejecución en PIIP</t>
        </is>
      </c>
    </row>
    <row r="26">
      <c r="A26" t="inlineStr">
        <is>
          <t>IP-29</t>
        </is>
      </c>
      <c r="B26" t="inlineStr">
        <is>
          <t>22</t>
        </is>
      </c>
      <c r="C26" t="inlineStr">
        <is>
          <t>Educación</t>
        </is>
      </c>
      <c r="D26" t="inlineStr">
        <is>
          <t>2201</t>
        </is>
      </c>
      <c r="E26" t="inlineStr">
        <is>
          <t>Calidad, cobertura y fortalecimiento de la educación inicial, prescolar, básica y media</t>
        </is>
      </c>
      <c r="F26" t="inlineStr">
        <is>
          <t>2201028</t>
        </is>
      </c>
      <c r="G26" t="inlineStr">
        <is>
          <t>Servicio de apoyo a la permanencia con alimentación escolar</t>
        </is>
      </c>
      <c r="H26" t="inlineStr">
        <is>
          <t>220102804</t>
        </is>
      </c>
      <c r="I26" t="inlineStr">
        <is>
          <t>Beneficiarios de jornada regular</t>
        </is>
      </c>
      <c r="J26" t="inlineStr">
        <is>
          <t>2024252950006</t>
        </is>
      </c>
      <c r="K26" t="inlineStr">
        <is>
          <t>No</t>
        </is>
      </c>
      <c r="L26" t="inlineStr">
        <is>
          <t>Número</t>
        </is>
      </c>
      <c r="M26">
        <v>2645</v>
      </c>
      <c r="N26">
        <v>2645</v>
      </c>
      <c r="O26">
        <v>2645</v>
      </c>
      <c r="P26">
        <v>2645</v>
      </c>
      <c r="Q26">
        <v>2645</v>
      </c>
      <c r="R26" t="inlineStr">
        <is>
          <t xml:space="preserve"> </t>
        </is>
      </c>
      <c r="S26" s="103" t="inlineStr">
        <is>
          <t xml:space="preserve"> </t>
        </is>
      </c>
      <c r="T26" t="inlineStr">
        <is>
          <t>No se encontró ejecución en PIIP</t>
        </is>
      </c>
      <c r="U26" t="inlineStr">
        <is>
          <t xml:space="preserve"> </t>
        </is>
      </c>
      <c r="V26" s="104" t="inlineStr">
        <is>
          <t xml:space="preserve"> </t>
        </is>
      </c>
      <c r="W26" t="inlineStr">
        <is>
          <t>No se encontró ejecución en PIIP</t>
        </is>
      </c>
    </row>
    <row r="27">
      <c r="A27" t="inlineStr">
        <is>
          <t>IP-30</t>
        </is>
      </c>
      <c r="B27" t="inlineStr">
        <is>
          <t>22</t>
        </is>
      </c>
      <c r="C27" t="inlineStr">
        <is>
          <t>Educación</t>
        </is>
      </c>
      <c r="D27" t="inlineStr">
        <is>
          <t>2201</t>
        </is>
      </c>
      <c r="E27" t="inlineStr">
        <is>
          <t>Calidad, cobertura y fortalecimiento de la educación inicial, prescolar, básica y media</t>
        </is>
      </c>
      <c r="F27" t="inlineStr">
        <is>
          <t>2201029</t>
        </is>
      </c>
      <c r="G27" t="inlineStr">
        <is>
          <t>Servicio de apoyo a la permanencia con transporte escolar</t>
        </is>
      </c>
      <c r="H27" t="inlineStr">
        <is>
          <t>220102900</t>
        </is>
      </c>
      <c r="I27" t="inlineStr">
        <is>
          <t>Beneficiarios de transporte escolar</t>
        </is>
      </c>
      <c r="J27" t="inlineStr">
        <is>
          <t>2024252950006</t>
        </is>
      </c>
      <c r="K27" t="inlineStr">
        <is>
          <t>No</t>
        </is>
      </c>
      <c r="L27" t="inlineStr">
        <is>
          <t>Número</t>
        </is>
      </c>
      <c r="M27">
        <v>495</v>
      </c>
      <c r="N27">
        <v>495</v>
      </c>
      <c r="O27">
        <v>495</v>
      </c>
      <c r="P27">
        <v>495</v>
      </c>
      <c r="Q27">
        <v>495</v>
      </c>
      <c r="R27">
        <v>0</v>
      </c>
      <c r="S27" s="103">
        <v>0</v>
      </c>
      <c r="T27" t="inlineStr">
        <is>
          <t>No se ejecutó en la vigencia</t>
        </is>
      </c>
      <c r="U27">
        <v>3050</v>
      </c>
      <c r="V27" s="104">
        <v>6.16161616161616</v>
      </c>
      <c r="W27" t="inlineStr">
        <is>
          <t>Hubo ejecución por encima de lo programado en SisPT</t>
        </is>
      </c>
    </row>
    <row r="28">
      <c r="A28" t="inlineStr">
        <is>
          <t>IP-31</t>
        </is>
      </c>
      <c r="B28" t="inlineStr">
        <is>
          <t>22</t>
        </is>
      </c>
      <c r="C28" t="inlineStr">
        <is>
          <t>Educación</t>
        </is>
      </c>
      <c r="D28" t="inlineStr">
        <is>
          <t>2201</t>
        </is>
      </c>
      <c r="E28" t="inlineStr">
        <is>
          <t>Calidad, cobertura y fortalecimiento de la educación inicial, prescolar, básica y media</t>
        </is>
      </c>
      <c r="F28" t="inlineStr">
        <is>
          <t>2201071</t>
        </is>
      </c>
      <c r="G28" t="inlineStr">
        <is>
          <t>Servicio educativo</t>
        </is>
      </c>
      <c r="H28" t="inlineStr">
        <is>
          <t>220107101</t>
        </is>
      </c>
      <c r="I28" t="inlineStr">
        <is>
          <t>Establecimientos educativos con recursos del Sistema General de Participaciones -SGP- en operación</t>
        </is>
      </c>
      <c r="J28" t="inlineStr">
        <is>
          <t>2024252950006</t>
        </is>
      </c>
      <c r="K28" t="inlineStr">
        <is>
          <t>No</t>
        </is>
      </c>
      <c r="L28" t="inlineStr">
        <is>
          <t>Número</t>
        </is>
      </c>
      <c r="M28">
        <v>2645</v>
      </c>
      <c r="N28">
        <v>2645</v>
      </c>
      <c r="O28">
        <v>2645</v>
      </c>
      <c r="P28">
        <v>2645</v>
      </c>
      <c r="Q28">
        <v>2645</v>
      </c>
      <c r="R28" t="inlineStr">
        <is>
          <t xml:space="preserve"> </t>
        </is>
      </c>
      <c r="S28" s="103" t="inlineStr">
        <is>
          <t xml:space="preserve"> </t>
        </is>
      </c>
      <c r="T28" t="inlineStr">
        <is>
          <t>No se encontró ejecución en PIIP</t>
        </is>
      </c>
      <c r="U28" t="inlineStr">
        <is>
          <t xml:space="preserve"> </t>
        </is>
      </c>
      <c r="V28" s="104" t="inlineStr">
        <is>
          <t xml:space="preserve"> </t>
        </is>
      </c>
      <c r="W28" t="inlineStr">
        <is>
          <t>No se encontró ejecución en PIIP</t>
        </is>
      </c>
    </row>
    <row r="29">
      <c r="A29" t="inlineStr">
        <is>
          <t>IP-32</t>
        </is>
      </c>
      <c r="B29" t="inlineStr">
        <is>
          <t>22</t>
        </is>
      </c>
      <c r="C29" t="inlineStr">
        <is>
          <t>Educación</t>
        </is>
      </c>
      <c r="D29" t="inlineStr">
        <is>
          <t>2201</t>
        </is>
      </c>
      <c r="E29" t="inlineStr">
        <is>
          <t>Calidad, cobertura y fortalecimiento de la educación inicial, prescolar, básica y media</t>
        </is>
      </c>
      <c r="F29" t="inlineStr">
        <is>
          <t>2201033</t>
        </is>
      </c>
      <c r="G29" t="inlineStr">
        <is>
          <t>Servicio de fomento para la permanencia en programas de educación formal</t>
        </is>
      </c>
      <c r="H29" t="inlineStr">
        <is>
          <t>220103303</t>
        </is>
      </c>
      <c r="I29" t="inlineStr">
        <is>
          <t>Entidades territoriales certificadas con operación de sus planes de implementación progresiva</t>
        </is>
      </c>
      <c r="J29" t="inlineStr">
        <is>
          <t>2024252950006</t>
        </is>
      </c>
      <c r="K29" t="inlineStr">
        <is>
          <t>No</t>
        </is>
      </c>
      <c r="L29" t="inlineStr">
        <is>
          <t>Número</t>
        </is>
      </c>
      <c r="M29">
        <v>4</v>
      </c>
      <c r="N29">
        <v>1</v>
      </c>
      <c r="O29">
        <v>1</v>
      </c>
      <c r="P29">
        <v>1</v>
      </c>
      <c r="Q29">
        <v>1</v>
      </c>
      <c r="R29" t="inlineStr">
        <is>
          <t xml:space="preserve"> </t>
        </is>
      </c>
      <c r="S29" s="103" t="inlineStr">
        <is>
          <t xml:space="preserve"> </t>
        </is>
      </c>
      <c r="T29" t="inlineStr">
        <is>
          <t>No se encontró ejecución en PIIP</t>
        </is>
      </c>
      <c r="U29" t="inlineStr">
        <is>
          <t xml:space="preserve"> </t>
        </is>
      </c>
      <c r="V29" s="104" t="inlineStr">
        <is>
          <t xml:space="preserve"> </t>
        </is>
      </c>
      <c r="W29" t="inlineStr">
        <is>
          <t>No se encontró ejecución en PIIP</t>
        </is>
      </c>
    </row>
    <row r="30">
      <c r="A30" t="inlineStr">
        <is>
          <t>IP-33</t>
        </is>
      </c>
      <c r="B30" t="inlineStr">
        <is>
          <t>22</t>
        </is>
      </c>
      <c r="C30" t="inlineStr">
        <is>
          <t>Educación</t>
        </is>
      </c>
      <c r="D30" t="inlineStr">
        <is>
          <t>2201</t>
        </is>
      </c>
      <c r="E30" t="inlineStr">
        <is>
          <t>Calidad, cobertura y fortalecimiento de la educación inicial, prescolar, básica y media</t>
        </is>
      </c>
      <c r="F30" t="inlineStr">
        <is>
          <t>2201071</t>
        </is>
      </c>
      <c r="G30" t="inlineStr">
        <is>
          <t>Servicio educativo</t>
        </is>
      </c>
      <c r="H30" t="inlineStr">
        <is>
          <t>220107101</t>
        </is>
      </c>
      <c r="I30" t="inlineStr">
        <is>
          <t>Establecimientos educativos con recursos del Sistema General de Participaciones -SGP- en operación</t>
        </is>
      </c>
      <c r="J30" t="inlineStr">
        <is>
          <t>2024252950006</t>
        </is>
      </c>
      <c r="K30" t="inlineStr">
        <is>
          <t>Si</t>
        </is>
      </c>
      <c r="L30" t="inlineStr">
        <is>
          <t>Número</t>
        </is>
      </c>
      <c r="M30">
        <v>5</v>
      </c>
      <c r="N30">
        <v>1</v>
      </c>
      <c r="O30">
        <v>2</v>
      </c>
      <c r="P30">
        <v>2</v>
      </c>
      <c r="Q30">
        <v>1</v>
      </c>
      <c r="R30" t="inlineStr">
        <is>
          <t xml:space="preserve"> </t>
        </is>
      </c>
      <c r="S30" s="103" t="inlineStr">
        <is>
          <t xml:space="preserve"> </t>
        </is>
      </c>
      <c r="T30" t="inlineStr">
        <is>
          <t>No se encontró ejecución en PIIP</t>
        </is>
      </c>
      <c r="U30" t="inlineStr">
        <is>
          <t xml:space="preserve"> </t>
        </is>
      </c>
      <c r="V30" s="104" t="inlineStr">
        <is>
          <t xml:space="preserve"> </t>
        </is>
      </c>
      <c r="W30" t="inlineStr">
        <is>
          <t>No se encontró ejecución en PIIP</t>
        </is>
      </c>
    </row>
    <row r="31">
      <c r="A31" t="inlineStr">
        <is>
          <t>IP-34</t>
        </is>
      </c>
      <c r="B31" t="inlineStr">
        <is>
          <t>22</t>
        </is>
      </c>
      <c r="C31" t="inlineStr">
        <is>
          <t>Educación</t>
        </is>
      </c>
      <c r="D31" t="inlineStr">
        <is>
          <t>2201</t>
        </is>
      </c>
      <c r="E31" t="inlineStr">
        <is>
          <t>Calidad, cobertura y fortalecimiento de la educación inicial, prescolar, básica y media</t>
        </is>
      </c>
      <c r="F31" t="inlineStr">
        <is>
          <t>2201049</t>
        </is>
      </c>
      <c r="G31" t="inlineStr">
        <is>
          <t>Servicio de educación informal</t>
        </is>
      </c>
      <c r="H31" t="inlineStr">
        <is>
          <t>220104905</t>
        </is>
      </c>
      <c r="I31" t="inlineStr">
        <is>
          <t>Capacitaciones realizadas</t>
        </is>
      </c>
      <c r="J31" t="inlineStr">
        <is>
          <t>2024252950006</t>
        </is>
      </c>
      <c r="K31" t="inlineStr">
        <is>
          <t>Si</t>
        </is>
      </c>
      <c r="L31" t="inlineStr">
        <is>
          <t>Número</t>
        </is>
      </c>
      <c r="M31">
        <v>90</v>
      </c>
      <c r="N31">
        <v>10</v>
      </c>
      <c r="O31">
        <v>30</v>
      </c>
      <c r="P31">
        <v>40</v>
      </c>
      <c r="Q31">
        <v>10</v>
      </c>
      <c r="R31" t="inlineStr">
        <is>
          <t xml:space="preserve"> </t>
        </is>
      </c>
      <c r="S31" s="103" t="inlineStr">
        <is>
          <t xml:space="preserve"> </t>
        </is>
      </c>
      <c r="T31" t="inlineStr">
        <is>
          <t>No se encontró ejecución en PIIP</t>
        </is>
      </c>
      <c r="U31" t="inlineStr">
        <is>
          <t xml:space="preserve"> </t>
        </is>
      </c>
      <c r="V31" s="104" t="inlineStr">
        <is>
          <t xml:space="preserve"> </t>
        </is>
      </c>
      <c r="W31" t="inlineStr">
        <is>
          <t>No se encontró ejecución en PIIP</t>
        </is>
      </c>
    </row>
    <row r="32">
      <c r="A32" t="inlineStr">
        <is>
          <t>IP-35</t>
        </is>
      </c>
      <c r="B32" t="inlineStr">
        <is>
          <t>22</t>
        </is>
      </c>
      <c r="C32" t="inlineStr">
        <is>
          <t>Educación</t>
        </is>
      </c>
      <c r="D32" t="inlineStr">
        <is>
          <t>2201</t>
        </is>
      </c>
      <c r="E32" t="inlineStr">
        <is>
          <t>Calidad, cobertura y fortalecimiento de la educación inicial, prescolar, básica y media</t>
        </is>
      </c>
      <c r="F32" t="inlineStr">
        <is>
          <t>2201034</t>
        </is>
      </c>
      <c r="G32" t="inlineStr">
        <is>
          <t>Servicio educativos de promoción del bilingüismo</t>
        </is>
      </c>
      <c r="H32" t="inlineStr">
        <is>
          <t>220103400</t>
        </is>
      </c>
      <c r="I32" t="inlineStr">
        <is>
          <t>Estudiantes beneficiados con estrategias de promoción del bilingüismo</t>
        </is>
      </c>
      <c r="J32" t="inlineStr">
        <is>
          <t>2024252950006</t>
        </is>
      </c>
      <c r="K32" t="inlineStr">
        <is>
          <t>No</t>
        </is>
      </c>
      <c r="L32" t="inlineStr">
        <is>
          <t>Número</t>
        </is>
      </c>
      <c r="M32">
        <v>478</v>
      </c>
      <c r="N32">
        <v>478</v>
      </c>
      <c r="O32">
        <v>478</v>
      </c>
      <c r="P32">
        <v>478</v>
      </c>
      <c r="Q32">
        <v>478</v>
      </c>
      <c r="R32">
        <v>277</v>
      </c>
      <c r="S32" s="103">
        <v>0.579497907949791</v>
      </c>
      <c r="T32" t="inlineStr">
        <is>
          <t>Lo ejecutado está por debajo de lo programado en la vigencia</t>
        </is>
      </c>
      <c r="U32">
        <v>1386</v>
      </c>
      <c r="V32" s="104">
        <v>2.89958158995816</v>
      </c>
      <c r="W32" t="inlineStr">
        <is>
          <t>Hubo ejecución por encima de lo programado en SisPT</t>
        </is>
      </c>
    </row>
    <row r="33">
      <c r="A33" t="inlineStr">
        <is>
          <t>IP-36</t>
        </is>
      </c>
      <c r="B33" t="inlineStr">
        <is>
          <t>22</t>
        </is>
      </c>
      <c r="C33" t="inlineStr">
        <is>
          <t>Educación</t>
        </is>
      </c>
      <c r="D33" t="inlineStr">
        <is>
          <t>2201</t>
        </is>
      </c>
      <c r="E33" t="inlineStr">
        <is>
          <t>Calidad, cobertura y fortalecimiento de la educación inicial, prescolar, básica y media</t>
        </is>
      </c>
      <c r="F33" t="inlineStr">
        <is>
          <t>2201067</t>
        </is>
      </c>
      <c r="G33" t="inlineStr">
        <is>
          <t>Servicio de apoyo para el fortalecimiento de escuelas de padres</t>
        </is>
      </c>
      <c r="H33" t="inlineStr">
        <is>
          <t>220106700</t>
        </is>
      </c>
      <c r="I33" t="inlineStr">
        <is>
          <t>Escuelas de padres apoyadas</t>
        </is>
      </c>
      <c r="J33" t="inlineStr">
        <is>
          <t>2024252950006</t>
        </is>
      </c>
      <c r="K33" t="inlineStr">
        <is>
          <t>Si</t>
        </is>
      </c>
      <c r="L33" t="inlineStr">
        <is>
          <t>Número</t>
        </is>
      </c>
      <c r="M33">
        <v>1400</v>
      </c>
      <c r="N33">
        <v>300</v>
      </c>
      <c r="O33">
        <v>400</v>
      </c>
      <c r="P33">
        <v>400</v>
      </c>
      <c r="Q33">
        <v>300</v>
      </c>
      <c r="R33" t="inlineStr">
        <is>
          <t xml:space="preserve"> </t>
        </is>
      </c>
      <c r="S33" s="103" t="inlineStr">
        <is>
          <t xml:space="preserve"> </t>
        </is>
      </c>
      <c r="T33" t="inlineStr">
        <is>
          <t>No se encontró ejecución en PIIP</t>
        </is>
      </c>
      <c r="U33" t="inlineStr">
        <is>
          <t xml:space="preserve"> </t>
        </is>
      </c>
      <c r="V33" s="104" t="inlineStr">
        <is>
          <t xml:space="preserve"> </t>
        </is>
      </c>
      <c r="W33" t="inlineStr">
        <is>
          <t>No se encontró ejecución en PIIP</t>
        </is>
      </c>
    </row>
    <row r="34">
      <c r="A34" t="inlineStr">
        <is>
          <t>IP-37</t>
        </is>
      </c>
      <c r="B34" t="inlineStr">
        <is>
          <t>22</t>
        </is>
      </c>
      <c r="C34" t="inlineStr">
        <is>
          <t>Educación</t>
        </is>
      </c>
      <c r="D34" t="inlineStr">
        <is>
          <t>2201</t>
        </is>
      </c>
      <c r="E34" t="inlineStr">
        <is>
          <t>Calidad, cobertura y fortalecimiento de la educación inicial, prescolar, básica y media</t>
        </is>
      </c>
      <c r="F34" t="inlineStr">
        <is>
          <t>2201072</t>
        </is>
      </c>
      <c r="G34" t="inlineStr">
        <is>
          <t>Servicio de evaluación de las estrategias educativas implementadas en la educación inicial, preescolar, básica y media</t>
        </is>
      </c>
      <c r="H34" t="inlineStr">
        <is>
          <t>220107200</t>
        </is>
      </c>
      <c r="I34" t="inlineStr">
        <is>
          <t>Programas, proyectos y estrategias evaluadas</t>
        </is>
      </c>
      <c r="J34" t="inlineStr">
        <is>
          <t>2024252950007</t>
        </is>
      </c>
      <c r="K34" t="inlineStr">
        <is>
          <t>No</t>
        </is>
      </c>
      <c r="L34" t="inlineStr">
        <is>
          <t>Número</t>
        </is>
      </c>
      <c r="M34">
        <v>150</v>
      </c>
      <c r="N34">
        <v>150</v>
      </c>
      <c r="O34">
        <v>150</v>
      </c>
      <c r="P34">
        <v>150</v>
      </c>
      <c r="Q34">
        <v>150</v>
      </c>
      <c r="R34" t="inlineStr">
        <is>
          <t xml:space="preserve"> </t>
        </is>
      </c>
      <c r="S34" s="103" t="inlineStr">
        <is>
          <t xml:space="preserve"> </t>
        </is>
      </c>
      <c r="T34" t="inlineStr">
        <is>
          <t>No se encontró ejecución en PIIP</t>
        </is>
      </c>
      <c r="U34" t="inlineStr">
        <is>
          <t xml:space="preserve"> </t>
        </is>
      </c>
      <c r="V34" s="104" t="inlineStr">
        <is>
          <t xml:space="preserve"> </t>
        </is>
      </c>
      <c r="W34" t="inlineStr">
        <is>
          <t>No se encontró ejecución en PIIP</t>
        </is>
      </c>
    </row>
    <row r="35">
      <c r="A35" t="inlineStr">
        <is>
          <t>IP-38, IP-45, IP-47</t>
        </is>
      </c>
      <c r="B35" t="inlineStr">
        <is>
          <t>19</t>
        </is>
      </c>
      <c r="C35" t="inlineStr">
        <is>
          <t>Salud y protección social</t>
        </is>
      </c>
      <c r="D35" t="inlineStr">
        <is>
          <t>1903</t>
        </is>
      </c>
      <c r="E35" t="inlineStr">
        <is>
          <t>Inspección, vigilancia y control</t>
        </is>
      </c>
      <c r="F35" t="inlineStr">
        <is>
          <t>1903001</t>
        </is>
      </c>
      <c r="G35" t="inlineStr">
        <is>
          <t>Documentos de lineamientos técnicos</t>
        </is>
      </c>
      <c r="H35" t="inlineStr">
        <is>
          <t>190300103</t>
        </is>
      </c>
      <c r="I35" t="inlineStr">
        <is>
          <t>Documentos de lineamientos técnicos realizados</t>
        </is>
      </c>
      <c r="J35" t="inlineStr">
        <is>
          <t>2024252950007</t>
        </is>
      </c>
      <c r="K35" t="inlineStr">
        <is>
          <t>Si</t>
        </is>
      </c>
      <c r="L35" t="inlineStr">
        <is>
          <t>Número</t>
        </is>
      </c>
      <c r="M35">
        <v>440</v>
      </c>
      <c r="N35">
        <v>170</v>
      </c>
      <c r="O35">
        <v>200</v>
      </c>
      <c r="P35">
        <v>200</v>
      </c>
      <c r="Q35">
        <v>170</v>
      </c>
      <c r="R35" t="inlineStr">
        <is>
          <t xml:space="preserve"> </t>
        </is>
      </c>
      <c r="S35" s="103" t="inlineStr">
        <is>
          <t xml:space="preserve"> </t>
        </is>
      </c>
      <c r="T35" t="inlineStr">
        <is>
          <t>No se encontró ejecución en PIIP</t>
        </is>
      </c>
      <c r="U35" t="inlineStr">
        <is>
          <t xml:space="preserve"> </t>
        </is>
      </c>
      <c r="V35" s="104" t="inlineStr">
        <is>
          <t xml:space="preserve"> </t>
        </is>
      </c>
      <c r="W35" t="inlineStr">
        <is>
          <t>No se encontró ejecución en PIIP</t>
        </is>
      </c>
    </row>
    <row r="36">
      <c r="A36" t="inlineStr">
        <is>
          <t>IP-39, IP-40, IP-42, IP-46</t>
        </is>
      </c>
      <c r="B36" t="inlineStr">
        <is>
          <t>19</t>
        </is>
      </c>
      <c r="C36" t="inlineStr">
        <is>
          <t>Salud y protección social</t>
        </is>
      </c>
      <c r="D36" t="inlineStr">
        <is>
          <t>1903</t>
        </is>
      </c>
      <c r="E36" t="inlineStr">
        <is>
          <t>Inspección, vigilancia y control</t>
        </is>
      </c>
      <c r="F36" t="inlineStr">
        <is>
          <t>1903001</t>
        </is>
      </c>
      <c r="G36" t="inlineStr">
        <is>
          <t>Documentos de lineamientos técnicos</t>
        </is>
      </c>
      <c r="H36" t="inlineStr">
        <is>
          <t>190300103</t>
        </is>
      </c>
      <c r="I36" t="inlineStr">
        <is>
          <t>Documentos de lineamientos técnicos realizados</t>
        </is>
      </c>
      <c r="J36" t="inlineStr">
        <is>
          <t>2024252950007</t>
        </is>
      </c>
      <c r="K36" t="inlineStr">
        <is>
          <t>No</t>
        </is>
      </c>
      <c r="L36" t="inlineStr">
        <is>
          <t>Número</t>
        </is>
      </c>
      <c r="M36">
        <v>22</v>
      </c>
      <c r="N36">
        <v>5</v>
      </c>
      <c r="O36">
        <v>5</v>
      </c>
      <c r="P36">
        <v>7</v>
      </c>
      <c r="Q36">
        <v>5</v>
      </c>
      <c r="R36" t="inlineStr">
        <is>
          <t xml:space="preserve"> </t>
        </is>
      </c>
      <c r="S36" s="103" t="inlineStr">
        <is>
          <t xml:space="preserve"> </t>
        </is>
      </c>
      <c r="T36" t="inlineStr">
        <is>
          <t>No se encontró ejecución en PIIP</t>
        </is>
      </c>
      <c r="U36" t="inlineStr">
        <is>
          <t xml:space="preserve"> </t>
        </is>
      </c>
      <c r="V36" s="104" t="inlineStr">
        <is>
          <t xml:space="preserve"> </t>
        </is>
      </c>
      <c r="W36" t="inlineStr">
        <is>
          <t>No se encontró ejecución en PIIP</t>
        </is>
      </c>
    </row>
    <row r="37">
      <c r="A37" t="inlineStr">
        <is>
          <t>IP-41</t>
        </is>
      </c>
      <c r="B37" t="inlineStr">
        <is>
          <t>19</t>
        </is>
      </c>
      <c r="C37" t="inlineStr">
        <is>
          <t>Salud y protección social</t>
        </is>
      </c>
      <c r="D37" t="inlineStr">
        <is>
          <t>1903</t>
        </is>
      </c>
      <c r="E37" t="inlineStr">
        <is>
          <t>Inspección, vigilancia y control</t>
        </is>
      </c>
      <c r="F37" t="inlineStr">
        <is>
          <t>1903002</t>
        </is>
      </c>
      <c r="G37" t="inlineStr">
        <is>
          <t>Serviciode apoyo financiero para dotar el servicios de salud conforme con estándares de habilitación</t>
        </is>
      </c>
      <c r="H37" t="inlineStr">
        <is>
          <t>190300200</t>
        </is>
      </c>
      <c r="I37" t="inlineStr">
        <is>
          <t>Dotación de conformidad con estándares de habilitación</t>
        </is>
      </c>
      <c r="J37" t="inlineStr">
        <is>
          <t>2024252950007</t>
        </is>
      </c>
      <c r="K37" t="inlineStr">
        <is>
          <t>Si</t>
        </is>
      </c>
      <c r="L37" t="inlineStr">
        <is>
          <t>Número</t>
        </is>
      </c>
      <c r="M37">
        <v>60</v>
      </c>
      <c r="N37">
        <v>0</v>
      </c>
      <c r="O37">
        <v>0</v>
      </c>
      <c r="P37">
        <v>1</v>
      </c>
      <c r="Q37">
        <v>0</v>
      </c>
      <c r="R37" t="inlineStr">
        <is>
          <t xml:space="preserve"> </t>
        </is>
      </c>
      <c r="S37" s="103" t="inlineStr">
        <is>
          <t xml:space="preserve"> </t>
        </is>
      </c>
      <c r="T37" t="inlineStr">
        <is>
          <t>No se encontró ejecución en PIIP</t>
        </is>
      </c>
      <c r="U37" t="inlineStr">
        <is>
          <t xml:space="preserve"> </t>
        </is>
      </c>
      <c r="V37" s="104" t="inlineStr">
        <is>
          <t xml:space="preserve"> </t>
        </is>
      </c>
      <c r="W37" t="inlineStr">
        <is>
          <t>No se encontró ejecución en PIIP</t>
        </is>
      </c>
    </row>
    <row r="38">
      <c r="A38" t="inlineStr">
        <is>
          <t>IP-43</t>
        </is>
      </c>
      <c r="B38" t="inlineStr">
        <is>
          <t>19</t>
        </is>
      </c>
      <c r="C38" t="inlineStr">
        <is>
          <t>Salud y protección social</t>
        </is>
      </c>
      <c r="D38" t="inlineStr">
        <is>
          <t>1903</t>
        </is>
      </c>
      <c r="E38" t="inlineStr">
        <is>
          <t>Inspección, vigilancia y control</t>
        </is>
      </c>
      <c r="F38" t="inlineStr">
        <is>
          <t>1903028</t>
        </is>
      </c>
      <c r="G38" t="inlineStr">
        <is>
          <t>Servicio de gestión de peticiones, quejas, reclamos y denuncias</t>
        </is>
      </c>
      <c r="H38" t="inlineStr">
        <is>
          <t>190302800</t>
        </is>
      </c>
      <c r="I38" t="inlineStr">
        <is>
          <t xml:space="preserve"> Preguntas Quejas Reclamos y Denuncias Gestionadas</t>
        </is>
      </c>
      <c r="J38" t="inlineStr">
        <is>
          <t>2024252950007</t>
        </is>
      </c>
      <c r="K38" t="inlineStr">
        <is>
          <t>Si</t>
        </is>
      </c>
      <c r="L38" t="inlineStr">
        <is>
          <t>Número</t>
        </is>
      </c>
      <c r="M38">
        <v>95</v>
      </c>
      <c r="N38">
        <v>10</v>
      </c>
      <c r="O38">
        <v>35</v>
      </c>
      <c r="P38">
        <v>35</v>
      </c>
      <c r="Q38">
        <v>15</v>
      </c>
      <c r="R38" t="inlineStr">
        <is>
          <t xml:space="preserve"> </t>
        </is>
      </c>
      <c r="S38" s="103" t="inlineStr">
        <is>
          <t xml:space="preserve"> </t>
        </is>
      </c>
      <c r="T38" t="inlineStr">
        <is>
          <t>No se encontró ejecución en PIIP</t>
        </is>
      </c>
      <c r="U38" t="inlineStr">
        <is>
          <t xml:space="preserve"> </t>
        </is>
      </c>
      <c r="V38" s="104" t="inlineStr">
        <is>
          <t xml:space="preserve"> </t>
        </is>
      </c>
      <c r="W38" t="inlineStr">
        <is>
          <t>No se encontró ejecución en PIIP</t>
        </is>
      </c>
    </row>
    <row r="39">
      <c r="A39" t="inlineStr">
        <is>
          <t>IP-44</t>
        </is>
      </c>
      <c r="B39" t="inlineStr">
        <is>
          <t>19</t>
        </is>
      </c>
      <c r="C39" t="inlineStr">
        <is>
          <t>Salud y protección social</t>
        </is>
      </c>
      <c r="D39" t="inlineStr">
        <is>
          <t>1903</t>
        </is>
      </c>
      <c r="E39" t="inlineStr">
        <is>
          <t>Inspección, vigilancia y control</t>
        </is>
      </c>
      <c r="F39" t="inlineStr">
        <is>
          <t>1903020</t>
        </is>
      </c>
      <c r="G39" t="inlineStr">
        <is>
          <t>Servicio de diseño de metodologías, instrumentos y estrategias de inspección, vigilancia y control</t>
        </is>
      </c>
      <c r="H39" t="inlineStr">
        <is>
          <t>190302000</t>
        </is>
      </c>
      <c r="I39" t="inlineStr">
        <is>
          <t xml:space="preserve">Metodologías instrumentos y políticas de Inspección Vigilancia y Control diseñadas </t>
        </is>
      </c>
      <c r="J39" t="inlineStr">
        <is>
          <t>2024252950007</t>
        </is>
      </c>
      <c r="K39" t="inlineStr">
        <is>
          <t>No</t>
        </is>
      </c>
      <c r="L39" t="inlineStr">
        <is>
          <t>Número</t>
        </is>
      </c>
      <c r="M39">
        <v>1</v>
      </c>
      <c r="N39">
        <v>0.5</v>
      </c>
      <c r="O39">
        <v>0.5</v>
      </c>
      <c r="P39">
        <v>0</v>
      </c>
      <c r="Q39">
        <v>0</v>
      </c>
      <c r="R39">
        <v>0</v>
      </c>
      <c r="S39" s="103">
        <v>0</v>
      </c>
      <c r="T39" t="inlineStr">
        <is>
          <t>No se ejecutó en la vigencia</t>
        </is>
      </c>
      <c r="U39" t="inlineStr">
        <is>
          <t xml:space="preserve"> </t>
        </is>
      </c>
      <c r="V39" s="104" t="inlineStr">
        <is>
          <t xml:space="preserve"> </t>
        </is>
      </c>
      <c r="W39" t="inlineStr">
        <is>
          <t>No se encontró ejecución en PIIP</t>
        </is>
      </c>
    </row>
    <row r="40">
      <c r="A40" t="inlineStr">
        <is>
          <t>IP-48</t>
        </is>
      </c>
      <c r="B40" t="inlineStr">
        <is>
          <t>19</t>
        </is>
      </c>
      <c r="C40" t="inlineStr">
        <is>
          <t>Salud y protección social</t>
        </is>
      </c>
      <c r="D40" t="inlineStr">
        <is>
          <t>1903</t>
        </is>
      </c>
      <c r="E40" t="inlineStr">
        <is>
          <t>Inspección, vigilancia y control</t>
        </is>
      </c>
      <c r="F40" t="inlineStr">
        <is>
          <t>1903057</t>
        </is>
      </c>
      <c r="G40" t="inlineStr">
        <is>
          <t>Servicio de promoción, prevención, vigilancia y control de vectores y zoonosis</t>
        </is>
      </c>
      <c r="H40" t="inlineStr">
        <is>
          <t>190305700</t>
        </is>
      </c>
      <c r="I40" t="inlineStr">
        <is>
          <t>Municipios con acciones de promoción, prevención, vigilancia  y control de vectores y zoonosis realizadas</t>
        </is>
      </c>
      <c r="J40" t="inlineStr">
        <is>
          <t>2024252950007</t>
        </is>
      </c>
      <c r="K40" t="inlineStr">
        <is>
          <t>Si</t>
        </is>
      </c>
      <c r="L40" t="inlineStr">
        <is>
          <t>Número</t>
        </is>
      </c>
      <c r="M40">
        <v>75</v>
      </c>
      <c r="N40">
        <v>15</v>
      </c>
      <c r="O40">
        <v>20</v>
      </c>
      <c r="P40">
        <v>25</v>
      </c>
      <c r="Q40">
        <v>15</v>
      </c>
      <c r="R40" t="inlineStr">
        <is>
          <t xml:space="preserve"> </t>
        </is>
      </c>
      <c r="S40" s="103" t="inlineStr">
        <is>
          <t xml:space="preserve"> </t>
        </is>
      </c>
      <c r="T40" t="inlineStr">
        <is>
          <t>No se encontró ejecución en PIIP</t>
        </is>
      </c>
      <c r="U40" t="inlineStr">
        <is>
          <t xml:space="preserve"> </t>
        </is>
      </c>
      <c r="V40" s="104" t="inlineStr">
        <is>
          <t xml:space="preserve"> </t>
        </is>
      </c>
      <c r="W40" t="inlineStr">
        <is>
          <t>No se encontró ejecución en PIIP</t>
        </is>
      </c>
    </row>
    <row r="41">
      <c r="A41" t="inlineStr">
        <is>
          <t>IP-49</t>
        </is>
      </c>
      <c r="B41" t="inlineStr">
        <is>
          <t>19</t>
        </is>
      </c>
      <c r="C41" t="inlineStr">
        <is>
          <t>Salud y protección social</t>
        </is>
      </c>
      <c r="D41" t="inlineStr">
        <is>
          <t>1903</t>
        </is>
      </c>
      <c r="E41" t="inlineStr">
        <is>
          <t>Inspección, vigilancia y control</t>
        </is>
      </c>
      <c r="F41" t="inlineStr">
        <is>
          <t>1903015</t>
        </is>
      </c>
      <c r="G41" t="inlineStr">
        <is>
          <t>Servicio de adopción y seguimiento de acciones y medidas especiales</t>
        </is>
      </c>
      <c r="H41" t="inlineStr">
        <is>
          <t>190301500</t>
        </is>
      </c>
      <c r="I41" t="inlineStr">
        <is>
          <t>acciones y medidas especiales ejecutadas</t>
        </is>
      </c>
      <c r="J41" t="inlineStr">
        <is>
          <t>2024252950007</t>
        </is>
      </c>
      <c r="K41" t="inlineStr">
        <is>
          <t>No</t>
        </is>
      </c>
      <c r="L41" t="inlineStr">
        <is>
          <t>Número</t>
        </is>
      </c>
      <c r="M41">
        <v>2645</v>
      </c>
      <c r="N41">
        <v>2645</v>
      </c>
      <c r="O41">
        <v>2645</v>
      </c>
      <c r="P41">
        <v>2645</v>
      </c>
      <c r="Q41">
        <v>2645</v>
      </c>
      <c r="R41">
        <v>0</v>
      </c>
      <c r="S41" s="103">
        <v>0</v>
      </c>
      <c r="T41" t="inlineStr">
        <is>
          <t>No se ejecutó en la vigencia</t>
        </is>
      </c>
      <c r="U41" t="inlineStr">
        <is>
          <t xml:space="preserve"> </t>
        </is>
      </c>
      <c r="V41" s="104" t="inlineStr">
        <is>
          <t xml:space="preserve"> </t>
        </is>
      </c>
      <c r="W41" t="inlineStr">
        <is>
          <t>No se encontró ejecución en PIIP</t>
        </is>
      </c>
    </row>
    <row r="42">
      <c r="A42" t="inlineStr">
        <is>
          <t>IP-50</t>
        </is>
      </c>
      <c r="B42" t="inlineStr">
        <is>
          <t>19</t>
        </is>
      </c>
      <c r="C42" t="inlineStr">
        <is>
          <t>Salud y protección social</t>
        </is>
      </c>
      <c r="D42" t="inlineStr">
        <is>
          <t>1903</t>
        </is>
      </c>
      <c r="E42" t="inlineStr">
        <is>
          <t>Inspección, vigilancia y control</t>
        </is>
      </c>
      <c r="F42" t="inlineStr">
        <is>
          <t>1903034</t>
        </is>
      </c>
      <c r="G42" t="inlineStr">
        <is>
          <t>Servicio deasistencia técnica</t>
        </is>
      </c>
      <c r="H42" t="inlineStr">
        <is>
          <t>190303400</t>
        </is>
      </c>
      <c r="I42" t="inlineStr">
        <is>
          <t>Asistencias técnicas realizadas</t>
        </is>
      </c>
      <c r="J42" t="inlineStr">
        <is>
          <t>2024252950007</t>
        </is>
      </c>
      <c r="K42" t="inlineStr">
        <is>
          <t>Si</t>
        </is>
      </c>
      <c r="L42" t="inlineStr">
        <is>
          <t>Número</t>
        </is>
      </c>
      <c r="M42">
        <v>70</v>
      </c>
      <c r="N42">
        <v>10</v>
      </c>
      <c r="O42">
        <v>20</v>
      </c>
      <c r="P42">
        <v>20</v>
      </c>
      <c r="Q42">
        <v>20</v>
      </c>
      <c r="R42" t="inlineStr">
        <is>
          <t xml:space="preserve"> </t>
        </is>
      </c>
      <c r="S42" s="103" t="inlineStr">
        <is>
          <t xml:space="preserve"> </t>
        </is>
      </c>
      <c r="T42" t="inlineStr">
        <is>
          <t>No se encontró ejecución en PIIP</t>
        </is>
      </c>
      <c r="U42" t="inlineStr">
        <is>
          <t xml:space="preserve"> </t>
        </is>
      </c>
      <c r="V42" s="104" t="inlineStr">
        <is>
          <t xml:space="preserve"> </t>
        </is>
      </c>
      <c r="W42" t="inlineStr">
        <is>
          <t>No se encontró ejecución en PIIP</t>
        </is>
      </c>
    </row>
    <row r="43">
      <c r="A43" t="inlineStr">
        <is>
          <t>IP-51</t>
        </is>
      </c>
      <c r="B43" t="inlineStr">
        <is>
          <t>19</t>
        </is>
      </c>
      <c r="C43" t="inlineStr">
        <is>
          <t>Salud y protección social</t>
        </is>
      </c>
      <c r="D43" t="inlineStr">
        <is>
          <t>1903</t>
        </is>
      </c>
      <c r="E43" t="inlineStr">
        <is>
          <t>Inspección, vigilancia y control</t>
        </is>
      </c>
      <c r="F43" t="inlineStr">
        <is>
          <t>1903003</t>
        </is>
      </c>
      <c r="G43" t="inlineStr">
        <is>
          <t>Servicio de apoyo financiero para dotar con bienes y Servicio de interés para la salud pública</t>
        </is>
      </c>
      <c r="H43" t="inlineStr">
        <is>
          <t>190300300</t>
        </is>
      </c>
      <c r="I43" t="inlineStr">
        <is>
          <t>Cumplimiento de indicador ponderado de suministro de bienes y Servicio de interés para la salud pública en una vigencia determinada</t>
        </is>
      </c>
      <c r="J43" t="inlineStr">
        <is>
          <t>2024252950007</t>
        </is>
      </c>
      <c r="K43" t="inlineStr">
        <is>
          <t>Si</t>
        </is>
      </c>
      <c r="L43" t="inlineStr">
        <is>
          <t>Porcentaje</t>
        </is>
      </c>
      <c r="M43">
        <v>20</v>
      </c>
      <c r="N43">
        <v>5</v>
      </c>
      <c r="O43">
        <v>5</v>
      </c>
      <c r="P43">
        <v>5</v>
      </c>
      <c r="Q43">
        <v>5</v>
      </c>
      <c r="R43" t="inlineStr">
        <is>
          <t xml:space="preserve"> </t>
        </is>
      </c>
      <c r="S43" s="103" t="inlineStr">
        <is>
          <t xml:space="preserve"> </t>
        </is>
      </c>
      <c r="T43" t="inlineStr">
        <is>
          <t>No se encontró ejecución en PIIP</t>
        </is>
      </c>
      <c r="U43" t="inlineStr">
        <is>
          <t xml:space="preserve"> </t>
        </is>
      </c>
      <c r="V43" s="104" t="inlineStr">
        <is>
          <t xml:space="preserve"> </t>
        </is>
      </c>
      <c r="W43" t="inlineStr">
        <is>
          <t>No se encontró ejecución en PIIP</t>
        </is>
      </c>
    </row>
    <row r="44">
      <c r="A44" t="inlineStr">
        <is>
          <t>IP-52</t>
        </is>
      </c>
      <c r="B44" t="inlineStr">
        <is>
          <t>19</t>
        </is>
      </c>
      <c r="C44" t="inlineStr">
        <is>
          <t>Salud y protección social</t>
        </is>
      </c>
      <c r="D44" t="inlineStr">
        <is>
          <t>1903</t>
        </is>
      </c>
      <c r="E44" t="inlineStr">
        <is>
          <t>Inspección, vigilancia y control</t>
        </is>
      </c>
      <c r="F44" t="inlineStr">
        <is>
          <t>1903028</t>
        </is>
      </c>
      <c r="G44" t="inlineStr">
        <is>
          <t>Servicio de gestión de peticiones, quejas, reclamos y denuncias</t>
        </is>
      </c>
      <c r="H44" t="inlineStr">
        <is>
          <t>190302800</t>
        </is>
      </c>
      <c r="I44" t="inlineStr">
        <is>
          <t xml:space="preserve"> Preguntas Quejas Reclamos y Denuncias Gestionadas</t>
        </is>
      </c>
      <c r="J44" t="inlineStr">
        <is>
          <t>2024252950008</t>
        </is>
      </c>
      <c r="K44" t="inlineStr">
        <is>
          <t>Si</t>
        </is>
      </c>
      <c r="L44" t="inlineStr">
        <is>
          <t>Número</t>
        </is>
      </c>
      <c r="M44">
        <v>30</v>
      </c>
      <c r="N44">
        <v>5</v>
      </c>
      <c r="O44">
        <v>10</v>
      </c>
      <c r="P44">
        <v>10</v>
      </c>
      <c r="Q44">
        <v>5</v>
      </c>
      <c r="R44" t="inlineStr">
        <is>
          <t xml:space="preserve"> </t>
        </is>
      </c>
      <c r="S44" s="103" t="inlineStr">
        <is>
          <t xml:space="preserve"> </t>
        </is>
      </c>
      <c r="T44" t="inlineStr">
        <is>
          <t>No se encontró ejecución en PIIP</t>
        </is>
      </c>
      <c r="U44" t="inlineStr">
        <is>
          <t xml:space="preserve"> </t>
        </is>
      </c>
      <c r="V44" s="104" t="inlineStr">
        <is>
          <t xml:space="preserve"> </t>
        </is>
      </c>
      <c r="W44" t="inlineStr">
        <is>
          <t>No se encontró ejecución en PIIP</t>
        </is>
      </c>
    </row>
    <row r="45">
      <c r="A45" t="inlineStr">
        <is>
          <t>IP-53, IP-56, IP-57</t>
        </is>
      </c>
      <c r="B45" t="inlineStr">
        <is>
          <t>41</t>
        </is>
      </c>
      <c r="C45" t="inlineStr">
        <is>
          <t xml:space="preserve">Inclusión social y reconciliación </t>
        </is>
      </c>
      <c r="D45" t="inlineStr">
        <is>
          <t>4104</t>
        </is>
      </c>
      <c r="E45" t="inlineStr">
        <is>
          <t>Atención integral de población en situación permanente de desprotección social y/o familiar</t>
        </is>
      </c>
      <c r="F45" t="inlineStr">
        <is>
          <t>4104008</t>
        </is>
      </c>
      <c r="G45" t="inlineStr">
        <is>
          <t>Servicio de atención y protección integral al adulto mayor</t>
        </is>
      </c>
      <c r="H45" t="inlineStr">
        <is>
          <t>410400800</t>
        </is>
      </c>
      <c r="I45" t="inlineStr">
        <is>
          <t>Adultos mayores atendidos con servicios integrales</t>
        </is>
      </c>
      <c r="J45" t="inlineStr">
        <is>
          <t>2024252950008</t>
        </is>
      </c>
      <c r="K45" t="inlineStr">
        <is>
          <t>Si</t>
        </is>
      </c>
      <c r="L45" t="inlineStr">
        <is>
          <t>Número</t>
        </is>
      </c>
      <c r="M45">
        <v>510</v>
      </c>
      <c r="N45">
        <v>85</v>
      </c>
      <c r="O45">
        <v>85</v>
      </c>
      <c r="P45">
        <v>170</v>
      </c>
      <c r="Q45">
        <v>170</v>
      </c>
      <c r="R45" t="inlineStr">
        <is>
          <t xml:space="preserve"> </t>
        </is>
      </c>
      <c r="S45" s="103" t="inlineStr">
        <is>
          <t xml:space="preserve"> </t>
        </is>
      </c>
      <c r="T45" t="inlineStr">
        <is>
          <t>No se encontró ejecución en PIIP</t>
        </is>
      </c>
      <c r="U45" t="inlineStr">
        <is>
          <t xml:space="preserve"> </t>
        </is>
      </c>
      <c r="V45" s="104" t="inlineStr">
        <is>
          <t xml:space="preserve"> </t>
        </is>
      </c>
      <c r="W45" t="inlineStr">
        <is>
          <t>No se encontró ejecución en PIIP</t>
        </is>
      </c>
    </row>
    <row r="46">
      <c r="A46" t="inlineStr">
        <is>
          <t>IP-54, IP-55, IP-58, IP-59</t>
        </is>
      </c>
      <c r="B46" t="inlineStr">
        <is>
          <t>41</t>
        </is>
      </c>
      <c r="C46" t="inlineStr">
        <is>
          <t xml:space="preserve">Inclusión social y reconciliación </t>
        </is>
      </c>
      <c r="D46" t="inlineStr">
        <is>
          <t>4104</t>
        </is>
      </c>
      <c r="E46" t="inlineStr">
        <is>
          <t>Atención integral de población en situación permanente de desprotección social y/o familiar</t>
        </is>
      </c>
      <c r="F46" t="inlineStr">
        <is>
          <t>4104008</t>
        </is>
      </c>
      <c r="G46" t="inlineStr">
        <is>
          <t>Servicio de atención y protección integral al adulto mayor</t>
        </is>
      </c>
      <c r="H46" t="inlineStr">
        <is>
          <t>410400800</t>
        </is>
      </c>
      <c r="I46" t="inlineStr">
        <is>
          <t>Adultos mayores atendidos con servicios integrales</t>
        </is>
      </c>
      <c r="J46" t="inlineStr">
        <is>
          <t>2024252950008</t>
        </is>
      </c>
      <c r="K46" t="inlineStr">
        <is>
          <t>No</t>
        </is>
      </c>
      <c r="L46" t="inlineStr">
        <is>
          <t>Número</t>
        </is>
      </c>
      <c r="M46">
        <v>502</v>
      </c>
      <c r="N46">
        <v>502</v>
      </c>
      <c r="O46">
        <v>502</v>
      </c>
      <c r="P46">
        <v>502</v>
      </c>
      <c r="Q46">
        <v>501</v>
      </c>
      <c r="R46">
        <v>0</v>
      </c>
      <c r="S46" s="103">
        <v>0</v>
      </c>
      <c r="T46" t="inlineStr">
        <is>
          <t>No se ejecutó en la vigencia</t>
        </is>
      </c>
      <c r="U46" t="inlineStr">
        <is>
          <t xml:space="preserve"> </t>
        </is>
      </c>
      <c r="V46" s="104" t="inlineStr">
        <is>
          <t xml:space="preserve"> </t>
        </is>
      </c>
      <c r="W46" t="inlineStr">
        <is>
          <t>No se encontró ejecución en PIIP</t>
        </is>
      </c>
    </row>
    <row r="47">
      <c r="A47" t="inlineStr">
        <is>
          <t>IP-60</t>
        </is>
      </c>
      <c r="B47" t="inlineStr">
        <is>
          <t>41</t>
        </is>
      </c>
      <c r="C47" t="inlineStr">
        <is>
          <t xml:space="preserve">Inclusión social y reconciliación </t>
        </is>
      </c>
      <c r="D47" t="inlineStr">
        <is>
          <t>4104</t>
        </is>
      </c>
      <c r="E47" t="inlineStr">
        <is>
          <t>Atención integral de población en situación permanente de desprotección social y/o familiar</t>
        </is>
      </c>
      <c r="F47" t="inlineStr">
        <is>
          <t>4104008</t>
        </is>
      </c>
      <c r="G47" t="inlineStr">
        <is>
          <t>Servicio de atención y protección integral al adulto mayor</t>
        </is>
      </c>
      <c r="H47" t="inlineStr">
        <is>
          <t>410400800</t>
        </is>
      </c>
      <c r="I47" t="inlineStr">
        <is>
          <t>Adultos mayores atendidos con servicios integrales</t>
        </is>
      </c>
      <c r="J47" t="inlineStr">
        <is>
          <t>2024252950009</t>
        </is>
      </c>
      <c r="K47" t="inlineStr">
        <is>
          <t>Si</t>
        </is>
      </c>
      <c r="L47" t="inlineStr">
        <is>
          <t>Número</t>
        </is>
      </c>
      <c r="M47">
        <v>25</v>
      </c>
      <c r="N47">
        <v>0</v>
      </c>
      <c r="O47">
        <v>10</v>
      </c>
      <c r="P47">
        <v>10</v>
      </c>
      <c r="Q47">
        <v>5</v>
      </c>
      <c r="R47" t="inlineStr">
        <is>
          <t xml:space="preserve"> </t>
        </is>
      </c>
      <c r="S47" s="103" t="inlineStr">
        <is>
          <t xml:space="preserve"> </t>
        </is>
      </c>
      <c r="T47" t="inlineStr">
        <is>
          <t>No se encontró ejecución en PIIP</t>
        </is>
      </c>
      <c r="U47" t="inlineStr">
        <is>
          <t xml:space="preserve"> </t>
        </is>
      </c>
      <c r="V47" s="104" t="inlineStr">
        <is>
          <t xml:space="preserve"> </t>
        </is>
      </c>
      <c r="W47" t="inlineStr">
        <is>
          <t>No se encontró ejecución en PIIP</t>
        </is>
      </c>
    </row>
    <row r="48">
      <c r="A48" t="inlineStr">
        <is>
          <t>IP-61, IP-62, IP-63, IP-65, IP-66</t>
        </is>
      </c>
      <c r="B48" t="inlineStr">
        <is>
          <t>45</t>
        </is>
      </c>
      <c r="C48" t="inlineStr">
        <is>
          <t>Gobierno Territorial</t>
        </is>
      </c>
      <c r="D48" t="inlineStr">
        <is>
          <t>4502</t>
        </is>
      </c>
      <c r="E48" t="inlineStr">
        <is>
          <t>Fortalecimiento del buen gobierno para el respeto y garantía de los derechos humanos.</t>
        </is>
      </c>
      <c r="F48" t="inlineStr">
        <is>
          <t>4502038</t>
        </is>
      </c>
      <c r="G48" t="inlineStr">
        <is>
          <t>Servicio de promoción de la garantía de derechos</t>
        </is>
      </c>
      <c r="H48" t="inlineStr">
        <is>
          <t>450203800</t>
        </is>
      </c>
      <c r="I48" t="inlineStr">
        <is>
          <t>Estrategias de promoción de la garantía de derechos implementadas</t>
        </is>
      </c>
      <c r="J48" t="inlineStr">
        <is>
          <t>2024252950009</t>
        </is>
      </c>
      <c r="K48" t="inlineStr">
        <is>
          <t>Si</t>
        </is>
      </c>
      <c r="L48" t="inlineStr">
        <is>
          <t>Número</t>
        </is>
      </c>
      <c r="M48">
        <v>467</v>
      </c>
      <c r="N48">
        <v>77</v>
      </c>
      <c r="O48">
        <v>147</v>
      </c>
      <c r="P48">
        <v>152</v>
      </c>
      <c r="Q48">
        <v>97</v>
      </c>
      <c r="R48" t="inlineStr">
        <is>
          <t xml:space="preserve"> </t>
        </is>
      </c>
      <c r="S48" s="103" t="inlineStr">
        <is>
          <t xml:space="preserve"> </t>
        </is>
      </c>
      <c r="T48" t="inlineStr">
        <is>
          <t>No se encontró ejecución en PIIP</t>
        </is>
      </c>
      <c r="U48" t="inlineStr">
        <is>
          <t xml:space="preserve"> </t>
        </is>
      </c>
      <c r="V48" s="104" t="inlineStr">
        <is>
          <t xml:space="preserve"> </t>
        </is>
      </c>
      <c r="W48" t="inlineStr">
        <is>
          <t>No se encontró ejecución en PIIP</t>
        </is>
      </c>
    </row>
    <row r="49">
      <c r="A49" t="inlineStr">
        <is>
          <t>IP-64</t>
        </is>
      </c>
      <c r="B49" t="inlineStr">
        <is>
          <t>45</t>
        </is>
      </c>
      <c r="C49" t="inlineStr">
        <is>
          <t>Gobierno Territorial</t>
        </is>
      </c>
      <c r="D49" t="inlineStr">
        <is>
          <t>4502</t>
        </is>
      </c>
      <c r="E49" t="inlineStr">
        <is>
          <t>Fortalecimiento del buen gobierno para el respeto y garantía de los derechos humanos.</t>
        </is>
      </c>
      <c r="F49" t="inlineStr">
        <is>
          <t>4502038</t>
        </is>
      </c>
      <c r="G49" t="inlineStr">
        <is>
          <t>Servicio de promoción de la garantía de derechos</t>
        </is>
      </c>
      <c r="H49" t="inlineStr">
        <is>
          <t>450203800</t>
        </is>
      </c>
      <c r="I49" t="inlineStr">
        <is>
          <t>Estrategias de promoción de la garantía de derechos implementadas</t>
        </is>
      </c>
      <c r="J49" t="inlineStr">
        <is>
          <t>2024252950009</t>
        </is>
      </c>
      <c r="K49" t="inlineStr">
        <is>
          <t>No</t>
        </is>
      </c>
      <c r="L49" t="inlineStr">
        <is>
          <t>Número</t>
        </is>
      </c>
      <c r="M49">
        <v>15</v>
      </c>
      <c r="N49">
        <v>15</v>
      </c>
      <c r="O49">
        <v>15</v>
      </c>
      <c r="P49">
        <v>15</v>
      </c>
      <c r="Q49">
        <v>15</v>
      </c>
      <c r="R49">
        <v>2</v>
      </c>
      <c r="S49" s="103">
        <v>0.133333333333333</v>
      </c>
      <c r="T49" t="inlineStr">
        <is>
          <t>Lo ejecutado está por debajo de lo programado en la vigencia</t>
        </is>
      </c>
      <c r="U49">
        <v>0</v>
      </c>
      <c r="V49" s="104">
        <v>0</v>
      </c>
      <c r="W49" t="inlineStr">
        <is>
          <t>No se ejecutó en la vigencia</t>
        </is>
      </c>
    </row>
    <row r="50">
      <c r="A50" t="inlineStr">
        <is>
          <t>IP-67</t>
        </is>
      </c>
      <c r="B50" t="inlineStr">
        <is>
          <t>45</t>
        </is>
      </c>
      <c r="C50" t="inlineStr">
        <is>
          <t>Gobierno Territorial</t>
        </is>
      </c>
      <c r="D50" t="inlineStr">
        <is>
          <t>4502</t>
        </is>
      </c>
      <c r="E50" t="inlineStr">
        <is>
          <t>Fortalecimiento del buen gobierno para el respeto y garantía de los derechos humanos.</t>
        </is>
      </c>
      <c r="F50" t="inlineStr">
        <is>
          <t>4502038</t>
        </is>
      </c>
      <c r="G50" t="inlineStr">
        <is>
          <t>Servicio de promoción de la garantía de derechos</t>
        </is>
      </c>
      <c r="H50" t="inlineStr">
        <is>
          <t>450203800</t>
        </is>
      </c>
      <c r="I50" t="inlineStr">
        <is>
          <t>Estrategias de promoción de la garantía de derechos implementadas</t>
        </is>
      </c>
      <c r="J50" t="inlineStr">
        <is>
          <t>2024252950010</t>
        </is>
      </c>
      <c r="K50" t="inlineStr">
        <is>
          <t>Si</t>
        </is>
      </c>
      <c r="L50" t="inlineStr">
        <is>
          <t>Número</t>
        </is>
      </c>
      <c r="M50">
        <v>25</v>
      </c>
      <c r="N50">
        <v>5</v>
      </c>
      <c r="O50">
        <v>5</v>
      </c>
      <c r="P50">
        <v>10</v>
      </c>
      <c r="Q50">
        <v>5</v>
      </c>
      <c r="R50" t="inlineStr">
        <is>
          <t xml:space="preserve"> </t>
        </is>
      </c>
      <c r="S50" s="103" t="inlineStr">
        <is>
          <t xml:space="preserve"> </t>
        </is>
      </c>
      <c r="T50" t="inlineStr">
        <is>
          <t>No se encontró ejecución en PIIP</t>
        </is>
      </c>
      <c r="U50" t="inlineStr">
        <is>
          <t xml:space="preserve"> </t>
        </is>
      </c>
      <c r="V50" s="104" t="inlineStr">
        <is>
          <t xml:space="preserve"> </t>
        </is>
      </c>
      <c r="W50" t="inlineStr">
        <is>
          <t>No se encontró ejecución en PIIP</t>
        </is>
      </c>
    </row>
    <row r="51">
      <c r="A51" t="inlineStr">
        <is>
          <t>IP-68</t>
        </is>
      </c>
      <c r="B51" t="inlineStr">
        <is>
          <t>41</t>
        </is>
      </c>
      <c r="C51" t="inlineStr">
        <is>
          <t xml:space="preserve">Inclusión social y reconciliación </t>
        </is>
      </c>
      <c r="D51" t="inlineStr">
        <is>
          <t>4102</t>
        </is>
      </c>
      <c r="E51" t="inlineStr">
        <is>
          <t>Desarrollo integral de la primera infancia a la juventud, y fortalecimiento de las capacidades de las familias de niñas, niños y adolescentes</t>
        </is>
      </c>
      <c r="F51" t="inlineStr">
        <is>
          <t>4102038</t>
        </is>
      </c>
      <c r="G51" t="inlineStr">
        <is>
          <t>Servicio dirigidos a la atención de niños, niñas, adolescentes y jóvenes, con enfoque pedagógico y restaurativo encaminados a la inclusión social</t>
        </is>
      </c>
      <c r="H51" t="inlineStr">
        <is>
          <t>410203800</t>
        </is>
      </c>
      <c r="I51" t="inlineStr">
        <is>
          <t>Niños, niñas, adolescentes y jóvenes atendidios en los servicios de restablecimiento en la administración de justicia</t>
        </is>
      </c>
      <c r="J51" t="inlineStr">
        <is>
          <t>2024252950010</t>
        </is>
      </c>
      <c r="K51" t="inlineStr">
        <is>
          <t>No</t>
        </is>
      </c>
      <c r="L51" t="inlineStr">
        <is>
          <t>Número</t>
        </is>
      </c>
      <c r="M51">
        <v>40</v>
      </c>
      <c r="N51">
        <v>40</v>
      </c>
      <c r="O51">
        <v>40</v>
      </c>
      <c r="P51">
        <v>40</v>
      </c>
      <c r="Q51">
        <v>40</v>
      </c>
      <c r="R51">
        <v>0</v>
      </c>
      <c r="S51" s="103">
        <v>0</v>
      </c>
      <c r="T51" t="inlineStr">
        <is>
          <t>No se ejecutó en la vigencia</t>
        </is>
      </c>
      <c r="U51">
        <v>10430</v>
      </c>
      <c r="V51" s="104">
        <v>260.75</v>
      </c>
      <c r="W51" t="inlineStr">
        <is>
          <t>Hubo ejecución por encima de lo programado en SisPT</t>
        </is>
      </c>
    </row>
    <row r="52">
      <c r="A52" t="inlineStr">
        <is>
          <t>IP-69, IP-70, IP-71, IP-72, IP-73</t>
        </is>
      </c>
      <c r="B52" t="inlineStr">
        <is>
          <t>41</t>
        </is>
      </c>
      <c r="C52" t="inlineStr">
        <is>
          <t xml:space="preserve">Inclusión social y reconciliación </t>
        </is>
      </c>
      <c r="D52" t="inlineStr">
        <is>
          <t>4102</t>
        </is>
      </c>
      <c r="E52" t="inlineStr">
        <is>
          <t>Desarrollo integral de la primera infancia a la juventud, y fortalecimiento de las capacidades de las familias de niñas, niños y adolescentes</t>
        </is>
      </c>
      <c r="F52" t="inlineStr">
        <is>
          <t>4102038</t>
        </is>
      </c>
      <c r="G52" t="inlineStr">
        <is>
          <t>Servicio dirigidos a la atención de niños, niñas, adolescentes y jóvenes, con enfoque pedagógico y restaurativo encaminados a la inclusión social</t>
        </is>
      </c>
      <c r="H52" t="inlineStr">
        <is>
          <t>410203800</t>
        </is>
      </c>
      <c r="I52" t="inlineStr">
        <is>
          <t>Niños, niñas, adolescentes y jóvenes atendidios en los servicios de restablecimiento en la administración de justicia</t>
        </is>
      </c>
      <c r="J52" t="inlineStr">
        <is>
          <t>2024252950010</t>
        </is>
      </c>
      <c r="K52" t="inlineStr">
        <is>
          <t>Si</t>
        </is>
      </c>
      <c r="L52" t="inlineStr">
        <is>
          <t>Número</t>
        </is>
      </c>
      <c r="M52">
        <v>3740</v>
      </c>
      <c r="N52">
        <v>625.2</v>
      </c>
      <c r="O52">
        <v>1205.3</v>
      </c>
      <c r="P52">
        <v>1205.3</v>
      </c>
      <c r="Q52">
        <v>695.2</v>
      </c>
      <c r="R52" t="inlineStr">
        <is>
          <t xml:space="preserve"> </t>
        </is>
      </c>
      <c r="S52" s="103" t="inlineStr">
        <is>
          <t xml:space="preserve"> </t>
        </is>
      </c>
      <c r="T52" t="inlineStr">
        <is>
          <t>No se encontró ejecución en PIIP</t>
        </is>
      </c>
      <c r="U52" t="inlineStr">
        <is>
          <t xml:space="preserve"> </t>
        </is>
      </c>
      <c r="V52" s="104" t="inlineStr">
        <is>
          <t xml:space="preserve"> </t>
        </is>
      </c>
      <c r="W52" t="inlineStr">
        <is>
          <t>No se encontró ejecución en PIIP</t>
        </is>
      </c>
    </row>
    <row r="53">
      <c r="A53" t="inlineStr">
        <is>
          <t>IP-74</t>
        </is>
      </c>
      <c r="B53" t="inlineStr">
        <is>
          <t>41</t>
        </is>
      </c>
      <c r="C53" t="inlineStr">
        <is>
          <t xml:space="preserve">Inclusión social y reconciliación </t>
        </is>
      </c>
      <c r="D53" t="inlineStr">
        <is>
          <t>4102</t>
        </is>
      </c>
      <c r="E53" t="inlineStr">
        <is>
          <t>Desarrollo integral de la primera infancia a la juventud, y fortalecimiento de las capacidades de las familias de niñas, niños y adolescentes</t>
        </is>
      </c>
      <c r="F53" t="inlineStr">
        <is>
          <t>4102038</t>
        </is>
      </c>
      <c r="G53" t="inlineStr">
        <is>
          <t>Servicio dirigidos a la atención de niños, niñas, adolescentes y jóvenes, con enfoque pedagógico y restaurativo encaminados a la inclusión social</t>
        </is>
      </c>
      <c r="H53" t="inlineStr">
        <is>
          <t>410203800</t>
        </is>
      </c>
      <c r="I53" t="inlineStr">
        <is>
          <t>Niños, niñas, adolescentes y jóvenes atendidios en los servicios de restablecimiento en la administración de justicia</t>
        </is>
      </c>
      <c r="J53" t="inlineStr">
        <is>
          <t>2024252950011</t>
        </is>
      </c>
      <c r="K53" t="inlineStr">
        <is>
          <t>Si</t>
        </is>
      </c>
      <c r="L53" t="inlineStr">
        <is>
          <t>Número</t>
        </is>
      </c>
      <c r="M53">
        <v>40</v>
      </c>
      <c r="N53">
        <v>40</v>
      </c>
      <c r="O53">
        <v>40</v>
      </c>
      <c r="P53">
        <v>40</v>
      </c>
      <c r="Q53">
        <v>40</v>
      </c>
      <c r="R53" t="inlineStr">
        <is>
          <t xml:space="preserve"> </t>
        </is>
      </c>
      <c r="S53" s="103" t="inlineStr">
        <is>
          <t xml:space="preserve"> </t>
        </is>
      </c>
      <c r="T53" t="inlineStr">
        <is>
          <t>No se encontró ejecución en PIIP</t>
        </is>
      </c>
      <c r="U53" t="inlineStr">
        <is>
          <t xml:space="preserve"> </t>
        </is>
      </c>
      <c r="V53" s="104" t="inlineStr">
        <is>
          <t xml:space="preserve"> </t>
        </is>
      </c>
      <c r="W53" t="inlineStr">
        <is>
          <t>No se encontró ejecución en PIIP</t>
        </is>
      </c>
    </row>
    <row r="54">
      <c r="A54" t="inlineStr">
        <is>
          <t>IP-75, IP-77</t>
        </is>
      </c>
      <c r="B54" t="inlineStr">
        <is>
          <t>41</t>
        </is>
      </c>
      <c r="C54" t="inlineStr">
        <is>
          <t xml:space="preserve">Inclusión social y reconciliación </t>
        </is>
      </c>
      <c r="D54" t="inlineStr">
        <is>
          <t>4104</t>
        </is>
      </c>
      <c r="E54" t="inlineStr">
        <is>
          <t>Atención integral de población en situación permanente de desprotección social y/o familiar</t>
        </is>
      </c>
      <c r="F54" t="inlineStr">
        <is>
          <t>4104020</t>
        </is>
      </c>
      <c r="G54" t="inlineStr">
        <is>
          <t>Servicio de atención integral a población en condición de discapacidad</t>
        </is>
      </c>
      <c r="H54" t="inlineStr">
        <is>
          <t>410402000</t>
        </is>
      </c>
      <c r="I54" t="inlineStr">
        <is>
          <t>Personas con discapacidad atendidas con servicios integrales</t>
        </is>
      </c>
      <c r="J54" t="inlineStr">
        <is>
          <t>2024252950011</t>
        </is>
      </c>
      <c r="K54" t="inlineStr">
        <is>
          <t>No</t>
        </is>
      </c>
      <c r="L54" t="inlineStr">
        <is>
          <t>Número</t>
        </is>
      </c>
      <c r="M54">
        <v>106</v>
      </c>
      <c r="N54">
        <v>106</v>
      </c>
      <c r="O54">
        <v>106</v>
      </c>
      <c r="P54">
        <v>106</v>
      </c>
      <c r="Q54">
        <v>106</v>
      </c>
      <c r="R54">
        <v>100</v>
      </c>
      <c r="S54" s="103">
        <v>0.943396226415094</v>
      </c>
      <c r="T54" t="inlineStr">
        <is>
          <t>Lo ejecutado está por debajo de lo programado en la vigencia</t>
        </is>
      </c>
      <c r="U54">
        <v>0</v>
      </c>
      <c r="V54" s="104">
        <v>0</v>
      </c>
      <c r="W54" t="inlineStr">
        <is>
          <t>No se ejecutó en la vigencia</t>
        </is>
      </c>
    </row>
    <row r="55">
      <c r="A55" t="inlineStr">
        <is>
          <t>IP-76, IP-78</t>
        </is>
      </c>
      <c r="B55" t="inlineStr">
        <is>
          <t>41</t>
        </is>
      </c>
      <c r="C55" t="inlineStr">
        <is>
          <t xml:space="preserve">Inclusión social y reconciliación </t>
        </is>
      </c>
      <c r="D55" t="inlineStr">
        <is>
          <t>4104</t>
        </is>
      </c>
      <c r="E55" t="inlineStr">
        <is>
          <t>Atención integral de población en situación permanente de desprotección social y/o familiar</t>
        </is>
      </c>
      <c r="F55" t="inlineStr">
        <is>
          <t>4104020</t>
        </is>
      </c>
      <c r="G55" t="inlineStr">
        <is>
          <t>Servicio de atención integral a población en condición de discapacidad</t>
        </is>
      </c>
      <c r="H55" t="inlineStr">
        <is>
          <t>410402000</t>
        </is>
      </c>
      <c r="I55" t="inlineStr">
        <is>
          <t>Personas con discapacidad atendidas con servicios integrales</t>
        </is>
      </c>
      <c r="J55" t="inlineStr">
        <is>
          <t>2024252950011</t>
        </is>
      </c>
      <c r="K55" t="inlineStr">
        <is>
          <t>Si</t>
        </is>
      </c>
      <c r="L55" t="inlineStr">
        <is>
          <t>Número</t>
        </is>
      </c>
      <c r="M55">
        <v>58</v>
      </c>
      <c r="N55">
        <v>13</v>
      </c>
      <c r="O55">
        <v>12</v>
      </c>
      <c r="P55">
        <v>18</v>
      </c>
      <c r="Q55">
        <v>15</v>
      </c>
      <c r="R55" t="inlineStr">
        <is>
          <t xml:space="preserve"> </t>
        </is>
      </c>
      <c r="S55" s="103" t="inlineStr">
        <is>
          <t xml:space="preserve"> </t>
        </is>
      </c>
      <c r="T55" t="inlineStr">
        <is>
          <t>No se encontró ejecución en PIIP</t>
        </is>
      </c>
      <c r="U55" t="inlineStr">
        <is>
          <t xml:space="preserve"> </t>
        </is>
      </c>
      <c r="V55" s="104" t="inlineStr">
        <is>
          <t xml:space="preserve"> </t>
        </is>
      </c>
      <c r="W55" t="inlineStr">
        <is>
          <t>No se encontró ejecución en PIIP</t>
        </is>
      </c>
    </row>
    <row r="56">
      <c r="A56" t="inlineStr">
        <is>
          <t>IP-79</t>
        </is>
      </c>
      <c r="B56" t="inlineStr">
        <is>
          <t>41</t>
        </is>
      </c>
      <c r="C56" t="inlineStr">
        <is>
          <t xml:space="preserve">Inclusión social y reconciliación </t>
        </is>
      </c>
      <c r="D56" t="inlineStr">
        <is>
          <t>4104</t>
        </is>
      </c>
      <c r="E56" t="inlineStr">
        <is>
          <t>Atención integral de población en situación permanente de desprotección social y/o familiar</t>
        </is>
      </c>
      <c r="F56" t="inlineStr">
        <is>
          <t>4104020</t>
        </is>
      </c>
      <c r="G56" t="inlineStr">
        <is>
          <t>Servicio de atención integral a población en condición de discapacidad</t>
        </is>
      </c>
      <c r="H56" t="inlineStr">
        <is>
          <t>410402000</t>
        </is>
      </c>
      <c r="I56" t="inlineStr">
        <is>
          <t>Personas con discapacidad atendidas con servicios integrales</t>
        </is>
      </c>
      <c r="J56" t="inlineStr">
        <is>
          <t>2024252950012</t>
        </is>
      </c>
      <c r="K56" t="inlineStr">
        <is>
          <t>Si</t>
        </is>
      </c>
      <c r="L56" t="inlineStr">
        <is>
          <t>Número</t>
        </is>
      </c>
      <c r="M56">
        <v>20</v>
      </c>
      <c r="N56">
        <v>3</v>
      </c>
      <c r="O56">
        <v>6</v>
      </c>
      <c r="P56">
        <v>6</v>
      </c>
      <c r="Q56">
        <v>5</v>
      </c>
      <c r="R56" t="inlineStr">
        <is>
          <t xml:space="preserve"> </t>
        </is>
      </c>
      <c r="S56" s="103" t="inlineStr">
        <is>
          <t xml:space="preserve"> </t>
        </is>
      </c>
      <c r="T56" t="inlineStr">
        <is>
          <t>No se encontró ejecución en PIIP</t>
        </is>
      </c>
      <c r="U56" t="inlineStr">
        <is>
          <t xml:space="preserve"> </t>
        </is>
      </c>
      <c r="V56" s="104" t="inlineStr">
        <is>
          <t xml:space="preserve"> </t>
        </is>
      </c>
      <c r="W56" t="inlineStr">
        <is>
          <t>No se encontró ejecución en PIIP</t>
        </is>
      </c>
    </row>
    <row r="57">
      <c r="A57" t="inlineStr">
        <is>
          <t>IP-80</t>
        </is>
      </c>
      <c r="B57" t="inlineStr">
        <is>
          <t>33</t>
        </is>
      </c>
      <c r="C57" t="inlineStr">
        <is>
          <t>Cultura</t>
        </is>
      </c>
      <c r="D57" t="inlineStr">
        <is>
          <t>3301</t>
        </is>
      </c>
      <c r="E57" t="inlineStr">
        <is>
          <t>Promoción y acceso efectivo a procesos culturales y artísticos</t>
        </is>
      </c>
      <c r="F57" t="inlineStr">
        <is>
          <t>3301122</t>
        </is>
      </c>
      <c r="G57" t="inlineStr">
        <is>
          <t>Servicio de fomento para el acceso de la oferta cultural</t>
        </is>
      </c>
      <c r="H57" t="inlineStr">
        <is>
          <t>330112200</t>
        </is>
      </c>
      <c r="I57" t="inlineStr">
        <is>
          <t>Personas beneficiadas</t>
        </is>
      </c>
      <c r="J57" t="inlineStr">
        <is>
          <t>2024252950012</t>
        </is>
      </c>
      <c r="K57" t="inlineStr">
        <is>
          <t>Si</t>
        </is>
      </c>
      <c r="L57" t="inlineStr">
        <is>
          <t>Número</t>
        </is>
      </c>
      <c r="M57">
        <v>4800</v>
      </c>
      <c r="N57">
        <v>400</v>
      </c>
      <c r="O57">
        <v>2000</v>
      </c>
      <c r="P57">
        <v>2000</v>
      </c>
      <c r="Q57">
        <v>400</v>
      </c>
      <c r="R57" t="inlineStr">
        <is>
          <t xml:space="preserve"> </t>
        </is>
      </c>
      <c r="S57" s="103" t="inlineStr">
        <is>
          <t xml:space="preserve"> </t>
        </is>
      </c>
      <c r="T57" t="inlineStr">
        <is>
          <t>No se encontró ejecución en PIIP</t>
        </is>
      </c>
      <c r="U57" t="inlineStr">
        <is>
          <t xml:space="preserve"> </t>
        </is>
      </c>
      <c r="V57" s="104" t="inlineStr">
        <is>
          <t xml:space="preserve"> </t>
        </is>
      </c>
      <c r="W57" t="inlineStr">
        <is>
          <t>No se encontró ejecución en PIIP</t>
        </is>
      </c>
    </row>
    <row r="58">
      <c r="A58" t="inlineStr">
        <is>
          <t>IP-81, IP-87, IP-88</t>
        </is>
      </c>
      <c r="B58" t="inlineStr">
        <is>
          <t>33</t>
        </is>
      </c>
      <c r="C58" t="inlineStr">
        <is>
          <t>Cultura</t>
        </is>
      </c>
      <c r="D58" t="inlineStr">
        <is>
          <t>3301</t>
        </is>
      </c>
      <c r="E58" t="inlineStr">
        <is>
          <t>Promoción y acceso efectivo a procesos culturales y artísticos</t>
        </is>
      </c>
      <c r="F58" t="inlineStr">
        <is>
          <t>3301055</t>
        </is>
      </c>
      <c r="G58" t="inlineStr">
        <is>
          <t>Servicio de apoyo financiero para el desarrollo de prácticas artísticas y culturales</t>
        </is>
      </c>
      <c r="H58" t="inlineStr">
        <is>
          <t>330105501</t>
        </is>
      </c>
      <c r="I58" t="inlineStr">
        <is>
          <t>Becas para el desarrollo de prácticas artísticas y culturales otorgadas</t>
        </is>
      </c>
      <c r="J58" t="inlineStr">
        <is>
          <t>2024252950012</t>
        </is>
      </c>
      <c r="K58" t="inlineStr">
        <is>
          <t>Si</t>
        </is>
      </c>
      <c r="L58" t="inlineStr">
        <is>
          <t>Número</t>
        </is>
      </c>
      <c r="M58">
        <v>5084</v>
      </c>
      <c r="N58">
        <v>521</v>
      </c>
      <c r="O58">
        <v>1521</v>
      </c>
      <c r="P58">
        <v>1521</v>
      </c>
      <c r="Q58">
        <v>1521</v>
      </c>
      <c r="R58" t="inlineStr">
        <is>
          <t xml:space="preserve"> </t>
        </is>
      </c>
      <c r="S58" s="103" t="inlineStr">
        <is>
          <t xml:space="preserve"> </t>
        </is>
      </c>
      <c r="T58" t="inlineStr">
        <is>
          <t>No se encontró ejecución en PIIP</t>
        </is>
      </c>
      <c r="U58" t="inlineStr">
        <is>
          <t xml:space="preserve"> </t>
        </is>
      </c>
      <c r="V58" s="104" t="inlineStr">
        <is>
          <t xml:space="preserve"> </t>
        </is>
      </c>
      <c r="W58" t="inlineStr">
        <is>
          <t>No se encontró ejecución en PIIP</t>
        </is>
      </c>
    </row>
    <row r="59">
      <c r="A59" t="inlineStr">
        <is>
          <t>IP-82</t>
        </is>
      </c>
      <c r="B59" t="inlineStr">
        <is>
          <t>33</t>
        </is>
      </c>
      <c r="C59" t="inlineStr">
        <is>
          <t>Cultura</t>
        </is>
      </c>
      <c r="D59" t="inlineStr">
        <is>
          <t>3301</t>
        </is>
      </c>
      <c r="E59" t="inlineStr">
        <is>
          <t>Promoción y acceso efectivo a procesos culturales y artísticos</t>
        </is>
      </c>
      <c r="F59" t="inlineStr">
        <is>
          <t>3301101</t>
        </is>
      </c>
      <c r="G59" t="inlineStr">
        <is>
          <t>Centro musicales dotados</t>
        </is>
      </c>
      <c r="H59" t="inlineStr">
        <is>
          <t>330110100</t>
        </is>
      </c>
      <c r="I59" t="inlineStr">
        <is>
          <t>Centros musicales dotados</t>
        </is>
      </c>
      <c r="J59" t="inlineStr">
        <is>
          <t>2024252950012</t>
        </is>
      </c>
      <c r="K59" t="inlineStr">
        <is>
          <t>Si</t>
        </is>
      </c>
      <c r="L59" t="inlineStr">
        <is>
          <t>Número</t>
        </is>
      </c>
      <c r="M59">
        <v>2</v>
      </c>
      <c r="N59">
        <v>1</v>
      </c>
      <c r="O59">
        <v>1</v>
      </c>
      <c r="P59">
        <v>0</v>
      </c>
      <c r="Q59">
        <v>0</v>
      </c>
      <c r="R59" t="inlineStr">
        <is>
          <t xml:space="preserve"> </t>
        </is>
      </c>
      <c r="S59" s="103" t="inlineStr">
        <is>
          <t xml:space="preserve"> </t>
        </is>
      </c>
      <c r="T59" t="inlineStr">
        <is>
          <t>No se encontró ejecución en PIIP</t>
        </is>
      </c>
      <c r="U59" t="inlineStr">
        <is>
          <t xml:space="preserve"> </t>
        </is>
      </c>
      <c r="V59" s="104" t="inlineStr">
        <is>
          <t xml:space="preserve"> </t>
        </is>
      </c>
      <c r="W59" t="inlineStr">
        <is>
          <t>No se encontró ejecución en PIIP</t>
        </is>
      </c>
    </row>
    <row r="60">
      <c r="A60" t="inlineStr">
        <is>
          <t>IP-83</t>
        </is>
      </c>
      <c r="B60" t="inlineStr">
        <is>
          <t>33</t>
        </is>
      </c>
      <c r="C60" t="inlineStr">
        <is>
          <t>Cultura</t>
        </is>
      </c>
      <c r="D60" t="inlineStr">
        <is>
          <t>3301</t>
        </is>
      </c>
      <c r="E60" t="inlineStr">
        <is>
          <t>Promoción y acceso efectivo a procesos culturales y artísticos</t>
        </is>
      </c>
      <c r="F60" t="inlineStr">
        <is>
          <t>3301054</t>
        </is>
      </c>
      <c r="G60" t="inlineStr">
        <is>
          <t>Servicio de apoyo financiero al sector artístico y cultural</t>
        </is>
      </c>
      <c r="H60" t="inlineStr">
        <is>
          <t>330105400</t>
        </is>
      </c>
      <c r="I60" t="inlineStr">
        <is>
          <t>Estímulos otorgados</t>
        </is>
      </c>
      <c r="J60" t="inlineStr">
        <is>
          <t>2024252950012</t>
        </is>
      </c>
      <c r="K60" t="inlineStr">
        <is>
          <t>Si</t>
        </is>
      </c>
      <c r="L60" t="inlineStr">
        <is>
          <t>Número</t>
        </is>
      </c>
      <c r="M60">
        <v>4800</v>
      </c>
      <c r="N60">
        <v>400</v>
      </c>
      <c r="O60">
        <v>2000</v>
      </c>
      <c r="P60">
        <v>2000</v>
      </c>
      <c r="Q60">
        <v>400</v>
      </c>
      <c r="R60" t="inlineStr">
        <is>
          <t xml:space="preserve"> </t>
        </is>
      </c>
      <c r="S60" s="103" t="inlineStr">
        <is>
          <t xml:space="preserve"> </t>
        </is>
      </c>
      <c r="T60" t="inlineStr">
        <is>
          <t>No se encontró ejecución en PIIP</t>
        </is>
      </c>
      <c r="U60" t="inlineStr">
        <is>
          <t xml:space="preserve"> </t>
        </is>
      </c>
      <c r="V60" s="104" t="inlineStr">
        <is>
          <t xml:space="preserve"> </t>
        </is>
      </c>
      <c r="W60" t="inlineStr">
        <is>
          <t>No se encontró ejecución en PIIP</t>
        </is>
      </c>
    </row>
    <row r="61">
      <c r="A61" t="inlineStr">
        <is>
          <t>IP-84, IP-85, IP-86</t>
        </is>
      </c>
      <c r="B61" t="inlineStr">
        <is>
          <t>33</t>
        </is>
      </c>
      <c r="C61" t="inlineStr">
        <is>
          <t>Cultura</t>
        </is>
      </c>
      <c r="D61" t="inlineStr">
        <is>
          <t>3301</t>
        </is>
      </c>
      <c r="E61" t="inlineStr">
        <is>
          <t>Promoción y acceso efectivo a procesos culturales y artísticos</t>
        </is>
      </c>
      <c r="F61" t="inlineStr">
        <is>
          <t>3301064</t>
        </is>
      </c>
      <c r="G61" t="inlineStr">
        <is>
          <t>Servicio de asistencia técnica en educación artística y cultural</t>
        </is>
      </c>
      <c r="H61" t="inlineStr">
        <is>
          <t>330106400</t>
        </is>
      </c>
      <c r="I61" t="inlineStr">
        <is>
          <t>Asistencias técnicas realizadas</t>
        </is>
      </c>
      <c r="J61" t="inlineStr">
        <is>
          <t>2024252950012</t>
        </is>
      </c>
      <c r="K61" t="inlineStr">
        <is>
          <t>Si</t>
        </is>
      </c>
      <c r="L61" t="inlineStr">
        <is>
          <t>Número</t>
        </is>
      </c>
      <c r="M61">
        <v>2650</v>
      </c>
      <c r="N61">
        <v>305</v>
      </c>
      <c r="O61">
        <v>1013</v>
      </c>
      <c r="P61">
        <v>1020</v>
      </c>
      <c r="Q61">
        <v>312</v>
      </c>
      <c r="R61" t="inlineStr">
        <is>
          <t xml:space="preserve"> </t>
        </is>
      </c>
      <c r="S61" s="103" t="inlineStr">
        <is>
          <t xml:space="preserve"> </t>
        </is>
      </c>
      <c r="T61" t="inlineStr">
        <is>
          <t>No se encontró ejecución en PIIP</t>
        </is>
      </c>
      <c r="U61" t="inlineStr">
        <is>
          <t xml:space="preserve"> </t>
        </is>
      </c>
      <c r="V61" s="104" t="inlineStr">
        <is>
          <t xml:space="preserve"> </t>
        </is>
      </c>
      <c r="W61" t="inlineStr">
        <is>
          <t>No se encontró ejecución en PIIP</t>
        </is>
      </c>
    </row>
    <row r="62">
      <c r="A62" t="inlineStr">
        <is>
          <t>IP-89</t>
        </is>
      </c>
      <c r="B62" t="inlineStr">
        <is>
          <t>33</t>
        </is>
      </c>
      <c r="C62" t="inlineStr">
        <is>
          <t>Cultura</t>
        </is>
      </c>
      <c r="D62" t="inlineStr">
        <is>
          <t>3301</t>
        </is>
      </c>
      <c r="E62" t="inlineStr">
        <is>
          <t>Promoción y acceso efectivo a procesos culturales y artísticos</t>
        </is>
      </c>
      <c r="F62" t="inlineStr">
        <is>
          <t>3301055</t>
        </is>
      </c>
      <c r="G62" t="inlineStr">
        <is>
          <t>Servicio de apoyo financiero para el desarrollo de prácticas artísticas y culturales</t>
        </is>
      </c>
      <c r="H62" t="inlineStr">
        <is>
          <t>330105501</t>
        </is>
      </c>
      <c r="I62" t="inlineStr">
        <is>
          <t>Becas para el desarrollo de prácticas artísticas y culturales otorgadas</t>
        </is>
      </c>
      <c r="J62" t="inlineStr">
        <is>
          <t>2024252950013</t>
        </is>
      </c>
      <c r="K62" t="inlineStr">
        <is>
          <t>Si</t>
        </is>
      </c>
      <c r="L62" t="inlineStr">
        <is>
          <t>Número</t>
        </is>
      </c>
      <c r="M62">
        <v>4</v>
      </c>
      <c r="N62">
        <v>1</v>
      </c>
      <c r="O62">
        <v>1</v>
      </c>
      <c r="P62">
        <v>1</v>
      </c>
      <c r="Q62">
        <v>1</v>
      </c>
      <c r="R62" t="inlineStr">
        <is>
          <t xml:space="preserve"> </t>
        </is>
      </c>
      <c r="S62" s="103" t="inlineStr">
        <is>
          <t xml:space="preserve"> </t>
        </is>
      </c>
      <c r="T62" t="inlineStr">
        <is>
          <t>No se encontró ejecución en PIIP</t>
        </is>
      </c>
      <c r="U62" t="inlineStr">
        <is>
          <t xml:space="preserve"> </t>
        </is>
      </c>
      <c r="V62" s="104" t="inlineStr">
        <is>
          <t xml:space="preserve"> </t>
        </is>
      </c>
      <c r="W62" t="inlineStr">
        <is>
          <t>No se encontró ejecución en PIIP</t>
        </is>
      </c>
    </row>
    <row r="63">
      <c r="A63" t="inlineStr">
        <is>
          <t>IP-90, IP-91</t>
        </is>
      </c>
      <c r="B63" t="inlineStr">
        <is>
          <t>43</t>
        </is>
      </c>
      <c r="C63" t="inlineStr">
        <is>
          <t>Deporte y Recreación</t>
        </is>
      </c>
      <c r="D63" t="inlineStr">
        <is>
          <t>4301</t>
        </is>
      </c>
      <c r="E63" t="inlineStr">
        <is>
          <t>Fomento a la recreación, la actividad física y el deporte para desarrollar entornos de convivencia y paz</t>
        </is>
      </c>
      <c r="F63" t="inlineStr">
        <is>
          <t>4301004</t>
        </is>
      </c>
      <c r="G63" t="inlineStr">
        <is>
          <t>Servicio de mantenimiento a la infraestructura deportiva</t>
        </is>
      </c>
      <c r="H63" t="inlineStr">
        <is>
          <t>430100400</t>
        </is>
      </c>
      <c r="I63" t="inlineStr">
        <is>
          <t>Infraestructura deportiva mantenida</t>
        </is>
      </c>
      <c r="J63" t="inlineStr">
        <is>
          <t>2024252950013</t>
        </is>
      </c>
      <c r="K63" t="inlineStr">
        <is>
          <t>No</t>
        </is>
      </c>
      <c r="L63" t="inlineStr">
        <is>
          <t>Número</t>
        </is>
      </c>
      <c r="M63">
        <v>14</v>
      </c>
      <c r="N63">
        <v>14</v>
      </c>
      <c r="O63">
        <v>14</v>
      </c>
      <c r="P63">
        <v>14</v>
      </c>
      <c r="Q63">
        <v>14</v>
      </c>
      <c r="R63">
        <v>0</v>
      </c>
      <c r="S63" s="103">
        <v>0</v>
      </c>
      <c r="T63" t="inlineStr">
        <is>
          <t>No se ejecutó en la vigencia</t>
        </is>
      </c>
      <c r="U63">
        <v>0.4998</v>
      </c>
      <c r="V63" s="104">
        <v>0.0357</v>
      </c>
      <c r="W63" t="inlineStr">
        <is>
          <t>Lo ejecutado está por debajo de lo programado en la vigencia</t>
        </is>
      </c>
    </row>
    <row r="64">
      <c r="A64" t="inlineStr">
        <is>
          <t>IP-92</t>
        </is>
      </c>
      <c r="B64" t="inlineStr">
        <is>
          <t>43</t>
        </is>
      </c>
      <c r="C64" t="inlineStr">
        <is>
          <t>Deporte y Recreación</t>
        </is>
      </c>
      <c r="D64" t="inlineStr">
        <is>
          <t>4301</t>
        </is>
      </c>
      <c r="E64" t="inlineStr">
        <is>
          <t>Fomento a la recreación, la actividad física y el deporte para desarrollar entornos de convivencia y paz</t>
        </is>
      </c>
      <c r="F64" t="inlineStr">
        <is>
          <t>4301004</t>
        </is>
      </c>
      <c r="G64" t="inlineStr">
        <is>
          <t>Servicio de mantenimiento a la infraestructura deportiva</t>
        </is>
      </c>
      <c r="H64" t="inlineStr">
        <is>
          <t>430100400</t>
        </is>
      </c>
      <c r="I64" t="inlineStr">
        <is>
          <t>Infraestructura deportiva mantenida</t>
        </is>
      </c>
      <c r="J64" t="inlineStr">
        <is>
          <t>2024252950013</t>
        </is>
      </c>
      <c r="K64" t="inlineStr">
        <is>
          <t>Si</t>
        </is>
      </c>
      <c r="L64" t="inlineStr">
        <is>
          <t>Número</t>
        </is>
      </c>
      <c r="M64">
        <v>6500</v>
      </c>
      <c r="N64">
        <v>1500</v>
      </c>
      <c r="O64">
        <v>2000</v>
      </c>
      <c r="P64">
        <v>2000</v>
      </c>
      <c r="Q64">
        <v>1000</v>
      </c>
      <c r="R64" t="inlineStr">
        <is>
          <t xml:space="preserve"> </t>
        </is>
      </c>
      <c r="S64" s="103" t="inlineStr">
        <is>
          <t xml:space="preserve"> </t>
        </is>
      </c>
      <c r="T64" t="inlineStr">
        <is>
          <t>No se encontró ejecución en PIIP</t>
        </is>
      </c>
      <c r="U64" t="inlineStr">
        <is>
          <t xml:space="preserve"> </t>
        </is>
      </c>
      <c r="V64" s="104" t="inlineStr">
        <is>
          <t xml:space="preserve"> </t>
        </is>
      </c>
      <c r="W64" t="inlineStr">
        <is>
          <t>No se encontró ejecución en PIIP</t>
        </is>
      </c>
    </row>
    <row r="65">
      <c r="A65" t="inlineStr">
        <is>
          <t>IP-93</t>
        </is>
      </c>
      <c r="B65" t="inlineStr">
        <is>
          <t>43</t>
        </is>
      </c>
      <c r="C65" t="inlineStr">
        <is>
          <t>Deporte y Recreación</t>
        </is>
      </c>
      <c r="D65" t="inlineStr">
        <is>
          <t>4301</t>
        </is>
      </c>
      <c r="E65" t="inlineStr">
        <is>
          <t>Fomento a la recreación, la actividad física y el deporte para desarrollar entornos de convivencia y paz</t>
        </is>
      </c>
      <c r="F65" t="inlineStr">
        <is>
          <t>4301039</t>
        </is>
      </c>
      <c r="G65" t="inlineStr">
        <is>
          <t>Estudios de pre inversión</t>
        </is>
      </c>
      <c r="H65" t="inlineStr">
        <is>
          <t>430103900</t>
        </is>
      </c>
      <c r="I65" t="inlineStr">
        <is>
          <t>Estudios de pre inversión realizados</t>
        </is>
      </c>
      <c r="J65" t="inlineStr">
        <is>
          <t>2024252950013</t>
        </is>
      </c>
      <c r="K65" t="inlineStr">
        <is>
          <t>No</t>
        </is>
      </c>
      <c r="L65" t="inlineStr">
        <is>
          <t>Número</t>
        </is>
      </c>
      <c r="M65">
        <v>1</v>
      </c>
      <c r="N65">
        <v>1</v>
      </c>
      <c r="O65">
        <v>1</v>
      </c>
      <c r="P65">
        <v>1</v>
      </c>
      <c r="Q65">
        <v>1</v>
      </c>
      <c r="R65">
        <v>0</v>
      </c>
      <c r="S65" s="103">
        <v>0</v>
      </c>
      <c r="T65" t="inlineStr">
        <is>
          <t>No se ejecutó en la vigencia</t>
        </is>
      </c>
      <c r="U65" t="inlineStr">
        <is>
          <t xml:space="preserve"> </t>
        </is>
      </c>
      <c r="V65" s="104" t="inlineStr">
        <is>
          <t xml:space="preserve"> </t>
        </is>
      </c>
      <c r="W65" t="inlineStr">
        <is>
          <t>No se encontró ejecución en PIIP</t>
        </is>
      </c>
    </row>
    <row r="66">
      <c r="A66" t="inlineStr">
        <is>
          <t>IP-94, IP-98</t>
        </is>
      </c>
      <c r="B66" t="inlineStr">
        <is>
          <t>43</t>
        </is>
      </c>
      <c r="C66" t="inlineStr">
        <is>
          <t>Deporte y Recreación</t>
        </is>
      </c>
      <c r="D66" t="inlineStr">
        <is>
          <t>4301</t>
        </is>
      </c>
      <c r="E66" t="inlineStr">
        <is>
          <t>Fomento a la recreación, la actividad física y el deporte para desarrollar entornos de convivencia y paz</t>
        </is>
      </c>
      <c r="F66" t="inlineStr">
        <is>
          <t>4301037</t>
        </is>
      </c>
      <c r="G66" t="inlineStr">
        <is>
          <t>Servicio de promoción de la actividad física, la recreación y el deporte</t>
        </is>
      </c>
      <c r="H66" t="inlineStr">
        <is>
          <t>430103703</t>
        </is>
      </c>
      <c r="I66" t="inlineStr">
        <is>
          <t xml:space="preserve"> Personas atendidas por los programas de recreación, deporte social comunitario, actividad física y aprovechamiento del tiempo libre</t>
        </is>
      </c>
      <c r="J66" t="inlineStr">
        <is>
          <t>2024252950013</t>
        </is>
      </c>
      <c r="K66" t="inlineStr">
        <is>
          <t>No</t>
        </is>
      </c>
      <c r="L66" t="inlineStr">
        <is>
          <t>Número</t>
        </is>
      </c>
      <c r="M66">
        <v>5</v>
      </c>
      <c r="N66">
        <v>2</v>
      </c>
      <c r="O66">
        <v>2</v>
      </c>
      <c r="P66">
        <v>2</v>
      </c>
      <c r="Q66">
        <v>2</v>
      </c>
      <c r="R66" t="inlineStr">
        <is>
          <t xml:space="preserve"> </t>
        </is>
      </c>
      <c r="S66" s="103" t="inlineStr">
        <is>
          <t xml:space="preserve"> </t>
        </is>
      </c>
      <c r="T66" t="inlineStr">
        <is>
          <t>No se encontró ejecución en PIIP</t>
        </is>
      </c>
      <c r="U66" t="inlineStr">
        <is>
          <t xml:space="preserve"> </t>
        </is>
      </c>
      <c r="V66" s="104" t="inlineStr">
        <is>
          <t xml:space="preserve"> </t>
        </is>
      </c>
      <c r="W66" t="inlineStr">
        <is>
          <t>No se encontró ejecución en PIIP</t>
        </is>
      </c>
    </row>
    <row r="67">
      <c r="A67" t="inlineStr">
        <is>
          <t>IP-100</t>
        </is>
      </c>
      <c r="B67" t="inlineStr">
        <is>
          <t>43</t>
        </is>
      </c>
      <c r="C67" t="inlineStr">
        <is>
          <t>Deporte y Recreación</t>
        </is>
      </c>
      <c r="D67" t="inlineStr">
        <is>
          <t>4301</t>
        </is>
      </c>
      <c r="E67" t="inlineStr">
        <is>
          <t>Fomento a la recreación, la actividad física y el deporte para desarrollar entornos de convivencia y paz</t>
        </is>
      </c>
      <c r="F67" t="inlineStr">
        <is>
          <t>4301006</t>
        </is>
      </c>
      <c r="G67" t="inlineStr">
        <is>
          <t>Documentos normativos</t>
        </is>
      </c>
      <c r="H67" t="inlineStr">
        <is>
          <t>430100602</t>
        </is>
      </c>
      <c r="I67" t="inlineStr">
        <is>
          <t>Decretos realizados</t>
        </is>
      </c>
      <c r="J67" t="inlineStr">
        <is>
          <t>2024252950013</t>
        </is>
      </c>
      <c r="K67" t="inlineStr">
        <is>
          <t>Si</t>
        </is>
      </c>
      <c r="L67" t="inlineStr">
        <is>
          <t>Número</t>
        </is>
      </c>
      <c r="M67">
        <v>25</v>
      </c>
      <c r="N67">
        <v>0</v>
      </c>
      <c r="O67">
        <v>8</v>
      </c>
      <c r="P67">
        <v>10</v>
      </c>
      <c r="Q67">
        <v>7</v>
      </c>
      <c r="R67" t="inlineStr">
        <is>
          <t xml:space="preserve"> </t>
        </is>
      </c>
      <c r="S67" s="103" t="inlineStr">
        <is>
          <t xml:space="preserve"> </t>
        </is>
      </c>
      <c r="T67" t="inlineStr">
        <is>
          <t>No se encontró ejecución en PIIP</t>
        </is>
      </c>
      <c r="U67" t="inlineStr">
        <is>
          <t xml:space="preserve"> </t>
        </is>
      </c>
      <c r="V67" s="104" t="inlineStr">
        <is>
          <t xml:space="preserve"> </t>
        </is>
      </c>
      <c r="W67" t="inlineStr">
        <is>
          <t>No se encontró ejecución en PIIP</t>
        </is>
      </c>
    </row>
    <row r="68">
      <c r="A68" t="inlineStr">
        <is>
          <t>IP-101, IP-102, IP-95, IP-96, IP-97, IP-99</t>
        </is>
      </c>
      <c r="B68" t="inlineStr">
        <is>
          <t>43</t>
        </is>
      </c>
      <c r="C68" t="inlineStr">
        <is>
          <t>Deporte y Recreación</t>
        </is>
      </c>
      <c r="D68" t="inlineStr">
        <is>
          <t>4301</t>
        </is>
      </c>
      <c r="E68" t="inlineStr">
        <is>
          <t>Fomento a la recreación, la actividad física y el deporte para desarrollar entornos de convivencia y paz</t>
        </is>
      </c>
      <c r="F68" t="inlineStr">
        <is>
          <t>4301037</t>
        </is>
      </c>
      <c r="G68" t="inlineStr">
        <is>
          <t>Servicio de promoción de la actividad física, la recreación y el deporte</t>
        </is>
      </c>
      <c r="H68" t="inlineStr">
        <is>
          <t>430103703</t>
        </is>
      </c>
      <c r="I68" t="inlineStr">
        <is>
          <t xml:space="preserve"> Personas atendidas por los programas de recreación, deporte social comunitario, actividad física y aprovechamiento del tiempo libre</t>
        </is>
      </c>
      <c r="J68" t="inlineStr">
        <is>
          <t>2024252950013</t>
        </is>
      </c>
      <c r="K68" t="inlineStr">
        <is>
          <t>Si</t>
        </is>
      </c>
      <c r="L68" t="inlineStr">
        <is>
          <t>Número</t>
        </is>
      </c>
      <c r="M68">
        <v>2042</v>
      </c>
      <c r="N68">
        <v>326</v>
      </c>
      <c r="O68">
        <v>636</v>
      </c>
      <c r="P68">
        <v>640</v>
      </c>
      <c r="Q68">
        <v>440</v>
      </c>
      <c r="R68" t="inlineStr">
        <is>
          <t xml:space="preserve"> </t>
        </is>
      </c>
      <c r="S68" s="103" t="inlineStr">
        <is>
          <t xml:space="preserve"> </t>
        </is>
      </c>
      <c r="T68" t="inlineStr">
        <is>
          <t>No se encontró ejecución en PIIP</t>
        </is>
      </c>
      <c r="U68" t="inlineStr">
        <is>
          <t xml:space="preserve"> </t>
        </is>
      </c>
      <c r="V68" s="104" t="inlineStr">
        <is>
          <t xml:space="preserve"> </t>
        </is>
      </c>
      <c r="W68" t="inlineStr">
        <is>
          <t>No se encontró ejecución en PIIP</t>
        </is>
      </c>
    </row>
    <row r="69">
      <c r="A69" t="inlineStr">
        <is>
          <t>IP-103</t>
        </is>
      </c>
      <c r="B69" t="inlineStr">
        <is>
          <t>43</t>
        </is>
      </c>
      <c r="C69" t="inlineStr">
        <is>
          <t>Deporte y Recreación</t>
        </is>
      </c>
      <c r="D69" t="inlineStr">
        <is>
          <t>4301</t>
        </is>
      </c>
      <c r="E69" t="inlineStr">
        <is>
          <t>Fomento a la recreación, la actividad física y el deporte para desarrollar entornos de convivencia y paz</t>
        </is>
      </c>
      <c r="F69" t="inlineStr">
        <is>
          <t>4301037</t>
        </is>
      </c>
      <c r="G69" t="inlineStr">
        <is>
          <t>Servicio de promoción de la actividad física, la recreación y el deporte</t>
        </is>
      </c>
      <c r="H69" t="inlineStr">
        <is>
          <t>430103703</t>
        </is>
      </c>
      <c r="I69" t="inlineStr">
        <is>
          <t xml:space="preserve"> Personas atendidas por los programas de recreación, deporte social comunitario, actividad física y aprovechamiento del tiempo libre</t>
        </is>
      </c>
      <c r="J69" t="inlineStr">
        <is>
          <t>2024252950014</t>
        </is>
      </c>
      <c r="K69" t="inlineStr">
        <is>
          <t>Si</t>
        </is>
      </c>
      <c r="L69" t="inlineStr">
        <is>
          <t>Número</t>
        </is>
      </c>
      <c r="M69">
        <v>300</v>
      </c>
      <c r="N69">
        <v>50</v>
      </c>
      <c r="O69">
        <v>50</v>
      </c>
      <c r="P69">
        <v>100</v>
      </c>
      <c r="Q69">
        <v>100</v>
      </c>
      <c r="R69" t="inlineStr">
        <is>
          <t xml:space="preserve"> </t>
        </is>
      </c>
      <c r="S69" s="103" t="inlineStr">
        <is>
          <t xml:space="preserve"> </t>
        </is>
      </c>
      <c r="T69" t="inlineStr">
        <is>
          <t>No se encontró ejecución en PIIP</t>
        </is>
      </c>
      <c r="U69" t="inlineStr">
        <is>
          <t xml:space="preserve"> </t>
        </is>
      </c>
      <c r="V69" s="104" t="inlineStr">
        <is>
          <t xml:space="preserve"> </t>
        </is>
      </c>
      <c r="W69" t="inlineStr">
        <is>
          <t>No se encontró ejecución en PIIP</t>
        </is>
      </c>
    </row>
    <row r="70">
      <c r="A70" t="inlineStr">
        <is>
          <t>IP-104, IP-106, IP-107, IP-108, IP-110</t>
        </is>
      </c>
      <c r="B70" t="inlineStr">
        <is>
          <t>32</t>
        </is>
      </c>
      <c r="C70" t="inlineStr">
        <is>
          <t>Ambiente y desarrollo sostenible</t>
        </is>
      </c>
      <c r="D70" t="inlineStr">
        <is>
          <t>3203</t>
        </is>
      </c>
      <c r="E70" t="inlineStr">
        <is>
          <t>Gestión integral del recurso hídrico</t>
        </is>
      </c>
      <c r="F70" t="inlineStr">
        <is>
          <t>3203050</t>
        </is>
      </c>
      <c r="G70" t="inlineStr">
        <is>
          <t>Servicio de protección del recurso hídrico</t>
        </is>
      </c>
      <c r="H70" t="inlineStr">
        <is>
          <t>320305000</t>
        </is>
      </c>
      <c r="I70" t="inlineStr">
        <is>
          <t>Áreas protegidas</t>
        </is>
      </c>
      <c r="J70" t="inlineStr">
        <is>
          <t>2024252950014</t>
        </is>
      </c>
      <c r="K70" t="inlineStr">
        <is>
          <t>No</t>
        </is>
      </c>
      <c r="L70" t="inlineStr">
        <is>
          <t>Hectáreas</t>
        </is>
      </c>
      <c r="M70">
        <v>104</v>
      </c>
      <c r="N70">
        <v>104</v>
      </c>
      <c r="O70">
        <v>104</v>
      </c>
      <c r="P70">
        <v>104</v>
      </c>
      <c r="Q70">
        <v>104</v>
      </c>
      <c r="R70">
        <v>0</v>
      </c>
      <c r="S70" s="103">
        <v>0</v>
      </c>
      <c r="T70" t="inlineStr">
        <is>
          <t>No se ejecutó en la vigencia</t>
        </is>
      </c>
      <c r="U70" t="inlineStr">
        <is>
          <t xml:space="preserve"> </t>
        </is>
      </c>
      <c r="V70" s="104" t="inlineStr">
        <is>
          <t xml:space="preserve"> </t>
        </is>
      </c>
      <c r="W70" t="inlineStr">
        <is>
          <t>No se encontró ejecución en PIIP</t>
        </is>
      </c>
    </row>
    <row r="71">
      <c r="A71" t="inlineStr">
        <is>
          <t>IP-105, IP-109</t>
        </is>
      </c>
      <c r="B71" t="inlineStr">
        <is>
          <t>32</t>
        </is>
      </c>
      <c r="C71" t="inlineStr">
        <is>
          <t>Ambiente y desarrollo sostenible</t>
        </is>
      </c>
      <c r="D71" t="inlineStr">
        <is>
          <t>3203</t>
        </is>
      </c>
      <c r="E71" t="inlineStr">
        <is>
          <t>Gestión integral del recurso hídrico</t>
        </is>
      </c>
      <c r="F71" t="inlineStr">
        <is>
          <t>3203050</t>
        </is>
      </c>
      <c r="G71" t="inlineStr">
        <is>
          <t>Servicio de protección del recurso hídrico</t>
        </is>
      </c>
      <c r="H71" t="inlineStr">
        <is>
          <t>320305000</t>
        </is>
      </c>
      <c r="I71" t="inlineStr">
        <is>
          <t>Áreas protegidas</t>
        </is>
      </c>
      <c r="J71" t="inlineStr">
        <is>
          <t>2024252950014</t>
        </is>
      </c>
      <c r="K71" t="inlineStr">
        <is>
          <t>Si</t>
        </is>
      </c>
      <c r="L71" t="inlineStr">
        <is>
          <t>Hectáreas</t>
        </is>
      </c>
      <c r="M71">
        <v>1130</v>
      </c>
      <c r="N71">
        <v>105</v>
      </c>
      <c r="O71">
        <v>405</v>
      </c>
      <c r="P71">
        <v>410</v>
      </c>
      <c r="Q71">
        <v>210</v>
      </c>
      <c r="R71" t="inlineStr">
        <is>
          <t xml:space="preserve"> </t>
        </is>
      </c>
      <c r="S71" s="103" t="inlineStr">
        <is>
          <t xml:space="preserve"> </t>
        </is>
      </c>
      <c r="T71" t="inlineStr">
        <is>
          <t>No se encontró ejecución en PIIP</t>
        </is>
      </c>
      <c r="U71" t="inlineStr">
        <is>
          <t xml:space="preserve"> </t>
        </is>
      </c>
      <c r="V71" s="104" t="inlineStr">
        <is>
          <t xml:space="preserve"> </t>
        </is>
      </c>
      <c r="W71" t="inlineStr">
        <is>
          <t>No se encontró ejecución en PIIP</t>
        </is>
      </c>
    </row>
    <row r="72">
      <c r="A72" t="inlineStr">
        <is>
          <t>IP-111</t>
        </is>
      </c>
      <c r="B72" t="inlineStr">
        <is>
          <t>32</t>
        </is>
      </c>
      <c r="C72" t="inlineStr">
        <is>
          <t>Ambiente y desarrollo sostenible</t>
        </is>
      </c>
      <c r="D72" t="inlineStr">
        <is>
          <t>3203</t>
        </is>
      </c>
      <c r="E72" t="inlineStr">
        <is>
          <t>Gestión integral del recurso hídrico</t>
        </is>
      </c>
      <c r="F72" t="inlineStr">
        <is>
          <t>3203050</t>
        </is>
      </c>
      <c r="G72" t="inlineStr">
        <is>
          <t>Servicio de protección del recurso hídrico</t>
        </is>
      </c>
      <c r="H72" t="inlineStr">
        <is>
          <t>320305000</t>
        </is>
      </c>
      <c r="I72" t="inlineStr">
        <is>
          <t>Áreas protegidas</t>
        </is>
      </c>
      <c r="J72" t="inlineStr">
        <is>
          <t>2024252950015</t>
        </is>
      </c>
      <c r="K72" t="inlineStr">
        <is>
          <t>Si</t>
        </is>
      </c>
      <c r="L72" t="inlineStr">
        <is>
          <t>Hectáreas</t>
        </is>
      </c>
      <c r="M72">
        <v>1200</v>
      </c>
      <c r="N72">
        <v>200</v>
      </c>
      <c r="O72">
        <v>400</v>
      </c>
      <c r="P72">
        <v>400</v>
      </c>
      <c r="Q72">
        <v>200</v>
      </c>
      <c r="R72" t="inlineStr">
        <is>
          <t xml:space="preserve"> </t>
        </is>
      </c>
      <c r="S72" s="103" t="inlineStr">
        <is>
          <t xml:space="preserve"> </t>
        </is>
      </c>
      <c r="T72" t="inlineStr">
        <is>
          <t>No se encontró ejecución en PIIP</t>
        </is>
      </c>
      <c r="U72" t="inlineStr">
        <is>
          <t xml:space="preserve"> </t>
        </is>
      </c>
      <c r="V72" s="104" t="inlineStr">
        <is>
          <t xml:space="preserve"> </t>
        </is>
      </c>
      <c r="W72" t="inlineStr">
        <is>
          <t>No se encontró ejecución en PIIP</t>
        </is>
      </c>
    </row>
    <row r="73">
      <c r="A73" t="inlineStr">
        <is>
          <t>IP-112</t>
        </is>
      </c>
      <c r="B73" t="inlineStr">
        <is>
          <t>40</t>
        </is>
      </c>
      <c r="C73" t="inlineStr">
        <is>
          <t>Vivienda, ciudad y territorio</t>
        </is>
      </c>
      <c r="D73" t="inlineStr">
        <is>
          <t>4003</t>
        </is>
      </c>
      <c r="E73" t="inlineStr">
        <is>
          <t>Acceso de la población a los servicios de agua potable y saneamiento básico</t>
        </is>
      </c>
      <c r="F73" t="inlineStr">
        <is>
          <t>4003022</t>
        </is>
      </c>
      <c r="G73" t="inlineStr">
        <is>
          <t>Servicios de implementación del Plan de Gestión Integral de Residuos Solidos PGIRS</t>
        </is>
      </c>
      <c r="H73" t="inlineStr">
        <is>
          <t>400302200</t>
        </is>
      </c>
      <c r="I73" t="inlineStr">
        <is>
          <t>Plan de Gestión Integral de Residuos Solidos implementado</t>
        </is>
      </c>
      <c r="J73" t="inlineStr">
        <is>
          <t>2024252950015</t>
        </is>
      </c>
      <c r="K73" t="inlineStr">
        <is>
          <t>No</t>
        </is>
      </c>
      <c r="L73" t="inlineStr">
        <is>
          <t>Número</t>
        </is>
      </c>
      <c r="M73">
        <v>10</v>
      </c>
      <c r="N73">
        <v>2</v>
      </c>
      <c r="O73">
        <v>3</v>
      </c>
      <c r="P73">
        <v>3</v>
      </c>
      <c r="Q73">
        <v>2</v>
      </c>
      <c r="R73">
        <v>0</v>
      </c>
      <c r="S73" s="103">
        <v>0</v>
      </c>
      <c r="T73" t="inlineStr">
        <is>
          <t>No se ejecutó en la vigencia</t>
        </is>
      </c>
      <c r="U73" t="inlineStr">
        <is>
          <t xml:space="preserve"> </t>
        </is>
      </c>
      <c r="V73" s="104" t="inlineStr">
        <is>
          <t xml:space="preserve"> </t>
        </is>
      </c>
      <c r="W73" t="inlineStr">
        <is>
          <t>No se encontró ejecución en PIIP</t>
        </is>
      </c>
    </row>
    <row r="74">
      <c r="A74" t="inlineStr">
        <is>
          <t>IP-113</t>
        </is>
      </c>
      <c r="B74" t="inlineStr">
        <is>
          <t>40</t>
        </is>
      </c>
      <c r="C74" t="inlineStr">
        <is>
          <t>Vivienda, ciudad y territorio</t>
        </is>
      </c>
      <c r="D74" t="inlineStr">
        <is>
          <t>4003</t>
        </is>
      </c>
      <c r="E74" t="inlineStr">
        <is>
          <t>Acceso de la población a los servicios de agua potable y saneamiento básico</t>
        </is>
      </c>
      <c r="F74" t="inlineStr">
        <is>
          <t>4003055</t>
        </is>
      </c>
      <c r="G74" t="inlineStr">
        <is>
          <t>Servicio de asistencia técnica</t>
        </is>
      </c>
      <c r="H74" t="inlineStr">
        <is>
          <t>400305500</t>
        </is>
      </c>
      <c r="I74" t="inlineStr">
        <is>
          <t>Asistencias técnicas realizadas</t>
        </is>
      </c>
      <c r="J74" t="inlineStr">
        <is>
          <t>2024252950015</t>
        </is>
      </c>
      <c r="K74" t="inlineStr">
        <is>
          <t>No</t>
        </is>
      </c>
      <c r="L74" t="inlineStr">
        <is>
          <t>Número</t>
        </is>
      </c>
      <c r="M74">
        <v>15</v>
      </c>
      <c r="N74">
        <v>5</v>
      </c>
      <c r="O74">
        <v>5</v>
      </c>
      <c r="P74">
        <v>5</v>
      </c>
      <c r="Q74">
        <v>0</v>
      </c>
      <c r="R74">
        <v>0</v>
      </c>
      <c r="S74" s="103">
        <v>0</v>
      </c>
      <c r="T74" t="inlineStr">
        <is>
          <t>No se ejecutó en la vigencia</t>
        </is>
      </c>
      <c r="U74" t="inlineStr">
        <is>
          <t xml:space="preserve"> </t>
        </is>
      </c>
      <c r="V74" s="104" t="inlineStr">
        <is>
          <t xml:space="preserve"> </t>
        </is>
      </c>
      <c r="W74" t="inlineStr">
        <is>
          <t>No se encontró ejecución en PIIP</t>
        </is>
      </c>
    </row>
    <row r="75">
      <c r="A75" t="inlineStr">
        <is>
          <t>IP-114</t>
        </is>
      </c>
      <c r="B75" t="inlineStr">
        <is>
          <t>17</t>
        </is>
      </c>
      <c r="C75" t="inlineStr">
        <is>
          <t xml:space="preserve">Agricultura y desarrollo rural
</t>
        </is>
      </c>
      <c r="D75" t="inlineStr">
        <is>
          <t>1704</t>
        </is>
      </c>
      <c r="E75" t="inlineStr">
        <is>
          <t>Ordenamiento social y uso productivo del territorio rural</t>
        </is>
      </c>
      <c r="F75" t="inlineStr">
        <is>
          <t>1704003</t>
        </is>
      </c>
      <c r="G75" t="inlineStr">
        <is>
          <t>Documentos de planeación</t>
        </is>
      </c>
      <c r="H75" t="inlineStr">
        <is>
          <t>170400305</t>
        </is>
      </c>
      <c r="I75" t="inlineStr">
        <is>
          <t>Documento institucional y comunitario elaborado</t>
        </is>
      </c>
      <c r="J75" t="inlineStr">
        <is>
          <t>2024252950016</t>
        </is>
      </c>
      <c r="K75" t="inlineStr">
        <is>
          <t>Si</t>
        </is>
      </c>
      <c r="L75" t="inlineStr">
        <is>
          <t>Número</t>
        </is>
      </c>
      <c r="M75">
        <v>20</v>
      </c>
      <c r="N75">
        <v>5</v>
      </c>
      <c r="O75">
        <v>5</v>
      </c>
      <c r="P75">
        <v>5</v>
      </c>
      <c r="Q75">
        <v>5</v>
      </c>
      <c r="R75" t="inlineStr">
        <is>
          <t xml:space="preserve"> </t>
        </is>
      </c>
      <c r="S75" s="103" t="inlineStr">
        <is>
          <t xml:space="preserve"> </t>
        </is>
      </c>
      <c r="T75" t="inlineStr">
        <is>
          <t>No se encontró ejecución en PIIP</t>
        </is>
      </c>
      <c r="U75" t="inlineStr">
        <is>
          <t xml:space="preserve"> </t>
        </is>
      </c>
      <c r="V75" s="104" t="inlineStr">
        <is>
          <t xml:space="preserve"> </t>
        </is>
      </c>
      <c r="W75" t="inlineStr">
        <is>
          <t>No se encontró ejecución en PIIP</t>
        </is>
      </c>
    </row>
    <row r="76">
      <c r="A76" t="inlineStr">
        <is>
          <t>IP-115, IP-118</t>
        </is>
      </c>
      <c r="B76" t="inlineStr">
        <is>
          <t>35</t>
        </is>
      </c>
      <c r="C76" t="inlineStr">
        <is>
          <t>Comercio, industria y turismo</t>
        </is>
      </c>
      <c r="D76" t="inlineStr">
        <is>
          <t>3502</t>
        </is>
      </c>
      <c r="E76" t="inlineStr">
        <is>
          <t>Productividad y competitividad de las empresas colombianas</t>
        </is>
      </c>
      <c r="F76" t="inlineStr">
        <is>
          <t>3502046</t>
        </is>
      </c>
      <c r="G76" t="inlineStr">
        <is>
          <t>Servicio de promoción turística</t>
        </is>
      </c>
      <c r="H76" t="inlineStr">
        <is>
          <t>350204600</t>
        </is>
      </c>
      <c r="I76" t="inlineStr">
        <is>
          <t>Campañas realizadas</t>
        </is>
      </c>
      <c r="J76" t="inlineStr">
        <is>
          <t>2024252950016</t>
        </is>
      </c>
      <c r="K76" t="inlineStr">
        <is>
          <t>Si</t>
        </is>
      </c>
      <c r="L76" t="inlineStr">
        <is>
          <t>Número</t>
        </is>
      </c>
      <c r="M76">
        <v>700</v>
      </c>
      <c r="N76">
        <v>50</v>
      </c>
      <c r="O76">
        <v>250</v>
      </c>
      <c r="P76">
        <v>250</v>
      </c>
      <c r="Q76">
        <v>150</v>
      </c>
      <c r="R76" t="inlineStr">
        <is>
          <t xml:space="preserve"> </t>
        </is>
      </c>
      <c r="S76" s="103" t="inlineStr">
        <is>
          <t xml:space="preserve"> </t>
        </is>
      </c>
      <c r="T76" t="inlineStr">
        <is>
          <t>No se encontró ejecución en PIIP</t>
        </is>
      </c>
      <c r="U76" t="inlineStr">
        <is>
          <t xml:space="preserve"> </t>
        </is>
      </c>
      <c r="V76" s="104" t="inlineStr">
        <is>
          <t xml:space="preserve"> </t>
        </is>
      </c>
      <c r="W76" t="inlineStr">
        <is>
          <t>No se encontró ejecución en PIIP</t>
        </is>
      </c>
    </row>
    <row r="77">
      <c r="A77" t="inlineStr">
        <is>
          <t>IP-116, IP-117, IP-120</t>
        </is>
      </c>
      <c r="B77" t="inlineStr">
        <is>
          <t>35</t>
        </is>
      </c>
      <c r="C77" t="inlineStr">
        <is>
          <t>Comercio, industria y turismo</t>
        </is>
      </c>
      <c r="D77" t="inlineStr">
        <is>
          <t>3502</t>
        </is>
      </c>
      <c r="E77" t="inlineStr">
        <is>
          <t>Productividad y competitividad de las empresas colombianas</t>
        </is>
      </c>
      <c r="F77" t="inlineStr">
        <is>
          <t>3502046</t>
        </is>
      </c>
      <c r="G77" t="inlineStr">
        <is>
          <t>Servicio de promoción turística</t>
        </is>
      </c>
      <c r="H77" t="inlineStr">
        <is>
          <t>350204600</t>
        </is>
      </c>
      <c r="I77" t="inlineStr">
        <is>
          <t>Campañas realizadas</t>
        </is>
      </c>
      <c r="J77" t="inlineStr">
        <is>
          <t>2024252950016</t>
        </is>
      </c>
      <c r="K77" t="inlineStr">
        <is>
          <t>No</t>
        </is>
      </c>
      <c r="L77" t="inlineStr">
        <is>
          <t>Número</t>
        </is>
      </c>
      <c r="M77">
        <v>10</v>
      </c>
      <c r="N77">
        <v>4</v>
      </c>
      <c r="O77">
        <v>4</v>
      </c>
      <c r="P77">
        <v>4</v>
      </c>
      <c r="Q77">
        <v>4</v>
      </c>
      <c r="R77">
        <v>0</v>
      </c>
      <c r="S77" s="103">
        <v>0</v>
      </c>
      <c r="T77" t="inlineStr">
        <is>
          <t>No se ejecutó en la vigencia</t>
        </is>
      </c>
      <c r="U77" t="inlineStr">
        <is>
          <t xml:space="preserve"> </t>
        </is>
      </c>
      <c r="V77" s="104" t="inlineStr">
        <is>
          <t xml:space="preserve"> </t>
        </is>
      </c>
      <c r="W77" t="inlineStr">
        <is>
          <t>No se encontró ejecución en PIIP</t>
        </is>
      </c>
    </row>
    <row r="78">
      <c r="A78" t="inlineStr">
        <is>
          <t>IP-119</t>
        </is>
      </c>
      <c r="B78" t="inlineStr">
        <is>
          <t>35</t>
        </is>
      </c>
      <c r="C78" t="inlineStr">
        <is>
          <t>Comercio, industria y turismo</t>
        </is>
      </c>
      <c r="D78" t="inlineStr">
        <is>
          <t>3502</t>
        </is>
      </c>
      <c r="E78" t="inlineStr">
        <is>
          <t>Productividad y competitividad de las empresas colombianas</t>
        </is>
      </c>
      <c r="F78" t="inlineStr">
        <is>
          <t>3502008</t>
        </is>
      </c>
      <c r="G78" t="inlineStr">
        <is>
          <t>Servicio de asistencia técnica para mejorar la competitividad de los sectores productivos</t>
        </is>
      </c>
      <c r="H78" t="inlineStr">
        <is>
          <t>350200802</t>
        </is>
      </c>
      <c r="I78" t="inlineStr">
        <is>
          <t>Documentos de análisis de cadena de valor realizados</t>
        </is>
      </c>
      <c r="J78" t="inlineStr">
        <is>
          <t>2024252950016</t>
        </is>
      </c>
      <c r="K78" t="inlineStr">
        <is>
          <t>Si</t>
        </is>
      </c>
      <c r="L78" t="inlineStr">
        <is>
          <t>Número</t>
        </is>
      </c>
      <c r="M78">
        <v>60</v>
      </c>
      <c r="N78">
        <v>10</v>
      </c>
      <c r="O78">
        <v>20</v>
      </c>
      <c r="P78">
        <v>20</v>
      </c>
      <c r="Q78">
        <v>10</v>
      </c>
      <c r="R78" t="inlineStr">
        <is>
          <t xml:space="preserve"> </t>
        </is>
      </c>
      <c r="S78" s="103" t="inlineStr">
        <is>
          <t xml:space="preserve"> </t>
        </is>
      </c>
      <c r="T78" t="inlineStr">
        <is>
          <t>No se encontró ejecución en PIIP</t>
        </is>
      </c>
      <c r="U78" t="inlineStr">
        <is>
          <t xml:space="preserve"> </t>
        </is>
      </c>
      <c r="V78" s="104" t="inlineStr">
        <is>
          <t xml:space="preserve"> </t>
        </is>
      </c>
      <c r="W78" t="inlineStr">
        <is>
          <t>No se encontró ejecución en PIIP</t>
        </is>
      </c>
    </row>
    <row r="79">
      <c r="A79" t="inlineStr">
        <is>
          <t>IP-121</t>
        </is>
      </c>
      <c r="B79" t="inlineStr">
        <is>
          <t>35</t>
        </is>
      </c>
      <c r="C79" t="inlineStr">
        <is>
          <t>Comercio, industria y turismo</t>
        </is>
      </c>
      <c r="D79" t="inlineStr">
        <is>
          <t>3502</t>
        </is>
      </c>
      <c r="E79" t="inlineStr">
        <is>
          <t>Productividad y competitividad de las empresas colombianas</t>
        </is>
      </c>
      <c r="F79" t="inlineStr">
        <is>
          <t>3502012</t>
        </is>
      </c>
      <c r="G79" t="inlineStr">
        <is>
          <t>Servicio de apoyo para la modernización y fomento de la innovación empresarial</t>
        </is>
      </c>
      <c r="H79" t="inlineStr">
        <is>
          <t>350201207</t>
        </is>
      </c>
      <c r="I79" t="inlineStr">
        <is>
          <t>Documentos de asesoramiento en la formulación de políticas en tecnología e innovación de la industria creados</t>
        </is>
      </c>
      <c r="J79" t="inlineStr">
        <is>
          <t>2024252950017</t>
        </is>
      </c>
      <c r="K79" t="inlineStr">
        <is>
          <t>Si</t>
        </is>
      </c>
      <c r="L79" t="inlineStr">
        <is>
          <t>Número</t>
        </is>
      </c>
      <c r="M79">
        <v>25</v>
      </c>
      <c r="N79">
        <v>4</v>
      </c>
      <c r="O79">
        <v>8</v>
      </c>
      <c r="P79">
        <v>8</v>
      </c>
      <c r="Q79">
        <v>5</v>
      </c>
      <c r="R79" t="inlineStr">
        <is>
          <t xml:space="preserve"> </t>
        </is>
      </c>
      <c r="S79" s="103" t="inlineStr">
        <is>
          <t xml:space="preserve"> </t>
        </is>
      </c>
      <c r="T79" t="inlineStr">
        <is>
          <t>No se encontró ejecución en PIIP</t>
        </is>
      </c>
      <c r="U79" t="inlineStr">
        <is>
          <t xml:space="preserve"> </t>
        </is>
      </c>
      <c r="V79" s="104" t="inlineStr">
        <is>
          <t xml:space="preserve"> </t>
        </is>
      </c>
      <c r="W79" t="inlineStr">
        <is>
          <t>No se encontró ejecución en PIIP</t>
        </is>
      </c>
    </row>
    <row r="80">
      <c r="A80" t="inlineStr">
        <is>
          <t>IP-122, IP-125</t>
        </is>
      </c>
      <c r="B80" t="inlineStr">
        <is>
          <t>24</t>
        </is>
      </c>
      <c r="C80" t="inlineStr">
        <is>
          <t>Transporte</t>
        </is>
      </c>
      <c r="D80" t="inlineStr">
        <is>
          <t>2402</t>
        </is>
      </c>
      <c r="E80" t="inlineStr">
        <is>
          <t>Infraestructura red vial regional</t>
        </is>
      </c>
      <c r="F80" t="inlineStr">
        <is>
          <t>2402105</t>
        </is>
      </c>
      <c r="G80" t="inlineStr">
        <is>
          <t>Documentos de lineamientos técnicos</t>
        </is>
      </c>
      <c r="H80" t="inlineStr">
        <is>
          <t>240210503</t>
        </is>
      </c>
      <c r="I80" t="inlineStr">
        <is>
          <t xml:space="preserve">Documentos de lineamientos técnicos para red vial secundaria, terciaria o urbana  publicados y socializados </t>
        </is>
      </c>
      <c r="J80" t="inlineStr">
        <is>
          <t>2024252950017</t>
        </is>
      </c>
      <c r="K80" t="inlineStr">
        <is>
          <t>Si</t>
        </is>
      </c>
      <c r="L80" t="inlineStr">
        <is>
          <t>Número</t>
        </is>
      </c>
      <c r="M80">
        <v>10</v>
      </c>
      <c r="N80">
        <v>3</v>
      </c>
      <c r="O80">
        <v>4</v>
      </c>
      <c r="P80">
        <v>2</v>
      </c>
      <c r="Q80">
        <v>1</v>
      </c>
      <c r="R80" t="inlineStr">
        <is>
          <t xml:space="preserve"> </t>
        </is>
      </c>
      <c r="S80" s="103" t="inlineStr">
        <is>
          <t xml:space="preserve"> </t>
        </is>
      </c>
      <c r="T80" t="inlineStr">
        <is>
          <t>No se encontró ejecución en PIIP</t>
        </is>
      </c>
      <c r="U80" t="inlineStr">
        <is>
          <t xml:space="preserve"> </t>
        </is>
      </c>
      <c r="V80" s="104" t="inlineStr">
        <is>
          <t xml:space="preserve"> </t>
        </is>
      </c>
      <c r="W80" t="inlineStr">
        <is>
          <t>No se encontró ejecución en PIIP</t>
        </is>
      </c>
    </row>
    <row r="81">
      <c r="A81" t="inlineStr">
        <is>
          <t>IP-123, IP-124, IP-126, IP-127, IP-128</t>
        </is>
      </c>
      <c r="B81" t="inlineStr">
        <is>
          <t>24</t>
        </is>
      </c>
      <c r="C81" t="inlineStr">
        <is>
          <t>Transporte</t>
        </is>
      </c>
      <c r="D81" t="inlineStr">
        <is>
          <t>2402</t>
        </is>
      </c>
      <c r="E81" t="inlineStr">
        <is>
          <t>Infraestructura red vial regional</t>
        </is>
      </c>
      <c r="F81" t="inlineStr">
        <is>
          <t>2402105</t>
        </is>
      </c>
      <c r="G81" t="inlineStr">
        <is>
          <t>Documentos de lineamientos técnicos</t>
        </is>
      </c>
      <c r="H81" t="inlineStr">
        <is>
          <t>240210503</t>
        </is>
      </c>
      <c r="I81" t="inlineStr">
        <is>
          <t xml:space="preserve">Documentos de lineamientos técnicos para red vial secundaria, terciaria o urbana  publicados y socializados </t>
        </is>
      </c>
      <c r="J81" t="inlineStr">
        <is>
          <t>2024252950017</t>
        </is>
      </c>
      <c r="K81" t="inlineStr">
        <is>
          <t>No</t>
        </is>
      </c>
      <c r="L81" t="inlineStr">
        <is>
          <t>Número</t>
        </is>
      </c>
      <c r="M81">
        <v>5</v>
      </c>
      <c r="N81">
        <v>5</v>
      </c>
      <c r="O81">
        <v>5</v>
      </c>
      <c r="P81">
        <v>5</v>
      </c>
      <c r="Q81">
        <v>5</v>
      </c>
      <c r="R81" t="inlineStr">
        <is>
          <t xml:space="preserve"> </t>
        </is>
      </c>
      <c r="S81" s="103" t="inlineStr">
        <is>
          <t xml:space="preserve"> </t>
        </is>
      </c>
      <c r="T81" t="inlineStr">
        <is>
          <t>No se encontró ejecución en PIIP</t>
        </is>
      </c>
      <c r="U81" t="inlineStr">
        <is>
          <t xml:space="preserve"> </t>
        </is>
      </c>
      <c r="V81" s="104" t="inlineStr">
        <is>
          <t xml:space="preserve"> </t>
        </is>
      </c>
      <c r="W81" t="inlineStr">
        <is>
          <t>No se encontró ejecución en PIIP</t>
        </is>
      </c>
    </row>
    <row r="82">
      <c r="A82" t="inlineStr">
        <is>
          <t>IP-129</t>
        </is>
      </c>
      <c r="B82" t="inlineStr">
        <is>
          <t>24</t>
        </is>
      </c>
      <c r="C82" t="inlineStr">
        <is>
          <t>Transporte</t>
        </is>
      </c>
      <c r="D82" t="inlineStr">
        <is>
          <t>2402</t>
        </is>
      </c>
      <c r="E82" t="inlineStr">
        <is>
          <t>Infraestructura red vial regional</t>
        </is>
      </c>
      <c r="F82" t="inlineStr">
        <is>
          <t>2402033</t>
        </is>
      </c>
      <c r="G82" t="inlineStr">
        <is>
          <t>Ciclo infraestructura construida en red vial secundaria</t>
        </is>
      </c>
      <c r="H82" t="inlineStr">
        <is>
          <t>240203300</t>
        </is>
      </c>
      <c r="I82" t="inlineStr">
        <is>
          <t>Ciclo infraestructura de la red secundaria construida</t>
        </is>
      </c>
      <c r="J82" t="inlineStr">
        <is>
          <t>2024252950018</t>
        </is>
      </c>
      <c r="K82" t="inlineStr">
        <is>
          <t>No</t>
        </is>
      </c>
      <c r="L82" t="inlineStr">
        <is>
          <t>Metros lineales</t>
        </is>
      </c>
      <c r="M82">
        <v>1</v>
      </c>
      <c r="N82">
        <v>1</v>
      </c>
      <c r="O82">
        <v>1</v>
      </c>
      <c r="P82">
        <v>1</v>
      </c>
      <c r="Q82">
        <v>1</v>
      </c>
      <c r="R82" t="inlineStr">
        <is>
          <t xml:space="preserve"> </t>
        </is>
      </c>
      <c r="S82" s="103" t="inlineStr">
        <is>
          <t xml:space="preserve"> </t>
        </is>
      </c>
      <c r="T82" t="inlineStr">
        <is>
          <t>No se encontró ejecución en PIIP</t>
        </is>
      </c>
      <c r="U82" t="inlineStr">
        <is>
          <t xml:space="preserve"> </t>
        </is>
      </c>
      <c r="V82" s="104" t="inlineStr">
        <is>
          <t xml:space="preserve"> </t>
        </is>
      </c>
      <c r="W82" t="inlineStr">
        <is>
          <t>No se encontró ejecución en PIIP</t>
        </is>
      </c>
    </row>
    <row r="83">
      <c r="A83" t="inlineStr">
        <is>
          <t>IP-130, IP-131, IP-132</t>
        </is>
      </c>
      <c r="B83" t="inlineStr">
        <is>
          <t>24</t>
        </is>
      </c>
      <c r="C83" t="inlineStr">
        <is>
          <t>Transporte</t>
        </is>
      </c>
      <c r="D83" t="inlineStr">
        <is>
          <t>2402</t>
        </is>
      </c>
      <c r="E83" t="inlineStr">
        <is>
          <t>Infraestructura red vial regional</t>
        </is>
      </c>
      <c r="F83" t="inlineStr">
        <is>
          <t>2402006</t>
        </is>
      </c>
      <c r="G83" t="inlineStr">
        <is>
          <t>Vía secundaria mejorada</t>
        </is>
      </c>
      <c r="H83" t="inlineStr">
        <is>
          <t>240200602</t>
        </is>
      </c>
      <c r="I83" t="inlineStr">
        <is>
          <t>Alcantarilla construida</t>
        </is>
      </c>
      <c r="J83" t="inlineStr">
        <is>
          <t>2024252950018</t>
        </is>
      </c>
      <c r="K83" t="inlineStr">
        <is>
          <t>Si</t>
        </is>
      </c>
      <c r="L83" t="inlineStr">
        <is>
          <t>Número</t>
        </is>
      </c>
      <c r="M83">
        <v>1240</v>
      </c>
      <c r="N83">
        <v>20</v>
      </c>
      <c r="O83">
        <v>350</v>
      </c>
      <c r="P83">
        <v>550</v>
      </c>
      <c r="Q83">
        <v>270</v>
      </c>
      <c r="R83" t="inlineStr">
        <is>
          <t xml:space="preserve"> </t>
        </is>
      </c>
      <c r="S83" s="103" t="inlineStr">
        <is>
          <t xml:space="preserve"> </t>
        </is>
      </c>
      <c r="T83" t="inlineStr">
        <is>
          <t>No se encontró ejecución en PIIP</t>
        </is>
      </c>
      <c r="U83" t="inlineStr">
        <is>
          <t xml:space="preserve"> </t>
        </is>
      </c>
      <c r="V83" s="104" t="inlineStr">
        <is>
          <t xml:space="preserve"> </t>
        </is>
      </c>
      <c r="W83" t="inlineStr">
        <is>
          <t>No se encontró ejecución en PIIP</t>
        </is>
      </c>
    </row>
    <row r="84">
      <c r="A84" t="inlineStr">
        <is>
          <t>IP-133, IP-134</t>
        </is>
      </c>
      <c r="B84" t="inlineStr">
        <is>
          <t>24</t>
        </is>
      </c>
      <c r="C84" t="inlineStr">
        <is>
          <t>Transporte</t>
        </is>
      </c>
      <c r="D84" t="inlineStr">
        <is>
          <t>2402</t>
        </is>
      </c>
      <c r="E84" t="inlineStr">
        <is>
          <t>Infraestructura red vial regional</t>
        </is>
      </c>
      <c r="F84" t="inlineStr">
        <is>
          <t>2402105</t>
        </is>
      </c>
      <c r="G84" t="inlineStr">
        <is>
          <t>Documentos de lineamientos técnicos</t>
        </is>
      </c>
      <c r="H84" t="inlineStr">
        <is>
          <t>240210503</t>
        </is>
      </c>
      <c r="I84" t="inlineStr">
        <is>
          <t xml:space="preserve">Documentos de lineamientos técnicos para red vial secundaria, terciaria o urbana  publicados y socializados </t>
        </is>
      </c>
      <c r="J84" t="inlineStr">
        <is>
          <t>2024252950018</t>
        </is>
      </c>
      <c r="K84" t="inlineStr">
        <is>
          <t>Si</t>
        </is>
      </c>
      <c r="L84" t="inlineStr">
        <is>
          <t>Número</t>
        </is>
      </c>
      <c r="M84">
        <v>1040</v>
      </c>
      <c r="N84">
        <v>210</v>
      </c>
      <c r="O84">
        <v>310</v>
      </c>
      <c r="P84">
        <v>310</v>
      </c>
      <c r="Q84">
        <v>210</v>
      </c>
      <c r="R84" t="inlineStr">
        <is>
          <t xml:space="preserve"> </t>
        </is>
      </c>
      <c r="S84" s="103" t="inlineStr">
        <is>
          <t xml:space="preserve"> </t>
        </is>
      </c>
      <c r="T84" t="inlineStr">
        <is>
          <t>No se encontró ejecución en PIIP</t>
        </is>
      </c>
      <c r="U84" t="inlineStr">
        <is>
          <t xml:space="preserve"> </t>
        </is>
      </c>
      <c r="V84" s="104" t="inlineStr">
        <is>
          <t xml:space="preserve"> </t>
        </is>
      </c>
      <c r="W84" t="inlineStr">
        <is>
          <t>No se encontró ejecución en PIIP</t>
        </is>
      </c>
    </row>
    <row r="85">
      <c r="A85" t="inlineStr">
        <is>
          <t>IP-135</t>
        </is>
      </c>
      <c r="B85" t="inlineStr">
        <is>
          <t>24</t>
        </is>
      </c>
      <c r="C85" t="inlineStr">
        <is>
          <t>Transporte</t>
        </is>
      </c>
      <c r="D85" t="inlineStr">
        <is>
          <t>2402</t>
        </is>
      </c>
      <c r="E85" t="inlineStr">
        <is>
          <t>Infraestructura red vial regional</t>
        </is>
      </c>
      <c r="F85" t="inlineStr">
        <is>
          <t>2402105</t>
        </is>
      </c>
      <c r="G85" t="inlineStr">
        <is>
          <t>Documentos de lineamientos técnicos</t>
        </is>
      </c>
      <c r="H85" t="inlineStr">
        <is>
          <t>240210503</t>
        </is>
      </c>
      <c r="I85" t="inlineStr">
        <is>
          <t xml:space="preserve">Documentos de lineamientos técnicos para red vial secundaria, terciaria o urbana  publicados y socializados </t>
        </is>
      </c>
      <c r="J85" t="inlineStr">
        <is>
          <t>2024252950018</t>
        </is>
      </c>
      <c r="K85" t="inlineStr">
        <is>
          <t>No</t>
        </is>
      </c>
      <c r="L85" t="inlineStr">
        <is>
          <t>Número</t>
        </is>
      </c>
      <c r="M85">
        <v>1</v>
      </c>
      <c r="N85">
        <v>1</v>
      </c>
      <c r="O85">
        <v>0</v>
      </c>
      <c r="P85">
        <v>0</v>
      </c>
      <c r="Q85">
        <v>0</v>
      </c>
      <c r="R85" t="inlineStr">
        <is>
          <t xml:space="preserve"> </t>
        </is>
      </c>
      <c r="S85" s="103" t="inlineStr">
        <is>
          <t xml:space="preserve"> </t>
        </is>
      </c>
      <c r="T85" t="inlineStr">
        <is>
          <t>No se encontró ejecución en PIIP</t>
        </is>
      </c>
      <c r="U85" t="inlineStr">
        <is>
          <t xml:space="preserve"> </t>
        </is>
      </c>
      <c r="V85" s="104" t="inlineStr">
        <is>
          <t xml:space="preserve"> </t>
        </is>
      </c>
      <c r="W85" t="inlineStr">
        <is>
          <t>No se encontró ejecución en PIIP</t>
        </is>
      </c>
    </row>
    <row r="86">
      <c r="A86" t="inlineStr">
        <is>
          <t>IP-136</t>
        </is>
      </c>
      <c r="B86" t="inlineStr">
        <is>
          <t>24</t>
        </is>
      </c>
      <c r="C86" t="inlineStr">
        <is>
          <t>Transporte</t>
        </is>
      </c>
      <c r="D86" t="inlineStr">
        <is>
          <t>2402</t>
        </is>
      </c>
      <c r="E86" t="inlineStr">
        <is>
          <t>Infraestructura red vial regional</t>
        </is>
      </c>
      <c r="F86" t="inlineStr">
        <is>
          <t>2402130</t>
        </is>
      </c>
      <c r="G86" t="inlineStr">
        <is>
          <t>Puente peatonal de la red urbana construido</t>
        </is>
      </c>
      <c r="H86" t="inlineStr">
        <is>
          <t>240213000</t>
        </is>
      </c>
      <c r="I86" t="inlineStr">
        <is>
          <t>Puentes peatonales de la red urbana construidos</t>
        </is>
      </c>
      <c r="J86" t="inlineStr">
        <is>
          <t>2024252950018</t>
        </is>
      </c>
      <c r="K86" t="inlineStr">
        <is>
          <t>No</t>
        </is>
      </c>
      <c r="L86" t="inlineStr">
        <is>
          <t>Número</t>
        </is>
      </c>
      <c r="M86">
        <v>1</v>
      </c>
      <c r="N86">
        <v>1</v>
      </c>
      <c r="O86">
        <v>1</v>
      </c>
      <c r="P86">
        <v>1</v>
      </c>
      <c r="Q86">
        <v>1</v>
      </c>
      <c r="R86">
        <v>0</v>
      </c>
      <c r="S86" s="103">
        <v>0</v>
      </c>
      <c r="T86" t="inlineStr">
        <is>
          <t>No se ejecutó en la vigencia</t>
        </is>
      </c>
      <c r="U86" t="inlineStr">
        <is>
          <t xml:space="preserve"> </t>
        </is>
      </c>
      <c r="V86" s="104" t="inlineStr">
        <is>
          <t xml:space="preserve"> </t>
        </is>
      </c>
      <c r="W86" t="inlineStr">
        <is>
          <t>No se encontró ejecución en PIIP</t>
        </is>
      </c>
    </row>
    <row r="87">
      <c r="A87" t="inlineStr">
        <is>
          <t>IP-137</t>
        </is>
      </c>
      <c r="B87" t="inlineStr">
        <is>
          <t>24</t>
        </is>
      </c>
      <c r="C87" t="inlineStr">
        <is>
          <t>Transporte</t>
        </is>
      </c>
      <c r="D87" t="inlineStr">
        <is>
          <t>2402</t>
        </is>
      </c>
      <c r="E87" t="inlineStr">
        <is>
          <t>Infraestructura red vial regional</t>
        </is>
      </c>
      <c r="F87" t="inlineStr">
        <is>
          <t>2402105</t>
        </is>
      </c>
      <c r="G87" t="inlineStr">
        <is>
          <t>Documentos de lineamientos técnicos</t>
        </is>
      </c>
      <c r="H87" t="inlineStr">
        <is>
          <t>240210503</t>
        </is>
      </c>
      <c r="I87" t="inlineStr">
        <is>
          <t xml:space="preserve">Documentos de lineamientos técnicos para red vial secundaria, terciaria o urbana  publicados y socializados </t>
        </is>
      </c>
      <c r="J87" t="inlineStr">
        <is>
          <t>2024252950019</t>
        </is>
      </c>
      <c r="K87" t="inlineStr">
        <is>
          <t>No</t>
        </is>
      </c>
      <c r="L87" t="inlineStr">
        <is>
          <t>Número</t>
        </is>
      </c>
      <c r="M87">
        <v>1</v>
      </c>
      <c r="N87">
        <v>1</v>
      </c>
      <c r="O87">
        <v>1</v>
      </c>
      <c r="P87">
        <v>1</v>
      </c>
      <c r="Q87">
        <v>1</v>
      </c>
      <c r="R87" t="inlineStr">
        <is>
          <t xml:space="preserve"> </t>
        </is>
      </c>
      <c r="S87" s="103" t="inlineStr">
        <is>
          <t xml:space="preserve"> </t>
        </is>
      </c>
      <c r="T87" t="inlineStr">
        <is>
          <t>No se encontró ejecución en PIIP</t>
        </is>
      </c>
      <c r="U87" t="inlineStr">
        <is>
          <t xml:space="preserve"> </t>
        </is>
      </c>
      <c r="V87" s="104" t="inlineStr">
        <is>
          <t xml:space="preserve"> </t>
        </is>
      </c>
      <c r="W87" t="inlineStr">
        <is>
          <t>No se encontró ejecución en PIIP</t>
        </is>
      </c>
    </row>
    <row r="88">
      <c r="A88" t="inlineStr">
        <is>
          <t>IP-138</t>
        </is>
      </c>
      <c r="B88" t="inlineStr">
        <is>
          <t>40</t>
        </is>
      </c>
      <c r="C88" t="inlineStr">
        <is>
          <t>Vivienda, ciudad y territorio</t>
        </is>
      </c>
      <c r="D88" t="inlineStr">
        <is>
          <t>4002</t>
        </is>
      </c>
      <c r="E88" t="inlineStr">
        <is>
          <t>Ordenamiento territorial y desarrollo urbano</t>
        </is>
      </c>
      <c r="F88" t="inlineStr">
        <is>
          <t>4002001</t>
        </is>
      </c>
      <c r="G88" t="inlineStr">
        <is>
          <t>Servicios de asistencia técnica en planificación urbana y ordenamiento territorial</t>
        </is>
      </c>
      <c r="H88" t="inlineStr">
        <is>
          <t>400200102</t>
        </is>
      </c>
      <c r="I88" t="inlineStr">
        <is>
          <t>Entidades departamentales asistidas técnicamente</t>
        </is>
      </c>
      <c r="J88" t="inlineStr">
        <is>
          <t>2024252950019</t>
        </is>
      </c>
      <c r="K88" t="inlineStr">
        <is>
          <t>No</t>
        </is>
      </c>
      <c r="L88" t="inlineStr">
        <is>
          <t>Número</t>
        </is>
      </c>
      <c r="M88">
        <v>1</v>
      </c>
      <c r="N88">
        <v>1</v>
      </c>
      <c r="O88">
        <v>1</v>
      </c>
      <c r="P88">
        <v>1</v>
      </c>
      <c r="Q88">
        <v>1</v>
      </c>
      <c r="R88" t="inlineStr">
        <is>
          <t xml:space="preserve"> </t>
        </is>
      </c>
      <c r="S88" s="103" t="inlineStr">
        <is>
          <t xml:space="preserve"> </t>
        </is>
      </c>
      <c r="T88" t="inlineStr">
        <is>
          <t>No se encontró ejecución en PIIP</t>
        </is>
      </c>
      <c r="U88" t="inlineStr">
        <is>
          <t xml:space="preserve"> </t>
        </is>
      </c>
      <c r="V88" s="104" t="inlineStr">
        <is>
          <t xml:space="preserve"> </t>
        </is>
      </c>
      <c r="W88" t="inlineStr">
        <is>
          <t>No se encontró ejecución en PIIP</t>
        </is>
      </c>
    </row>
    <row r="89">
      <c r="A89" t="inlineStr">
        <is>
          <t>IP-139, IP-141</t>
        </is>
      </c>
      <c r="B89" t="inlineStr">
        <is>
          <t>40</t>
        </is>
      </c>
      <c r="C89" t="inlineStr">
        <is>
          <t>Vivienda, ciudad y territorio</t>
        </is>
      </c>
      <c r="D89" t="inlineStr">
        <is>
          <t>4002</t>
        </is>
      </c>
      <c r="E89" t="inlineStr">
        <is>
          <t>Ordenamiento territorial y desarrollo urbano</t>
        </is>
      </c>
      <c r="F89" t="inlineStr">
        <is>
          <t>4002001</t>
        </is>
      </c>
      <c r="G89" t="inlineStr">
        <is>
          <t>Servicios de asistencia técnica en planificación urbana y ordenamiento territorial</t>
        </is>
      </c>
      <c r="H89" t="inlineStr">
        <is>
          <t>400200102</t>
        </is>
      </c>
      <c r="I89" t="inlineStr">
        <is>
          <t>Entidades departamentales asistidas técnicamente</t>
        </is>
      </c>
      <c r="J89" t="inlineStr">
        <is>
          <t>2024252950019</t>
        </is>
      </c>
      <c r="K89" t="inlineStr">
        <is>
          <t>Si</t>
        </is>
      </c>
      <c r="L89" t="inlineStr">
        <is>
          <t>Número</t>
        </is>
      </c>
      <c r="M89">
        <v>13</v>
      </c>
      <c r="N89">
        <v>3</v>
      </c>
      <c r="O89">
        <v>4</v>
      </c>
      <c r="P89">
        <v>3</v>
      </c>
      <c r="Q89">
        <v>3</v>
      </c>
      <c r="R89" t="inlineStr">
        <is>
          <t xml:space="preserve"> </t>
        </is>
      </c>
      <c r="S89" s="103" t="inlineStr">
        <is>
          <t xml:space="preserve"> </t>
        </is>
      </c>
      <c r="T89" t="inlineStr">
        <is>
          <t>No se encontró ejecución en PIIP</t>
        </is>
      </c>
      <c r="U89" t="inlineStr">
        <is>
          <t xml:space="preserve"> </t>
        </is>
      </c>
      <c r="V89" s="104" t="inlineStr">
        <is>
          <t xml:space="preserve"> </t>
        </is>
      </c>
      <c r="W89" t="inlineStr">
        <is>
          <t>No se encontró ejecución en PIIP</t>
        </is>
      </c>
    </row>
    <row r="90">
      <c r="A90" t="inlineStr">
        <is>
          <t>IP-140</t>
        </is>
      </c>
      <c r="B90" t="inlineStr">
        <is>
          <t>32</t>
        </is>
      </c>
      <c r="C90" t="inlineStr">
        <is>
          <t>Ambiente y desarrollo sostenible</t>
        </is>
      </c>
      <c r="D90" t="inlineStr">
        <is>
          <t>3204</t>
        </is>
      </c>
      <c r="E90" t="inlineStr">
        <is>
          <t>Gestión de la información y el conocimiento ambiental</t>
        </is>
      </c>
      <c r="F90" t="inlineStr">
        <is>
          <t>3204002</t>
        </is>
      </c>
      <c r="G90" t="inlineStr">
        <is>
          <t>Documentos diagnóstico para la gestión de la información y el conocimiento ambiental</t>
        </is>
      </c>
      <c r="H90" t="inlineStr">
        <is>
          <t>320400200</t>
        </is>
      </c>
      <c r="I90" t="inlineStr">
        <is>
          <t xml:space="preserve">Documentos diagnóstico realizados </t>
        </is>
      </c>
      <c r="J90" t="inlineStr">
        <is>
          <t>2024252950019</t>
        </is>
      </c>
      <c r="K90" t="inlineStr">
        <is>
          <t>No</t>
        </is>
      </c>
      <c r="L90" t="inlineStr">
        <is>
          <t>Número</t>
        </is>
      </c>
      <c r="M90">
        <v>100</v>
      </c>
      <c r="N90">
        <v>15</v>
      </c>
      <c r="O90">
        <v>25</v>
      </c>
      <c r="P90">
        <v>45</v>
      </c>
      <c r="Q90">
        <v>15</v>
      </c>
      <c r="R90" t="inlineStr">
        <is>
          <t xml:space="preserve"> </t>
        </is>
      </c>
      <c r="S90" s="103" t="inlineStr">
        <is>
          <t xml:space="preserve"> </t>
        </is>
      </c>
      <c r="T90" t="inlineStr">
        <is>
          <t>No se encontró ejecución en PIIP</t>
        </is>
      </c>
      <c r="U90" t="inlineStr">
        <is>
          <t xml:space="preserve"> </t>
        </is>
      </c>
      <c r="V90" s="104" t="inlineStr">
        <is>
          <t xml:space="preserve"> </t>
        </is>
      </c>
      <c r="W90" t="inlineStr">
        <is>
          <t>No se encontró ejecución en PIIP</t>
        </is>
      </c>
    </row>
    <row r="91">
      <c r="A91" t="inlineStr">
        <is>
          <t>IP-142</t>
        </is>
      </c>
      <c r="B91" t="inlineStr">
        <is>
          <t>32</t>
        </is>
      </c>
      <c r="C91" t="inlineStr">
        <is>
          <t>Ambiente y desarrollo sostenible</t>
        </is>
      </c>
      <c r="D91" t="inlineStr">
        <is>
          <t>3204</t>
        </is>
      </c>
      <c r="E91" t="inlineStr">
        <is>
          <t>Gestión de la información y el conocimiento ambiental</t>
        </is>
      </c>
      <c r="F91" t="inlineStr">
        <is>
          <t>3204002</t>
        </is>
      </c>
      <c r="G91" t="inlineStr">
        <is>
          <t>Documentos diagnóstico para la gestión de la información y el conocimiento ambiental</t>
        </is>
      </c>
      <c r="H91" t="inlineStr">
        <is>
          <t>320400201</t>
        </is>
      </c>
      <c r="I91" t="inlineStr">
        <is>
          <t xml:space="preserve">Informes de los ambientes y recursos marinos y costeros de Colombia elaborados </t>
        </is>
      </c>
      <c r="J91" t="inlineStr">
        <is>
          <t>2024252950019</t>
        </is>
      </c>
      <c r="K91" t="inlineStr">
        <is>
          <t>No</t>
        </is>
      </c>
      <c r="L91" t="inlineStr">
        <is>
          <t>Número</t>
        </is>
      </c>
      <c r="M91">
        <v>1</v>
      </c>
      <c r="N91">
        <v>1</v>
      </c>
      <c r="O91">
        <v>1</v>
      </c>
      <c r="P91">
        <v>1</v>
      </c>
      <c r="Q91">
        <v>1</v>
      </c>
      <c r="R91" t="inlineStr">
        <is>
          <t xml:space="preserve"> </t>
        </is>
      </c>
      <c r="S91" s="103" t="inlineStr">
        <is>
          <t xml:space="preserve"> </t>
        </is>
      </c>
      <c r="T91" t="inlineStr">
        <is>
          <t>No se encontró ejecución en PIIP</t>
        </is>
      </c>
      <c r="U91" t="inlineStr">
        <is>
          <t xml:space="preserve"> </t>
        </is>
      </c>
      <c r="V91" s="104" t="inlineStr">
        <is>
          <t xml:space="preserve"> </t>
        </is>
      </c>
      <c r="W91" t="inlineStr">
        <is>
          <t>No se encontró ejecución en PIIP</t>
        </is>
      </c>
    </row>
    <row r="92">
      <c r="A92" t="inlineStr">
        <is>
          <t>IP-143</t>
        </is>
      </c>
      <c r="B92" t="inlineStr">
        <is>
          <t>32</t>
        </is>
      </c>
      <c r="C92" t="inlineStr">
        <is>
          <t>Ambiente y desarrollo sostenible</t>
        </is>
      </c>
      <c r="D92" t="inlineStr">
        <is>
          <t>3204</t>
        </is>
      </c>
      <c r="E92" t="inlineStr">
        <is>
          <t>Gestión de la información y el conocimiento ambiental</t>
        </is>
      </c>
      <c r="F92" t="inlineStr">
        <is>
          <t>3204002</t>
        </is>
      </c>
      <c r="G92" t="inlineStr">
        <is>
          <t>Documentos diagnóstico para la gestión de la información y el conocimiento ambiental</t>
        </is>
      </c>
      <c r="H92" t="inlineStr">
        <is>
          <t>320400203</t>
        </is>
      </c>
      <c r="I92" t="inlineStr">
        <is>
          <t>Documentos diagnóstico sobre valoración integral de bienes y Servicio eco sistémicos elaborados</t>
        </is>
      </c>
      <c r="J92" t="inlineStr">
        <is>
          <t>2024252950020</t>
        </is>
      </c>
      <c r="K92" t="inlineStr">
        <is>
          <t>Si</t>
        </is>
      </c>
      <c r="L92" t="inlineStr">
        <is>
          <t>Número</t>
        </is>
      </c>
      <c r="M92">
        <v>2</v>
      </c>
      <c r="N92">
        <v>0</v>
      </c>
      <c r="O92">
        <v>0</v>
      </c>
      <c r="P92">
        <v>2</v>
      </c>
      <c r="Q92">
        <v>0</v>
      </c>
      <c r="R92" t="inlineStr">
        <is>
          <t xml:space="preserve"> </t>
        </is>
      </c>
      <c r="S92" s="103" t="inlineStr">
        <is>
          <t xml:space="preserve"> </t>
        </is>
      </c>
      <c r="T92" t="inlineStr">
        <is>
          <t>No se encontró ejecución en PIIP</t>
        </is>
      </c>
      <c r="U92" t="inlineStr">
        <is>
          <t xml:space="preserve"> </t>
        </is>
      </c>
      <c r="V92" s="104" t="inlineStr">
        <is>
          <t xml:space="preserve"> </t>
        </is>
      </c>
      <c r="W92" t="inlineStr">
        <is>
          <t>No se encontró ejecución en PIIP</t>
        </is>
      </c>
    </row>
    <row r="93">
      <c r="A93" t="inlineStr">
        <is>
          <t>IP-144</t>
        </is>
      </c>
      <c r="B93" t="inlineStr">
        <is>
          <t>40</t>
        </is>
      </c>
      <c r="C93" t="inlineStr">
        <is>
          <t>Vivienda, ciudad y territorio</t>
        </is>
      </c>
      <c r="D93" t="inlineStr">
        <is>
          <t>4003</t>
        </is>
      </c>
      <c r="E93" t="inlineStr">
        <is>
          <t>Acceso de la población a los servicios de agua potable y saneamiento básico</t>
        </is>
      </c>
      <c r="F93" t="inlineStr">
        <is>
          <t>4003006</t>
        </is>
      </c>
      <c r="G93" t="inlineStr">
        <is>
          <t>Documentos de planeación</t>
        </is>
      </c>
      <c r="H93" t="inlineStr">
        <is>
          <t>400300600</t>
        </is>
      </c>
      <c r="I93" t="inlineStr">
        <is>
          <t>Documentos de planeación elaborados</t>
        </is>
      </c>
      <c r="J93" t="inlineStr">
        <is>
          <t>2024252950020</t>
        </is>
      </c>
      <c r="K93" t="inlineStr">
        <is>
          <t>No</t>
        </is>
      </c>
      <c r="L93" t="inlineStr">
        <is>
          <t>Número</t>
        </is>
      </c>
      <c r="M93">
        <v>20749</v>
      </c>
      <c r="N93">
        <v>20749</v>
      </c>
      <c r="O93">
        <v>20749</v>
      </c>
      <c r="P93">
        <v>20749</v>
      </c>
      <c r="Q93">
        <v>20749</v>
      </c>
      <c r="R93">
        <v>0</v>
      </c>
      <c r="S93" s="103">
        <v>0</v>
      </c>
      <c r="T93" t="inlineStr">
        <is>
          <t>No se ejecutó en la vigencia</t>
        </is>
      </c>
      <c r="U93">
        <v>0</v>
      </c>
      <c r="V93" s="104">
        <v>0</v>
      </c>
      <c r="W93" t="inlineStr">
        <is>
          <t>No se ejecutó en la vigencia</t>
        </is>
      </c>
    </row>
    <row r="94">
      <c r="A94" t="inlineStr">
        <is>
          <t>IP-145</t>
        </is>
      </c>
      <c r="B94" t="inlineStr">
        <is>
          <t>40</t>
        </is>
      </c>
      <c r="C94" t="inlineStr">
        <is>
          <t>Vivienda, ciudad y territorio</t>
        </is>
      </c>
      <c r="D94" t="inlineStr">
        <is>
          <t>4003</t>
        </is>
      </c>
      <c r="E94" t="inlineStr">
        <is>
          <t>Acceso de la población a los servicios de agua potable y saneamiento básico</t>
        </is>
      </c>
      <c r="F94" t="inlineStr">
        <is>
          <t>4003025</t>
        </is>
      </c>
      <c r="G94" t="inlineStr">
        <is>
          <t>Servicios de apoyo financiero para la ejecución de proyectos de acueductos y alcantarillado</t>
        </is>
      </c>
      <c r="H94" t="inlineStr">
        <is>
          <t>400302500</t>
        </is>
      </c>
      <c r="I94" t="inlineStr">
        <is>
          <t>Proyectos de acueducto y alcantarillado en área urbana financiados</t>
        </is>
      </c>
      <c r="J94" t="inlineStr">
        <is>
          <t>2024252950020</t>
        </is>
      </c>
      <c r="K94" t="inlineStr">
        <is>
          <t>Si</t>
        </is>
      </c>
      <c r="L94" t="inlineStr">
        <is>
          <t>Número</t>
        </is>
      </c>
      <c r="M94">
        <v>25</v>
      </c>
      <c r="N94">
        <v>0</v>
      </c>
      <c r="O94">
        <v>10</v>
      </c>
      <c r="P94">
        <v>10</v>
      </c>
      <c r="Q94">
        <v>5</v>
      </c>
      <c r="R94" t="inlineStr">
        <is>
          <t xml:space="preserve"> </t>
        </is>
      </c>
      <c r="S94" s="103" t="inlineStr">
        <is>
          <t xml:space="preserve"> </t>
        </is>
      </c>
      <c r="T94" t="inlineStr">
        <is>
          <t>No se encontró ejecución en PIIP</t>
        </is>
      </c>
      <c r="U94" t="inlineStr">
        <is>
          <t xml:space="preserve"> </t>
        </is>
      </c>
      <c r="V94" s="104" t="inlineStr">
        <is>
          <t xml:space="preserve"> </t>
        </is>
      </c>
      <c r="W94" t="inlineStr">
        <is>
          <t>No se encontró ejecución en PIIP</t>
        </is>
      </c>
    </row>
    <row r="95">
      <c r="A95" t="inlineStr">
        <is>
          <t>IP-146</t>
        </is>
      </c>
      <c r="B95" t="inlineStr">
        <is>
          <t>40</t>
        </is>
      </c>
      <c r="C95" t="inlineStr">
        <is>
          <t>Vivienda, ciudad y territorio</t>
        </is>
      </c>
      <c r="D95" t="inlineStr">
        <is>
          <t>4003</t>
        </is>
      </c>
      <c r="E95" t="inlineStr">
        <is>
          <t>Acceso de la población a los servicios de agua potable y saneamiento básico</t>
        </is>
      </c>
      <c r="F95" t="inlineStr">
        <is>
          <t>4003041</t>
        </is>
      </c>
      <c r="G95" t="inlineStr">
        <is>
          <t>Servicio de regulación en Agua Potable y Saneamiento Básico</t>
        </is>
      </c>
      <c r="H95" t="inlineStr">
        <is>
          <t>400304101</t>
        </is>
      </c>
      <c r="I95" t="inlineStr">
        <is>
          <t xml:space="preserve">Estudios realizados </t>
        </is>
      </c>
      <c r="J95" t="inlineStr">
        <is>
          <t>2024252950020</t>
        </is>
      </c>
      <c r="K95" t="inlineStr">
        <is>
          <t>No</t>
        </is>
      </c>
      <c r="L95" t="inlineStr">
        <is>
          <t>Número</t>
        </is>
      </c>
      <c r="M95">
        <v>1</v>
      </c>
      <c r="N95">
        <v>0</v>
      </c>
      <c r="O95">
        <v>0</v>
      </c>
      <c r="P95">
        <v>1</v>
      </c>
      <c r="Q95">
        <v>0</v>
      </c>
      <c r="R95" t="inlineStr">
        <is>
          <t xml:space="preserve"> </t>
        </is>
      </c>
      <c r="S95" s="103" t="inlineStr">
        <is>
          <t xml:space="preserve"> </t>
        </is>
      </c>
      <c r="T95" t="inlineStr">
        <is>
          <t>No se encontró ejecución en PIIP</t>
        </is>
      </c>
      <c r="U95" t="inlineStr">
        <is>
          <t xml:space="preserve"> </t>
        </is>
      </c>
      <c r="V95" s="104" t="inlineStr">
        <is>
          <t xml:space="preserve"> </t>
        </is>
      </c>
      <c r="W95" t="inlineStr">
        <is>
          <t>No se encontró ejecución en PIIP</t>
        </is>
      </c>
    </row>
    <row r="96">
      <c r="A96" t="inlineStr">
        <is>
          <t>IP-147</t>
        </is>
      </c>
      <c r="B96" t="inlineStr">
        <is>
          <t>40</t>
        </is>
      </c>
      <c r="C96" t="inlineStr">
        <is>
          <t>Vivienda, ciudad y territorio</t>
        </is>
      </c>
      <c r="D96" t="inlineStr">
        <is>
          <t>4003</t>
        </is>
      </c>
      <c r="E96" t="inlineStr">
        <is>
          <t>Acceso de la población a los servicios de agua potable y saneamiento básico</t>
        </is>
      </c>
      <c r="F96" t="inlineStr">
        <is>
          <t>4003025</t>
        </is>
      </c>
      <c r="G96" t="inlineStr">
        <is>
          <t>Servicios de apoyo financiero para la ejecución de proyectos de acueductos y alcantarillado</t>
        </is>
      </c>
      <c r="H96" t="inlineStr">
        <is>
          <t>400302500</t>
        </is>
      </c>
      <c r="I96" t="inlineStr">
        <is>
          <t>Proyectos de acueducto y alcantarillado en área urbana financiados</t>
        </is>
      </c>
      <c r="J96" t="inlineStr">
        <is>
          <t>2024252950021</t>
        </is>
      </c>
      <c r="K96" t="inlineStr">
        <is>
          <t>Si</t>
        </is>
      </c>
      <c r="L96" t="inlineStr">
        <is>
          <t>Número</t>
        </is>
      </c>
      <c r="M96">
        <v>50</v>
      </c>
      <c r="N96">
        <v>0</v>
      </c>
      <c r="O96">
        <v>20</v>
      </c>
      <c r="P96">
        <v>20</v>
      </c>
      <c r="Q96">
        <v>10</v>
      </c>
      <c r="R96" t="inlineStr">
        <is>
          <t xml:space="preserve"> </t>
        </is>
      </c>
      <c r="S96" s="103" t="inlineStr">
        <is>
          <t xml:space="preserve"> </t>
        </is>
      </c>
      <c r="T96" t="inlineStr">
        <is>
          <t>No se encontró ejecución en PIIP</t>
        </is>
      </c>
      <c r="U96" t="inlineStr">
        <is>
          <t xml:space="preserve"> </t>
        </is>
      </c>
      <c r="V96" s="104" t="inlineStr">
        <is>
          <t xml:space="preserve"> </t>
        </is>
      </c>
      <c r="W96" t="inlineStr">
        <is>
          <t>No se encontró ejecución en PIIP</t>
        </is>
      </c>
    </row>
    <row r="97">
      <c r="A97" t="inlineStr">
        <is>
          <t>IP-148</t>
        </is>
      </c>
      <c r="B97" t="inlineStr">
        <is>
          <t>17</t>
        </is>
      </c>
      <c r="C97" t="inlineStr">
        <is>
          <t xml:space="preserve">Agricultura y desarrollo rural
</t>
        </is>
      </c>
      <c r="D97" t="inlineStr">
        <is>
          <t>1702</t>
        </is>
      </c>
      <c r="E97" t="inlineStr">
        <is>
          <t>Inclusión productiva de pequeños productores rurales</t>
        </is>
      </c>
      <c r="F97" t="inlineStr">
        <is>
          <t>1702010</t>
        </is>
      </c>
      <c r="G97" t="inlineStr">
        <is>
          <t>Servicio de asistencia técnica agropecuaria dirigida a pequeños productores</t>
        </is>
      </c>
      <c r="H97" t="inlineStr">
        <is>
          <t>170201000</t>
        </is>
      </c>
      <c r="I97" t="inlineStr">
        <is>
          <t>Pequeños productores rurales asistidos técnicamente</t>
        </is>
      </c>
      <c r="J97" t="inlineStr">
        <is>
          <t>2024252950021</t>
        </is>
      </c>
      <c r="K97" t="inlineStr">
        <is>
          <t>Si</t>
        </is>
      </c>
      <c r="L97" t="inlineStr">
        <is>
          <t>Número</t>
        </is>
      </c>
      <c r="M97">
        <v>20</v>
      </c>
      <c r="N97">
        <v>5</v>
      </c>
      <c r="O97">
        <v>10</v>
      </c>
      <c r="P97">
        <v>10</v>
      </c>
      <c r="Q97">
        <v>5</v>
      </c>
      <c r="R97" t="inlineStr">
        <is>
          <t xml:space="preserve"> </t>
        </is>
      </c>
      <c r="S97" s="103" t="inlineStr">
        <is>
          <t xml:space="preserve"> </t>
        </is>
      </c>
      <c r="T97" t="inlineStr">
        <is>
          <t>No se encontró ejecución en PIIP</t>
        </is>
      </c>
      <c r="U97" t="inlineStr">
        <is>
          <t xml:space="preserve"> </t>
        </is>
      </c>
      <c r="V97" s="104" t="inlineStr">
        <is>
          <t xml:space="preserve"> </t>
        </is>
      </c>
      <c r="W97" t="inlineStr">
        <is>
          <t>No se encontró ejecución en PIIP</t>
        </is>
      </c>
    </row>
    <row r="98">
      <c r="A98" t="inlineStr">
        <is>
          <t>IP-149</t>
        </is>
      </c>
      <c r="B98" t="inlineStr">
        <is>
          <t>17</t>
        </is>
      </c>
      <c r="C98" t="inlineStr">
        <is>
          <t xml:space="preserve">Agricultura y desarrollo rural
</t>
        </is>
      </c>
      <c r="D98" t="inlineStr">
        <is>
          <t>1702</t>
        </is>
      </c>
      <c r="E98" t="inlineStr">
        <is>
          <t>Inclusión productiva de pequeños productores rurales</t>
        </is>
      </c>
      <c r="F98" t="inlineStr">
        <is>
          <t>1702041</t>
        </is>
      </c>
      <c r="G98" t="inlineStr">
        <is>
          <t>Documentos de evaluación</t>
        </is>
      </c>
      <c r="H98" t="inlineStr">
        <is>
          <t>170204100</t>
        </is>
      </c>
      <c r="I98" t="inlineStr">
        <is>
          <t>Documentos de evaluación elaborados</t>
        </is>
      </c>
      <c r="J98" t="inlineStr">
        <is>
          <t>2024252950021</t>
        </is>
      </c>
      <c r="K98" t="inlineStr">
        <is>
          <t>Si</t>
        </is>
      </c>
      <c r="L98" t="inlineStr">
        <is>
          <t>Número</t>
        </is>
      </c>
      <c r="M98">
        <v>60</v>
      </c>
      <c r="N98">
        <v>10</v>
      </c>
      <c r="O98">
        <v>20</v>
      </c>
      <c r="P98">
        <v>20</v>
      </c>
      <c r="Q98">
        <v>10</v>
      </c>
      <c r="R98" t="inlineStr">
        <is>
          <t xml:space="preserve"> </t>
        </is>
      </c>
      <c r="S98" s="103" t="inlineStr">
        <is>
          <t xml:space="preserve"> </t>
        </is>
      </c>
      <c r="T98" t="inlineStr">
        <is>
          <t>No se encontró ejecución en PIIP</t>
        </is>
      </c>
      <c r="U98" t="inlineStr">
        <is>
          <t xml:space="preserve"> </t>
        </is>
      </c>
      <c r="V98" s="104" t="inlineStr">
        <is>
          <t xml:space="preserve"> </t>
        </is>
      </c>
      <c r="W98" t="inlineStr">
        <is>
          <t>No se encontró ejecución en PIIP</t>
        </is>
      </c>
    </row>
    <row r="99">
      <c r="A99" t="inlineStr">
        <is>
          <t>IP-150</t>
        </is>
      </c>
      <c r="B99" t="inlineStr">
        <is>
          <t>17</t>
        </is>
      </c>
      <c r="C99" t="inlineStr">
        <is>
          <t xml:space="preserve">Agricultura y desarrollo rural
</t>
        </is>
      </c>
      <c r="D99" t="inlineStr">
        <is>
          <t>1702</t>
        </is>
      </c>
      <c r="E99" t="inlineStr">
        <is>
          <t>Inclusión productiva de pequeños productores rurales</t>
        </is>
      </c>
      <c r="F99" t="inlineStr">
        <is>
          <t>1702007</t>
        </is>
      </c>
      <c r="G99" t="inlineStr">
        <is>
          <t>Servicio de apoyo financiero para proyectos productivos</t>
        </is>
      </c>
      <c r="H99" t="inlineStr">
        <is>
          <t>170200702</t>
        </is>
      </c>
      <c r="I99" t="inlineStr">
        <is>
          <t>Familias beneficiadas</t>
        </is>
      </c>
      <c r="J99" t="inlineStr">
        <is>
          <t>2024252950021</t>
        </is>
      </c>
      <c r="K99" t="inlineStr">
        <is>
          <t>Si</t>
        </is>
      </c>
      <c r="L99" t="inlineStr">
        <is>
          <t>Número</t>
        </is>
      </c>
      <c r="M99">
        <v>2</v>
      </c>
      <c r="N99">
        <v>0</v>
      </c>
      <c r="O99">
        <v>1</v>
      </c>
      <c r="P99">
        <v>1</v>
      </c>
      <c r="Q99">
        <v>2</v>
      </c>
      <c r="R99" t="inlineStr">
        <is>
          <t xml:space="preserve"> </t>
        </is>
      </c>
      <c r="S99" s="103" t="inlineStr">
        <is>
          <t xml:space="preserve"> </t>
        </is>
      </c>
      <c r="T99" t="inlineStr">
        <is>
          <t>No se encontró ejecución en PIIP</t>
        </is>
      </c>
      <c r="U99" t="inlineStr">
        <is>
          <t xml:space="preserve"> </t>
        </is>
      </c>
      <c r="V99" s="104" t="inlineStr">
        <is>
          <t xml:space="preserve"> </t>
        </is>
      </c>
      <c r="W99" t="inlineStr">
        <is>
          <t>No se encontró ejecución en PIIP</t>
        </is>
      </c>
    </row>
    <row r="100">
      <c r="A100" t="inlineStr">
        <is>
          <t>IP-151</t>
        </is>
      </c>
      <c r="B100" t="inlineStr">
        <is>
          <t>17</t>
        </is>
      </c>
      <c r="C100" t="inlineStr">
        <is>
          <t xml:space="preserve">Agricultura y desarrollo rural
</t>
        </is>
      </c>
      <c r="D100" t="inlineStr">
        <is>
          <t>1702</t>
        </is>
      </c>
      <c r="E100" t="inlineStr">
        <is>
          <t>Inclusión productiva de pequeños productores rurales</t>
        </is>
      </c>
      <c r="F100" t="inlineStr">
        <is>
          <t>1702010</t>
        </is>
      </c>
      <c r="G100" t="inlineStr">
        <is>
          <t>Servicio de asistencia técnica agropecuaria dirigida a pequeños productores</t>
        </is>
      </c>
      <c r="H100" t="inlineStr">
        <is>
          <t>170201000</t>
        </is>
      </c>
      <c r="I100" t="inlineStr">
        <is>
          <t>Pequeños productores rurales asistidos técnicamente</t>
        </is>
      </c>
      <c r="J100" t="inlineStr">
        <is>
          <t>2024252950021</t>
        </is>
      </c>
      <c r="K100" t="inlineStr">
        <is>
          <t>No</t>
        </is>
      </c>
      <c r="L100" t="inlineStr">
        <is>
          <t>Número</t>
        </is>
      </c>
      <c r="M100">
        <v>1</v>
      </c>
      <c r="N100">
        <v>0</v>
      </c>
      <c r="O100">
        <v>1</v>
      </c>
      <c r="P100">
        <v>0</v>
      </c>
      <c r="Q100">
        <v>0</v>
      </c>
      <c r="R100">
        <v>0</v>
      </c>
      <c r="S100" s="103" t="inlineStr">
        <is>
          <t xml:space="preserve"> </t>
        </is>
      </c>
      <c r="T100" t="inlineStr">
        <is>
          <t>No se programó ni ejecutó en la vigencia</t>
        </is>
      </c>
      <c r="U100" t="inlineStr">
        <is>
          <t xml:space="preserve"> </t>
        </is>
      </c>
      <c r="V100" s="104" t="inlineStr">
        <is>
          <t xml:space="preserve"> </t>
        </is>
      </c>
      <c r="W100" t="inlineStr">
        <is>
          <t>No se encontró ejecución en PIIP</t>
        </is>
      </c>
    </row>
    <row r="101">
      <c r="A101" t="inlineStr">
        <is>
          <t>IP-152</t>
        </is>
      </c>
      <c r="B101" t="inlineStr">
        <is>
          <t>17</t>
        </is>
      </c>
      <c r="C101" t="inlineStr">
        <is>
          <t xml:space="preserve">Agricultura y desarrollo rural
</t>
        </is>
      </c>
      <c r="D101" t="inlineStr">
        <is>
          <t>1702</t>
        </is>
      </c>
      <c r="E101" t="inlineStr">
        <is>
          <t>Inclusión productiva de pequeños productores rurales</t>
        </is>
      </c>
      <c r="F101" t="inlineStr">
        <is>
          <t>1702025</t>
        </is>
      </c>
      <c r="G101" t="inlineStr">
        <is>
          <t>Servicio de apoyo en la formulación y estructuración de proyectos</t>
        </is>
      </c>
      <c r="H101" t="inlineStr">
        <is>
          <t>170202501</t>
        </is>
      </c>
      <c r="I101" t="inlineStr">
        <is>
          <t xml:space="preserve"> Proyectos estratégicos nacionales estructurados</t>
        </is>
      </c>
      <c r="J101" t="inlineStr">
        <is>
          <t>2024252950021</t>
        </is>
      </c>
      <c r="K101" t="inlineStr">
        <is>
          <t>Si</t>
        </is>
      </c>
      <c r="L101" t="inlineStr">
        <is>
          <t>Número</t>
        </is>
      </c>
      <c r="M101">
        <v>200</v>
      </c>
      <c r="N101">
        <v>0</v>
      </c>
      <c r="O101">
        <v>100</v>
      </c>
      <c r="P101">
        <v>100</v>
      </c>
      <c r="Q101">
        <v>0</v>
      </c>
      <c r="R101" t="inlineStr">
        <is>
          <t xml:space="preserve"> </t>
        </is>
      </c>
      <c r="S101" s="103" t="inlineStr">
        <is>
          <t xml:space="preserve"> </t>
        </is>
      </c>
      <c r="T101" t="inlineStr">
        <is>
          <t>No se encontró ejecución en PIIP</t>
        </is>
      </c>
      <c r="U101" t="inlineStr">
        <is>
          <t xml:space="preserve"> </t>
        </is>
      </c>
      <c r="V101" s="104" t="inlineStr">
        <is>
          <t xml:space="preserve"> </t>
        </is>
      </c>
      <c r="W101" t="inlineStr">
        <is>
          <t>No se encontró ejecución en PIIP</t>
        </is>
      </c>
    </row>
    <row r="102">
      <c r="A102" t="inlineStr">
        <is>
          <t>IP-153</t>
        </is>
      </c>
      <c r="B102" t="inlineStr">
        <is>
          <t>17</t>
        </is>
      </c>
      <c r="C102" t="inlineStr">
        <is>
          <t xml:space="preserve">Agricultura y desarrollo rural
</t>
        </is>
      </c>
      <c r="D102" t="inlineStr">
        <is>
          <t>1702</t>
        </is>
      </c>
      <c r="E102" t="inlineStr">
        <is>
          <t>Inclusión productiva de pequeños productores rurales</t>
        </is>
      </c>
      <c r="F102" t="inlineStr">
        <is>
          <t>1702041</t>
        </is>
      </c>
      <c r="G102" t="inlineStr">
        <is>
          <t>Documentos de evaluación</t>
        </is>
      </c>
      <c r="H102" t="inlineStr">
        <is>
          <t>170204100</t>
        </is>
      </c>
      <c r="I102" t="inlineStr">
        <is>
          <t>Documentos de evaluación elaborados</t>
        </is>
      </c>
      <c r="J102" t="inlineStr">
        <is>
          <t>2024252950021</t>
        </is>
      </c>
      <c r="K102" t="inlineStr">
        <is>
          <t>No</t>
        </is>
      </c>
      <c r="L102" t="inlineStr">
        <is>
          <t>Número</t>
        </is>
      </c>
      <c r="M102">
        <v>1</v>
      </c>
      <c r="N102">
        <v>0</v>
      </c>
      <c r="O102">
        <v>0</v>
      </c>
      <c r="P102">
        <v>1</v>
      </c>
      <c r="Q102">
        <v>0</v>
      </c>
      <c r="R102" t="inlineStr">
        <is>
          <t xml:space="preserve"> </t>
        </is>
      </c>
      <c r="S102" s="103" t="inlineStr">
        <is>
          <t xml:space="preserve"> </t>
        </is>
      </c>
      <c r="T102" t="inlineStr">
        <is>
          <t>No se encontró ejecución en PIIP</t>
        </is>
      </c>
      <c r="U102" t="inlineStr">
        <is>
          <t xml:space="preserve"> </t>
        </is>
      </c>
      <c r="V102" s="104" t="inlineStr">
        <is>
          <t xml:space="preserve"> </t>
        </is>
      </c>
      <c r="W102" t="inlineStr">
        <is>
          <t>No se encontró ejecución en PIIP</t>
        </is>
      </c>
    </row>
    <row r="103">
      <c r="A103" t="inlineStr">
        <is>
          <t>IP-154</t>
        </is>
      </c>
      <c r="B103" t="inlineStr">
        <is>
          <t>17</t>
        </is>
      </c>
      <c r="C103" t="inlineStr">
        <is>
          <t xml:space="preserve">Agricultura y desarrollo rural
</t>
        </is>
      </c>
      <c r="D103" t="inlineStr">
        <is>
          <t>1702</t>
        </is>
      </c>
      <c r="E103" t="inlineStr">
        <is>
          <t>Inclusión productiva de pequeños productores rurales</t>
        </is>
      </c>
      <c r="F103" t="inlineStr">
        <is>
          <t>1702038</t>
        </is>
      </c>
      <c r="G103" t="inlineStr">
        <is>
          <t>Servicio de apoyo a la comercialización</t>
        </is>
      </c>
      <c r="H103" t="inlineStr">
        <is>
          <t>170203808</t>
        </is>
      </c>
      <c r="I103" t="inlineStr">
        <is>
          <t>Eventos comerciales apoyados</t>
        </is>
      </c>
      <c r="J103" t="inlineStr">
        <is>
          <t>2024252950021</t>
        </is>
      </c>
      <c r="K103" t="inlineStr">
        <is>
          <t>Si</t>
        </is>
      </c>
      <c r="L103" t="inlineStr">
        <is>
          <t>Número</t>
        </is>
      </c>
      <c r="M103">
        <v>350</v>
      </c>
      <c r="N103">
        <v>50</v>
      </c>
      <c r="O103">
        <v>100</v>
      </c>
      <c r="P103">
        <v>100</v>
      </c>
      <c r="Q103">
        <v>100</v>
      </c>
      <c r="R103" t="inlineStr">
        <is>
          <t xml:space="preserve"> </t>
        </is>
      </c>
      <c r="S103" s="103" t="inlineStr">
        <is>
          <t xml:space="preserve"> </t>
        </is>
      </c>
      <c r="T103" t="inlineStr">
        <is>
          <t>No se encontró ejecución en PIIP</t>
        </is>
      </c>
      <c r="U103" t="inlineStr">
        <is>
          <t xml:space="preserve"> </t>
        </is>
      </c>
      <c r="V103" s="104" t="inlineStr">
        <is>
          <t xml:space="preserve"> </t>
        </is>
      </c>
      <c r="W103" t="inlineStr">
        <is>
          <t>No se encontró ejecución en PIIP</t>
        </is>
      </c>
    </row>
    <row r="104">
      <c r="A104" t="inlineStr">
        <is>
          <t>IP-155</t>
        </is>
      </c>
      <c r="B104" t="inlineStr">
        <is>
          <t>17</t>
        </is>
      </c>
      <c r="C104" t="inlineStr">
        <is>
          <t xml:space="preserve">Agricultura y desarrollo rural
</t>
        </is>
      </c>
      <c r="D104" t="inlineStr">
        <is>
          <t>1702</t>
        </is>
      </c>
      <c r="E104" t="inlineStr">
        <is>
          <t>Inclusión productiva de pequeños productores rurales</t>
        </is>
      </c>
      <c r="F104" t="inlineStr">
        <is>
          <t>1702041</t>
        </is>
      </c>
      <c r="G104" t="inlineStr">
        <is>
          <t>Documentos de evaluación</t>
        </is>
      </c>
      <c r="H104" t="inlineStr">
        <is>
          <t>170204100</t>
        </is>
      </c>
      <c r="I104" t="inlineStr">
        <is>
          <t>Documentos de evaluación elaborados</t>
        </is>
      </c>
      <c r="J104" t="inlineStr">
        <is>
          <t>2024252950022</t>
        </is>
      </c>
      <c r="K104" t="inlineStr">
        <is>
          <t>Si</t>
        </is>
      </c>
      <c r="L104" t="inlineStr">
        <is>
          <t>Número</t>
        </is>
      </c>
      <c r="M104">
        <v>150</v>
      </c>
      <c r="N104">
        <v>25</v>
      </c>
      <c r="O104">
        <v>50</v>
      </c>
      <c r="P104">
        <v>50</v>
      </c>
      <c r="Q104">
        <v>25</v>
      </c>
      <c r="R104" t="inlineStr">
        <is>
          <t xml:space="preserve"> </t>
        </is>
      </c>
      <c r="S104" s="103" t="inlineStr">
        <is>
          <t xml:space="preserve"> </t>
        </is>
      </c>
      <c r="T104" t="inlineStr">
        <is>
          <t>No se encontró ejecución en PIIP</t>
        </is>
      </c>
      <c r="U104" t="inlineStr">
        <is>
          <t xml:space="preserve"> </t>
        </is>
      </c>
      <c r="V104" s="104" t="inlineStr">
        <is>
          <t xml:space="preserve"> </t>
        </is>
      </c>
      <c r="W104" t="inlineStr">
        <is>
          <t>No se encontró ejecución en PIIP</t>
        </is>
      </c>
    </row>
    <row r="105">
      <c r="A105" t="inlineStr">
        <is>
          <t>IP-156</t>
        </is>
      </c>
      <c r="B105" t="inlineStr">
        <is>
          <t>17</t>
        </is>
      </c>
      <c r="C105" t="inlineStr">
        <is>
          <t xml:space="preserve">Agricultura y desarrollo rural
</t>
        </is>
      </c>
      <c r="D105" t="inlineStr">
        <is>
          <t>1707</t>
        </is>
      </c>
      <c r="E105" t="inlineStr">
        <is>
          <t>Sanidad agropecuaria e inocuidad agroalimentaria</t>
        </is>
      </c>
      <c r="F105" t="inlineStr">
        <is>
          <t>1707060</t>
        </is>
      </c>
      <c r="G105" t="inlineStr">
        <is>
          <t>Estudios de preinversión</t>
        </is>
      </c>
      <c r="H105" t="inlineStr">
        <is>
          <t>170706000</t>
        </is>
      </c>
      <c r="I105" t="inlineStr">
        <is>
          <t xml:space="preserve">Estudios y diseños realizados </t>
        </is>
      </c>
      <c r="J105" t="inlineStr">
        <is>
          <t>2024252950023</t>
        </is>
      </c>
      <c r="K105" t="inlineStr">
        <is>
          <t>Si</t>
        </is>
      </c>
      <c r="L105" t="inlineStr">
        <is>
          <t>Número</t>
        </is>
      </c>
      <c r="M105">
        <v>1</v>
      </c>
      <c r="N105">
        <v>0</v>
      </c>
      <c r="O105">
        <v>1</v>
      </c>
      <c r="P105">
        <v>0</v>
      </c>
      <c r="Q105">
        <v>0</v>
      </c>
      <c r="R105" t="inlineStr">
        <is>
          <t xml:space="preserve"> </t>
        </is>
      </c>
      <c r="S105" s="103" t="inlineStr">
        <is>
          <t xml:space="preserve"> </t>
        </is>
      </c>
      <c r="T105" t="inlineStr">
        <is>
          <t>No se encontró ejecución en PIIP</t>
        </is>
      </c>
      <c r="U105" t="inlineStr">
        <is>
          <t xml:space="preserve"> </t>
        </is>
      </c>
      <c r="V105" s="104" t="inlineStr">
        <is>
          <t xml:space="preserve"> </t>
        </is>
      </c>
      <c r="W105" t="inlineStr">
        <is>
          <t>No se encontró ejecución en PIIP</t>
        </is>
      </c>
    </row>
    <row r="106">
      <c r="A106" t="inlineStr">
        <is>
          <t>IP-157</t>
        </is>
      </c>
      <c r="B106" t="inlineStr">
        <is>
          <t>17</t>
        </is>
      </c>
      <c r="C106" t="inlineStr">
        <is>
          <t xml:space="preserve">Agricultura y desarrollo rural
</t>
        </is>
      </c>
      <c r="D106" t="inlineStr">
        <is>
          <t>1707</t>
        </is>
      </c>
      <c r="E106" t="inlineStr">
        <is>
          <t>Sanidad agropecuaria e inocuidad agroalimentaria</t>
        </is>
      </c>
      <c r="F106" t="inlineStr">
        <is>
          <t>1707043</t>
        </is>
      </c>
      <c r="G106" t="inlineStr">
        <is>
          <t>Servicios de control de parásitos para especies de interés agropecuario</t>
        </is>
      </c>
      <c r="H106" t="inlineStr">
        <is>
          <t>170704300</t>
        </is>
      </c>
      <c r="I106" t="inlineStr">
        <is>
          <t>Animales atendidos</t>
        </is>
      </c>
      <c r="J106" t="inlineStr">
        <is>
          <t>2024252950024</t>
        </is>
      </c>
      <c r="K106" t="inlineStr">
        <is>
          <t>Si</t>
        </is>
      </c>
      <c r="L106" t="inlineStr">
        <is>
          <t>Número</t>
        </is>
      </c>
      <c r="M106">
        <v>80</v>
      </c>
      <c r="N106">
        <v>20</v>
      </c>
      <c r="O106">
        <v>20</v>
      </c>
      <c r="P106">
        <v>20</v>
      </c>
      <c r="Q106">
        <v>20</v>
      </c>
      <c r="R106" t="inlineStr">
        <is>
          <t xml:space="preserve"> </t>
        </is>
      </c>
      <c r="S106" s="103" t="inlineStr">
        <is>
          <t xml:space="preserve"> </t>
        </is>
      </c>
      <c r="T106" t="inlineStr">
        <is>
          <t>No se encontró ejecución en PIIP</t>
        </is>
      </c>
      <c r="U106" t="inlineStr">
        <is>
          <t xml:space="preserve"> </t>
        </is>
      </c>
      <c r="V106" s="104" t="inlineStr">
        <is>
          <t xml:space="preserve"> </t>
        </is>
      </c>
      <c r="W106" t="inlineStr">
        <is>
          <t>No se encontró ejecución en PIIP</t>
        </is>
      </c>
    </row>
    <row r="107">
      <c r="A107" t="inlineStr">
        <is>
          <t>IP-158</t>
        </is>
      </c>
      <c r="B107" t="inlineStr">
        <is>
          <t>45</t>
        </is>
      </c>
      <c r="C107" t="inlineStr">
        <is>
          <t>Gobierno Territorial</t>
        </is>
      </c>
      <c r="D107" t="inlineStr">
        <is>
          <t>4503</t>
        </is>
      </c>
      <c r="E107" t="inlineStr">
        <is>
          <t>Gestión del riesgo de desastres y emergencias</t>
        </is>
      </c>
      <c r="F107" t="inlineStr">
        <is>
          <t>4503004</t>
        </is>
      </c>
      <c r="G107" t="inlineStr">
        <is>
          <t>Servicio de atención a emergencias y desastres</t>
        </is>
      </c>
      <c r="H107" t="inlineStr">
        <is>
          <t>450300400</t>
        </is>
      </c>
      <c r="I107" t="inlineStr">
        <is>
          <t>Emergencias y desastres atendidas</t>
        </is>
      </c>
      <c r="J107" t="inlineStr">
        <is>
          <t>2024252950024</t>
        </is>
      </c>
      <c r="K107" t="inlineStr">
        <is>
          <t>No</t>
        </is>
      </c>
      <c r="L107" t="inlineStr">
        <is>
          <t>Número</t>
        </is>
      </c>
      <c r="M107">
        <v>1</v>
      </c>
      <c r="N107">
        <v>1</v>
      </c>
      <c r="O107">
        <v>1</v>
      </c>
      <c r="P107">
        <v>1</v>
      </c>
      <c r="Q107">
        <v>1</v>
      </c>
      <c r="R107">
        <v>0</v>
      </c>
      <c r="S107" s="103">
        <v>0</v>
      </c>
      <c r="T107" t="inlineStr">
        <is>
          <t>No se ejecutó en la vigencia</t>
        </is>
      </c>
      <c r="U107" t="inlineStr">
        <is>
          <t xml:space="preserve"> </t>
        </is>
      </c>
      <c r="V107" s="104" t="inlineStr">
        <is>
          <t xml:space="preserve"> </t>
        </is>
      </c>
      <c r="W107" t="inlineStr">
        <is>
          <t>No se encontró ejecución en PIIP</t>
        </is>
      </c>
    </row>
    <row r="108">
      <c r="A108" t="inlineStr">
        <is>
          <t>IP-159, IP-160</t>
        </is>
      </c>
      <c r="B108" t="inlineStr">
        <is>
          <t>45</t>
        </is>
      </c>
      <c r="C108" t="inlineStr">
        <is>
          <t>Gobierno Territorial</t>
        </is>
      </c>
      <c r="D108" t="inlineStr">
        <is>
          <t>4503</t>
        </is>
      </c>
      <c r="E108" t="inlineStr">
        <is>
          <t>Gestión del riesgo de desastres y emergencias</t>
        </is>
      </c>
      <c r="F108" t="inlineStr">
        <is>
          <t>4503022</t>
        </is>
      </c>
      <c r="G108" t="inlineStr">
        <is>
          <t>Obras de infraestructura para la reducción del riesgo de desastres</t>
        </is>
      </c>
      <c r="H108" t="inlineStr">
        <is>
          <t>450302203</t>
        </is>
      </c>
      <c r="I108" t="inlineStr">
        <is>
          <t>Canalizaciones realizadas</t>
        </is>
      </c>
      <c r="J108" t="inlineStr">
        <is>
          <t>2024252950024</t>
        </is>
      </c>
      <c r="K108" t="inlineStr">
        <is>
          <t>Si</t>
        </is>
      </c>
      <c r="L108" t="inlineStr">
        <is>
          <t>Número</t>
        </is>
      </c>
      <c r="M108">
        <v>355</v>
      </c>
      <c r="N108">
        <v>51</v>
      </c>
      <c r="O108">
        <v>102</v>
      </c>
      <c r="P108">
        <v>101</v>
      </c>
      <c r="Q108">
        <v>101</v>
      </c>
      <c r="R108" t="inlineStr">
        <is>
          <t xml:space="preserve"> </t>
        </is>
      </c>
      <c r="S108" s="103" t="inlineStr">
        <is>
          <t xml:space="preserve"> </t>
        </is>
      </c>
      <c r="T108" t="inlineStr">
        <is>
          <t>No se encontró ejecución en PIIP</t>
        </is>
      </c>
      <c r="U108" t="inlineStr">
        <is>
          <t xml:space="preserve"> </t>
        </is>
      </c>
      <c r="V108" s="104" t="inlineStr">
        <is>
          <t xml:space="preserve"> </t>
        </is>
      </c>
      <c r="W108" t="inlineStr">
        <is>
          <t>No se encontró ejecución en PIIP</t>
        </is>
      </c>
    </row>
    <row r="109">
      <c r="A109" t="inlineStr">
        <is>
          <t>IP-161</t>
        </is>
      </c>
      <c r="B109" t="inlineStr">
        <is>
          <t>45</t>
        </is>
      </c>
      <c r="C109" t="inlineStr">
        <is>
          <t>Gobierno Territorial</t>
        </is>
      </c>
      <c r="D109" t="inlineStr">
        <is>
          <t>4503</t>
        </is>
      </c>
      <c r="E109" t="inlineStr">
        <is>
          <t>Gestión del riesgo de desastres y emergencias</t>
        </is>
      </c>
      <c r="F109" t="inlineStr">
        <is>
          <t>4503004</t>
        </is>
      </c>
      <c r="G109" t="inlineStr">
        <is>
          <t>Servicio de atención a emergencias y desastres</t>
        </is>
      </c>
      <c r="H109" t="inlineStr">
        <is>
          <t>450300400</t>
        </is>
      </c>
      <c r="I109" t="inlineStr">
        <is>
          <t>Emergencias y desastres atendidas</t>
        </is>
      </c>
      <c r="J109" t="inlineStr">
        <is>
          <t>2024252950024</t>
        </is>
      </c>
      <c r="K109" t="inlineStr">
        <is>
          <t>Si</t>
        </is>
      </c>
      <c r="L109" t="inlineStr">
        <is>
          <t>Número</t>
        </is>
      </c>
      <c r="M109">
        <v>15</v>
      </c>
      <c r="N109">
        <v>5</v>
      </c>
      <c r="O109">
        <v>5</v>
      </c>
      <c r="P109">
        <v>5</v>
      </c>
      <c r="Q109">
        <v>0</v>
      </c>
      <c r="R109" t="inlineStr">
        <is>
          <t xml:space="preserve"> </t>
        </is>
      </c>
      <c r="S109" s="103" t="inlineStr">
        <is>
          <t xml:space="preserve"> </t>
        </is>
      </c>
      <c r="T109" t="inlineStr">
        <is>
          <t>No se encontró ejecución en PIIP</t>
        </is>
      </c>
      <c r="U109" t="inlineStr">
        <is>
          <t xml:space="preserve"> </t>
        </is>
      </c>
      <c r="V109" s="104" t="inlineStr">
        <is>
          <t xml:space="preserve"> </t>
        </is>
      </c>
      <c r="W109" t="inlineStr">
        <is>
          <t>No se encontró ejecución en PIIP</t>
        </is>
      </c>
    </row>
    <row r="110">
      <c r="A110" t="inlineStr">
        <is>
          <t>IP-162</t>
        </is>
      </c>
      <c r="B110" t="inlineStr">
        <is>
          <t>45</t>
        </is>
      </c>
      <c r="C110" t="inlineStr">
        <is>
          <t>Gobierno Territorial</t>
        </is>
      </c>
      <c r="D110" t="inlineStr">
        <is>
          <t>4503</t>
        </is>
      </c>
      <c r="E110" t="inlineStr">
        <is>
          <t>Gestión del riesgo de desastres y emergencias</t>
        </is>
      </c>
      <c r="F110" t="inlineStr">
        <is>
          <t>4503022</t>
        </is>
      </c>
      <c r="G110" t="inlineStr">
        <is>
          <t>Obras de infraestructura para la reducción del riesgo de desastres</t>
        </is>
      </c>
      <c r="H110" t="inlineStr">
        <is>
          <t>450302203</t>
        </is>
      </c>
      <c r="I110" t="inlineStr">
        <is>
          <t>Canalizaciones realizadas</t>
        </is>
      </c>
      <c r="J110" t="inlineStr">
        <is>
          <t>2024252950025</t>
        </is>
      </c>
      <c r="K110" t="inlineStr">
        <is>
          <t>No</t>
        </is>
      </c>
      <c r="L110" t="inlineStr">
        <is>
          <t>Número</t>
        </is>
      </c>
      <c r="M110">
        <v>2</v>
      </c>
      <c r="N110">
        <v>2</v>
      </c>
      <c r="O110">
        <v>2</v>
      </c>
      <c r="P110">
        <v>2</v>
      </c>
      <c r="Q110">
        <v>2</v>
      </c>
      <c r="R110" t="inlineStr">
        <is>
          <t xml:space="preserve"> </t>
        </is>
      </c>
      <c r="S110" s="103" t="inlineStr">
        <is>
          <t xml:space="preserve"> </t>
        </is>
      </c>
      <c r="T110" t="inlineStr">
        <is>
          <t>No se encontró ejecución en PIIP</t>
        </is>
      </c>
      <c r="U110" t="inlineStr">
        <is>
          <t xml:space="preserve"> </t>
        </is>
      </c>
      <c r="V110" s="104" t="inlineStr">
        <is>
          <t xml:space="preserve"> </t>
        </is>
      </c>
      <c r="W110" t="inlineStr">
        <is>
          <t>No se encontró ejecución en PIIP</t>
        </is>
      </c>
    </row>
    <row r="111">
      <c r="A111" t="inlineStr">
        <is>
          <t>IP-163</t>
        </is>
      </c>
      <c r="B111" t="inlineStr">
        <is>
          <t>45</t>
        </is>
      </c>
      <c r="C111" t="inlineStr">
        <is>
          <t>Gobierno Territorial</t>
        </is>
      </c>
      <c r="D111" t="inlineStr">
        <is>
          <t>4599</t>
        </is>
      </c>
      <c r="E111" t="inlineStr">
        <is>
          <t>Fortalecimiento a la gestión y dirección de la administración pública territorial</t>
        </is>
      </c>
      <c r="F111" t="inlineStr">
        <is>
          <t>4599002</t>
        </is>
      </c>
      <c r="G111" t="inlineStr">
        <is>
          <t>Servicio de saneamiento fiscal y financiero</t>
        </is>
      </c>
      <c r="H111" t="inlineStr">
        <is>
          <t>459900201</t>
        </is>
      </c>
      <c r="I111" t="inlineStr">
        <is>
          <t>Estrategia para el mejoramiento del Índice de Desempeño Fiscal ejecutada</t>
        </is>
      </c>
      <c r="J111" t="inlineStr">
        <is>
          <t>2024252950026</t>
        </is>
      </c>
      <c r="K111" t="inlineStr">
        <is>
          <t>Si</t>
        </is>
      </c>
      <c r="L111" t="inlineStr">
        <is>
          <t>Número</t>
        </is>
      </c>
      <c r="M111">
        <v>2</v>
      </c>
      <c r="N111">
        <v>0</v>
      </c>
      <c r="O111">
        <v>1</v>
      </c>
      <c r="P111">
        <v>1</v>
      </c>
      <c r="Q111">
        <v>0</v>
      </c>
      <c r="R111" t="inlineStr">
        <is>
          <t xml:space="preserve"> </t>
        </is>
      </c>
      <c r="S111" s="103" t="inlineStr">
        <is>
          <t xml:space="preserve"> </t>
        </is>
      </c>
      <c r="T111" t="inlineStr">
        <is>
          <t>No se encontró ejecución en PIIP</t>
        </is>
      </c>
      <c r="U111" t="inlineStr">
        <is>
          <t xml:space="preserve"> </t>
        </is>
      </c>
      <c r="V111" s="104" t="inlineStr">
        <is>
          <t xml:space="preserve"> </t>
        </is>
      </c>
      <c r="W111" t="inlineStr">
        <is>
          <t>No se encontró ejecución en PIIP</t>
        </is>
      </c>
    </row>
    <row r="112">
      <c r="A112" t="inlineStr">
        <is>
          <t>IP-164</t>
        </is>
      </c>
      <c r="B112" t="inlineStr">
        <is>
          <t>45</t>
        </is>
      </c>
      <c r="C112" t="inlineStr">
        <is>
          <t>Gobierno Territorial</t>
        </is>
      </c>
      <c r="D112" t="inlineStr">
        <is>
          <t>4599</t>
        </is>
      </c>
      <c r="E112" t="inlineStr">
        <is>
          <t>Fortalecimiento a la gestión y dirección de la administración pública territorial</t>
        </is>
      </c>
      <c r="F112" t="inlineStr">
        <is>
          <t>4599023</t>
        </is>
      </c>
      <c r="G112" t="inlineStr">
        <is>
          <t>Servicio de Implementación Sistemas de Gestión</t>
        </is>
      </c>
      <c r="H112" t="inlineStr">
        <is>
          <t>459902304</t>
        </is>
      </c>
      <c r="I112" t="inlineStr">
        <is>
          <t>Herramientas implementadas</t>
        </is>
      </c>
      <c r="J112" t="inlineStr">
        <is>
          <t>2024252950026</t>
        </is>
      </c>
      <c r="K112" t="inlineStr">
        <is>
          <t>Si</t>
        </is>
      </c>
      <c r="L112" t="inlineStr">
        <is>
          <t>Número</t>
        </is>
      </c>
      <c r="M112">
        <v>100</v>
      </c>
      <c r="N112">
        <v>20</v>
      </c>
      <c r="O112">
        <v>30</v>
      </c>
      <c r="P112">
        <v>30</v>
      </c>
      <c r="Q112">
        <v>20</v>
      </c>
      <c r="R112" t="inlineStr">
        <is>
          <t xml:space="preserve"> </t>
        </is>
      </c>
      <c r="S112" s="103" t="inlineStr">
        <is>
          <t xml:space="preserve"> </t>
        </is>
      </c>
      <c r="T112" t="inlineStr">
        <is>
          <t>No se encontró ejecución en PIIP</t>
        </is>
      </c>
      <c r="U112" t="inlineStr">
        <is>
          <t xml:space="preserve"> </t>
        </is>
      </c>
      <c r="V112" s="104" t="inlineStr">
        <is>
          <t xml:space="preserve"> </t>
        </is>
      </c>
      <c r="W112" t="inlineStr">
        <is>
          <t>No se encontró ejecución en PIIP</t>
        </is>
      </c>
    </row>
    <row r="113">
      <c r="A113" t="inlineStr">
        <is>
          <t>IP-165, IP-166</t>
        </is>
      </c>
      <c r="B113" t="inlineStr">
        <is>
          <t>45</t>
        </is>
      </c>
      <c r="C113" t="inlineStr">
        <is>
          <t>Gobierno Territorial</t>
        </is>
      </c>
      <c r="D113" t="inlineStr">
        <is>
          <t>4599</t>
        </is>
      </c>
      <c r="E113" t="inlineStr">
        <is>
          <t>Fortalecimiento a la gestión y dirección de la administración pública territorial</t>
        </is>
      </c>
      <c r="F113" t="inlineStr">
        <is>
          <t>4599038</t>
        </is>
      </c>
      <c r="G113" t="inlineStr">
        <is>
          <t>Servicio de apoyo financiero para el fortalecimiento del talento humano</t>
        </is>
      </c>
      <c r="H113" t="inlineStr">
        <is>
          <t>459903800</t>
        </is>
      </c>
      <c r="I113" t="inlineStr">
        <is>
          <t>Funcionarios apoyados</t>
        </is>
      </c>
      <c r="J113" t="inlineStr">
        <is>
          <t>2024252950026</t>
        </is>
      </c>
      <c r="K113" t="inlineStr">
        <is>
          <t>Si</t>
        </is>
      </c>
      <c r="L113" t="inlineStr">
        <is>
          <t>Número</t>
        </is>
      </c>
      <c r="M113">
        <v>8</v>
      </c>
      <c r="N113">
        <v>1</v>
      </c>
      <c r="O113">
        <v>3</v>
      </c>
      <c r="P113">
        <v>3</v>
      </c>
      <c r="Q113">
        <v>1</v>
      </c>
      <c r="R113" t="inlineStr">
        <is>
          <t xml:space="preserve"> </t>
        </is>
      </c>
      <c r="S113" s="103" t="inlineStr">
        <is>
          <t xml:space="preserve"> </t>
        </is>
      </c>
      <c r="T113" t="inlineStr">
        <is>
          <t>No se encontró ejecución en PIIP</t>
        </is>
      </c>
      <c r="U113" t="inlineStr">
        <is>
          <t xml:space="preserve"> </t>
        </is>
      </c>
      <c r="V113" s="104" t="inlineStr">
        <is>
          <t xml:space="preserve"> </t>
        </is>
      </c>
      <c r="W113" t="inlineStr">
        <is>
          <t>No se encontró ejecución en PIIP</t>
        </is>
      </c>
    </row>
    <row r="114">
      <c r="A114" t="inlineStr">
        <is>
          <t>IP-167, IP-169</t>
        </is>
      </c>
      <c r="B114" t="inlineStr">
        <is>
          <t>45</t>
        </is>
      </c>
      <c r="C114" t="inlineStr">
        <is>
          <t>Gobierno Territorial</t>
        </is>
      </c>
      <c r="D114" t="inlineStr">
        <is>
          <t>4599</t>
        </is>
      </c>
      <c r="E114" t="inlineStr">
        <is>
          <t>Fortalecimiento a la gestión y dirección de la administración pública territorial</t>
        </is>
      </c>
      <c r="F114" t="inlineStr">
        <is>
          <t>4599031</t>
        </is>
      </c>
      <c r="G114" t="inlineStr">
        <is>
          <t>Servicio de asistencia técnica</t>
        </is>
      </c>
      <c r="H114" t="inlineStr">
        <is>
          <t>459903102</t>
        </is>
      </c>
      <c r="I114" t="inlineStr">
        <is>
          <t>Dependencias asistidas técnicamente</t>
        </is>
      </c>
      <c r="J114" t="inlineStr">
        <is>
          <t>2024252950026</t>
        </is>
      </c>
      <c r="K114" t="inlineStr">
        <is>
          <t>Si</t>
        </is>
      </c>
      <c r="L114" t="inlineStr">
        <is>
          <t>Número</t>
        </is>
      </c>
      <c r="M114">
        <v>23</v>
      </c>
      <c r="N114">
        <v>6</v>
      </c>
      <c r="O114">
        <v>6</v>
      </c>
      <c r="P114">
        <v>6</v>
      </c>
      <c r="Q114">
        <v>5</v>
      </c>
      <c r="R114" t="inlineStr">
        <is>
          <t xml:space="preserve"> </t>
        </is>
      </c>
      <c r="S114" s="103" t="inlineStr">
        <is>
          <t xml:space="preserve"> </t>
        </is>
      </c>
      <c r="T114" t="inlineStr">
        <is>
          <t>No se encontró ejecución en PIIP</t>
        </is>
      </c>
      <c r="U114" t="inlineStr">
        <is>
          <t xml:space="preserve"> </t>
        </is>
      </c>
      <c r="V114" s="104" t="inlineStr">
        <is>
          <t xml:space="preserve"> </t>
        </is>
      </c>
      <c r="W114" t="inlineStr">
        <is>
          <t>No se encontró ejecución en PIIP</t>
        </is>
      </c>
    </row>
    <row r="115">
      <c r="A115" t="inlineStr">
        <is>
          <t>IP-168</t>
        </is>
      </c>
      <c r="B115" t="inlineStr">
        <is>
          <t>45</t>
        </is>
      </c>
      <c r="C115" t="inlineStr">
        <is>
          <t>Gobierno Territorial</t>
        </is>
      </c>
      <c r="D115" t="inlineStr">
        <is>
          <t>4599</t>
        </is>
      </c>
      <c r="E115" t="inlineStr">
        <is>
          <t>Fortalecimiento a la gestión y dirección de la administración pública territorial</t>
        </is>
      </c>
      <c r="F115" t="inlineStr">
        <is>
          <t>4599031</t>
        </is>
      </c>
      <c r="G115" t="inlineStr">
        <is>
          <t>Servicio de asistencia técnica</t>
        </is>
      </c>
      <c r="H115" t="inlineStr">
        <is>
          <t>459903102</t>
        </is>
      </c>
      <c r="I115" t="inlineStr">
        <is>
          <t>Dependencias asistidas técnicamente</t>
        </is>
      </c>
      <c r="J115" t="inlineStr">
        <is>
          <t>2024252950026</t>
        </is>
      </c>
      <c r="K115" t="inlineStr">
        <is>
          <t>No</t>
        </is>
      </c>
      <c r="L115" t="inlineStr">
        <is>
          <t>Número</t>
        </is>
      </c>
      <c r="M115">
        <v>1</v>
      </c>
      <c r="N115">
        <v>1</v>
      </c>
      <c r="O115">
        <v>1</v>
      </c>
      <c r="P115">
        <v>1</v>
      </c>
      <c r="Q115">
        <v>1</v>
      </c>
      <c r="R115" t="inlineStr">
        <is>
          <t xml:space="preserve"> </t>
        </is>
      </c>
      <c r="S115" s="103" t="inlineStr">
        <is>
          <t xml:space="preserve"> </t>
        </is>
      </c>
      <c r="T115" t="inlineStr">
        <is>
          <t>No se encontró ejecución en PIIP</t>
        </is>
      </c>
      <c r="U115" t="inlineStr">
        <is>
          <t xml:space="preserve"> </t>
        </is>
      </c>
      <c r="V115" s="104" t="inlineStr">
        <is>
          <t xml:space="preserve"> </t>
        </is>
      </c>
      <c r="W115" t="inlineStr">
        <is>
          <t>No se encontró ejecución en PIIP</t>
        </is>
      </c>
    </row>
    <row r="116">
      <c r="A116" t="inlineStr">
        <is>
          <t>IP-170</t>
        </is>
      </c>
      <c r="B116" t="inlineStr">
        <is>
          <t>45</t>
        </is>
      </c>
      <c r="C116" t="inlineStr">
        <is>
          <t>Gobierno Territorial</t>
        </is>
      </c>
      <c r="D116" t="inlineStr">
        <is>
          <t>4599</t>
        </is>
      </c>
      <c r="E116" t="inlineStr">
        <is>
          <t>Fortalecimiento a la gestión y dirección de la administración pública territorial</t>
        </is>
      </c>
      <c r="F116" t="inlineStr">
        <is>
          <t>4599017</t>
        </is>
      </c>
      <c r="G116" t="inlineStr">
        <is>
          <t>Servicio de gestión documental</t>
        </is>
      </c>
      <c r="H116" t="inlineStr">
        <is>
          <t>459901701</t>
        </is>
      </c>
      <c r="I116" t="inlineStr">
        <is>
          <t>Archivos gestionados</t>
        </is>
      </c>
      <c r="J116" t="inlineStr">
        <is>
          <t>2024252950026</t>
        </is>
      </c>
      <c r="K116" t="inlineStr">
        <is>
          <t>Si</t>
        </is>
      </c>
      <c r="L116" t="inlineStr">
        <is>
          <t>Número</t>
        </is>
      </c>
      <c r="M116">
        <v>50</v>
      </c>
      <c r="N116">
        <v>9</v>
      </c>
      <c r="O116">
        <v>16</v>
      </c>
      <c r="P116">
        <v>16</v>
      </c>
      <c r="Q116">
        <v>9</v>
      </c>
      <c r="R116" t="inlineStr">
        <is>
          <t xml:space="preserve"> </t>
        </is>
      </c>
      <c r="S116" s="103" t="inlineStr">
        <is>
          <t xml:space="preserve"> </t>
        </is>
      </c>
      <c r="T116" t="inlineStr">
        <is>
          <t>No se encontró ejecución en PIIP</t>
        </is>
      </c>
      <c r="U116" t="inlineStr">
        <is>
          <t xml:space="preserve"> </t>
        </is>
      </c>
      <c r="V116" s="104" t="inlineStr">
        <is>
          <t xml:space="preserve"> </t>
        </is>
      </c>
      <c r="W116" t="inlineStr">
        <is>
          <t>No se encontró ejecución en PIIP</t>
        </is>
      </c>
    </row>
    <row r="117">
      <c r="A117" t="inlineStr">
        <is>
          <t>IP-171</t>
        </is>
      </c>
      <c r="B117" t="inlineStr">
        <is>
          <t>45</t>
        </is>
      </c>
      <c r="C117" t="inlineStr">
        <is>
          <t>Gobierno Territorial</t>
        </is>
      </c>
      <c r="D117" t="inlineStr">
        <is>
          <t>4599</t>
        </is>
      </c>
      <c r="E117" t="inlineStr">
        <is>
          <t>Fortalecimiento a la gestión y dirección de la administración pública territorial</t>
        </is>
      </c>
      <c r="F117" t="inlineStr">
        <is>
          <t>4599023</t>
        </is>
      </c>
      <c r="G117" t="inlineStr">
        <is>
          <t>Servicio de Implementación Sistemas de Gestión</t>
        </is>
      </c>
      <c r="H117" t="inlineStr">
        <is>
          <t>459902304</t>
        </is>
      </c>
      <c r="I117" t="inlineStr">
        <is>
          <t>Herramientas implementadas</t>
        </is>
      </c>
      <c r="J117" t="inlineStr">
        <is>
          <t>2024252950027</t>
        </is>
      </c>
      <c r="K117" t="inlineStr">
        <is>
          <t>Si</t>
        </is>
      </c>
      <c r="L117" t="inlineStr">
        <is>
          <t>Número</t>
        </is>
      </c>
      <c r="M117">
        <v>1</v>
      </c>
      <c r="N117">
        <v>0.5</v>
      </c>
      <c r="O117">
        <v>0.5</v>
      </c>
      <c r="P117">
        <v>0</v>
      </c>
      <c r="Q117">
        <v>0</v>
      </c>
      <c r="R117" t="inlineStr">
        <is>
          <t xml:space="preserve"> </t>
        </is>
      </c>
      <c r="S117" s="103" t="inlineStr">
        <is>
          <t xml:space="preserve"> </t>
        </is>
      </c>
      <c r="T117" t="inlineStr">
        <is>
          <t>No se encontró ejecución en PIIP</t>
        </is>
      </c>
      <c r="U117" t="inlineStr">
        <is>
          <t xml:space="preserve"> </t>
        </is>
      </c>
      <c r="V117" s="104" t="inlineStr">
        <is>
          <t xml:space="preserve"> </t>
        </is>
      </c>
      <c r="W117" t="inlineStr">
        <is>
          <t>No se encontró ejecución en PIIP</t>
        </is>
      </c>
    </row>
    <row r="118">
      <c r="A118" t="inlineStr">
        <is>
          <t>IP-172</t>
        </is>
      </c>
      <c r="B118" t="inlineStr">
        <is>
          <t>40</t>
        </is>
      </c>
      <c r="C118" t="inlineStr">
        <is>
          <t>Vivienda, ciudad y territorio</t>
        </is>
      </c>
      <c r="D118" t="inlineStr">
        <is>
          <t>4003</t>
        </is>
      </c>
      <c r="E118" t="inlineStr">
        <is>
          <t>Acceso de la población a los servicios de agua potable y saneamiento básico</t>
        </is>
      </c>
      <c r="F118" t="inlineStr">
        <is>
          <t>4003055</t>
        </is>
      </c>
      <c r="G118" t="inlineStr">
        <is>
          <t>Servicio de asistencia técnica</t>
        </is>
      </c>
      <c r="H118" t="inlineStr">
        <is>
          <t>400305500</t>
        </is>
      </c>
      <c r="I118" t="inlineStr">
        <is>
          <t>Asistencias técnicas realizadas</t>
        </is>
      </c>
      <c r="J118" t="inlineStr">
        <is>
          <t>2024252950027</t>
        </is>
      </c>
      <c r="K118" t="inlineStr">
        <is>
          <t>Si</t>
        </is>
      </c>
      <c r="L118" t="inlineStr">
        <is>
          <t>Número</t>
        </is>
      </c>
      <c r="M118">
        <v>40</v>
      </c>
      <c r="N118">
        <v>10</v>
      </c>
      <c r="O118">
        <v>10</v>
      </c>
      <c r="P118">
        <v>10</v>
      </c>
      <c r="Q118">
        <v>10</v>
      </c>
      <c r="R118" t="inlineStr">
        <is>
          <t xml:space="preserve"> </t>
        </is>
      </c>
      <c r="S118" s="103" t="inlineStr">
        <is>
          <t xml:space="preserve"> </t>
        </is>
      </c>
      <c r="T118" t="inlineStr">
        <is>
          <t>No se encontró ejecución en PIIP</t>
        </is>
      </c>
      <c r="U118" t="inlineStr">
        <is>
          <t xml:space="preserve"> </t>
        </is>
      </c>
      <c r="V118" s="104" t="inlineStr">
        <is>
          <t xml:space="preserve"> </t>
        </is>
      </c>
      <c r="W118" t="inlineStr">
        <is>
          <t>No se encontró ejecución en PIIP</t>
        </is>
      </c>
    </row>
    <row r="119">
      <c r="A119" t="inlineStr">
        <is>
          <t>IP-173</t>
        </is>
      </c>
      <c r="B119" t="inlineStr">
        <is>
          <t>40</t>
        </is>
      </c>
      <c r="C119" t="inlineStr">
        <is>
          <t>Vivienda, ciudad y territorio</t>
        </is>
      </c>
      <c r="D119" t="inlineStr">
        <is>
          <t>4003</t>
        </is>
      </c>
      <c r="E119" t="inlineStr">
        <is>
          <t>Acceso de la población a los servicios de agua potable y saneamiento básico</t>
        </is>
      </c>
      <c r="F119" t="inlineStr">
        <is>
          <t>4003047</t>
        </is>
      </c>
      <c r="G119" t="inlineStr">
        <is>
          <t>Servicio de apoyo financiero para subsidios al consumo en los servicios públicos domiciliarios</t>
        </is>
      </c>
      <c r="H119" t="inlineStr">
        <is>
          <t>400304701</t>
        </is>
      </c>
      <c r="I119" t="inlineStr">
        <is>
          <t>Recursos entregados en subsidios al consumo</t>
        </is>
      </c>
      <c r="J119" t="inlineStr">
        <is>
          <t>2024252950027</t>
        </is>
      </c>
      <c r="K119" t="inlineStr">
        <is>
          <t>Si</t>
        </is>
      </c>
      <c r="L119" t="inlineStr">
        <is>
          <t>Pesos</t>
        </is>
      </c>
      <c r="M119">
        <v>80</v>
      </c>
      <c r="N119">
        <v>10</v>
      </c>
      <c r="O119">
        <v>20</v>
      </c>
      <c r="P119">
        <v>30</v>
      </c>
      <c r="Q119">
        <v>20</v>
      </c>
      <c r="R119" t="inlineStr">
        <is>
          <t xml:space="preserve"> </t>
        </is>
      </c>
      <c r="S119" s="103" t="inlineStr">
        <is>
          <t xml:space="preserve"> </t>
        </is>
      </c>
      <c r="T119" t="inlineStr">
        <is>
          <t>No se encontró ejecución en PIIP</t>
        </is>
      </c>
      <c r="U119" t="inlineStr">
        <is>
          <t xml:space="preserve"> </t>
        </is>
      </c>
      <c r="V119" s="104" t="inlineStr">
        <is>
          <t xml:space="preserve"> </t>
        </is>
      </c>
      <c r="W119" t="inlineStr">
        <is>
          <t>No se encontró ejecución en PIIP</t>
        </is>
      </c>
    </row>
    <row r="120">
      <c r="A120" t="inlineStr">
        <is>
          <t>IP-174</t>
        </is>
      </c>
      <c r="B120" t="inlineStr">
        <is>
          <t>40</t>
        </is>
      </c>
      <c r="C120" t="inlineStr">
        <is>
          <t>Vivienda, ciudad y territorio</t>
        </is>
      </c>
      <c r="D120" t="inlineStr">
        <is>
          <t>4003</t>
        </is>
      </c>
      <c r="E120" t="inlineStr">
        <is>
          <t>Acceso de la población a los servicios de agua potable y saneamiento básico</t>
        </is>
      </c>
      <c r="F120" t="inlineStr">
        <is>
          <t>4003042</t>
        </is>
      </c>
      <c r="G120" t="inlineStr">
        <is>
          <t>Estudios de pre inversión e inversión</t>
        </is>
      </c>
      <c r="H120" t="inlineStr">
        <is>
          <t>400304202</t>
        </is>
      </c>
      <c r="I120" t="inlineStr">
        <is>
          <t>Diseños realizados</t>
        </is>
      </c>
      <c r="J120" t="inlineStr">
        <is>
          <t>2024252950027</t>
        </is>
      </c>
      <c r="K120" t="inlineStr">
        <is>
          <t>Si</t>
        </is>
      </c>
      <c r="L120" t="inlineStr">
        <is>
          <t>Número</t>
        </is>
      </c>
      <c r="M120">
        <v>500</v>
      </c>
      <c r="N120">
        <v>50</v>
      </c>
      <c r="O120">
        <v>200</v>
      </c>
      <c r="P120">
        <v>200</v>
      </c>
      <c r="Q120">
        <v>50</v>
      </c>
      <c r="R120" t="inlineStr">
        <is>
          <t xml:space="preserve"> </t>
        </is>
      </c>
      <c r="S120" s="103" t="inlineStr">
        <is>
          <t xml:space="preserve"> </t>
        </is>
      </c>
      <c r="T120" t="inlineStr">
        <is>
          <t>No se encontró ejecución en PIIP</t>
        </is>
      </c>
      <c r="U120" t="inlineStr">
        <is>
          <t xml:space="preserve"> </t>
        </is>
      </c>
      <c r="V120" s="104" t="inlineStr">
        <is>
          <t xml:space="preserve"> </t>
        </is>
      </c>
      <c r="W120" t="inlineStr">
        <is>
          <t>No se encontró ejecución en PIIP</t>
        </is>
      </c>
    </row>
    <row r="121">
      <c r="S121" s="103"/>
      <c r="V121" s="104"/>
    </row>
  </sheetData>
  <mergeCells count="6">
    <mergeCell ref="U6:W6"/>
    <mergeCell ref="N6:Q6"/>
    <mergeCell ref="A2:M2"/>
    <mergeCell ref="A3:M3"/>
    <mergeCell ref="R6:T6"/>
    <mergeCell ref="A4:K4"/>
  </mergeCells>
  <conditionalFormatting sqref="S8:S1048576">
    <cfRule type="cellIs" dxfId="1" priority="1" operator="between">
      <formula>1.0000001</formula>
      <formula>999999999</formula>
    </cfRule>
  </conditionalFormatting>
  <conditionalFormatting sqref="S8:S1048576">
    <cfRule type="colorScale" priority="3">
      <colorScale>
        <cfvo type="num" val="0"/>
        <cfvo type="num" val="0.5"/>
        <cfvo type="num" val="1"/>
        <color rgb="FFFB9985"/>
        <color rgb="FFFCF797"/>
        <color rgb="FFADEC9E"/>
      </colorScale>
    </cfRule>
  </conditionalFormatting>
  <conditionalFormatting sqref="V8:V1048576">
    <cfRule type="cellIs" dxfId="0" priority="2" operator="between">
      <formula>1.00000001</formula>
      <formula>9999999999</formula>
    </cfRule>
  </conditionalFormatting>
  <conditionalFormatting sqref="V8:V1048576">
    <cfRule type="colorScale" priority="5">
      <colorScale>
        <cfvo type="num" val="0"/>
        <cfvo type="num" val="0.5"/>
        <cfvo type="num" val="1"/>
        <color rgb="FFFB9985"/>
        <color rgb="FFFCF797"/>
        <color rgb="FFADEC9E"/>
      </colorScale>
    </cfRule>
  </conditionalFormatting>
  <pageMargins left="0.7" right="0.7" top="0.75" bottom="0.75" header="0.3" footer="0.3"/>
  <pageSetup orientation="portrait" r:id="rId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Company/>
  <DocSecurity>0</DocSecurity>
  <HeadingPairs>
    <vt:vector size="2" baseType="variant">
      <vt:variant>
        <vt:lpstr>Hojas de cálculo</vt:lpstr>
      </vt:variant>
      <vt:variant>
        <vt:i4>3</vt:i4>
      </vt:variant>
    </vt:vector>
  </HeadingPairs>
  <HyperlinksChanged>false</HyperlinksChanged>
  <LinksUpToDate>false</LinksUpToDate>
  <ScaleCrop>false</ScaleCrop>
  <SharedDoc>false</SharedDoc>
  <TitlesOfParts>
    <vt:vector size="3" baseType="lpstr">
      <vt:lpstr>Resumen</vt:lpstr>
      <vt:lpstr>Detalle seguimiento financiero</vt:lpstr>
      <vt:lpstr>Detalle seguimiento físico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Andres Gallegos Vargas</dc:creator>
  <cp:lastModifiedBy>German Andres Gallegos Vargas</cp:lastModifiedBy>
  <dcterms:created xsi:type="dcterms:W3CDTF">2025-07-07T13:41:15Z</dcterms:created>
  <dcterms:modified xsi:type="dcterms:W3CDTF">2025-11-20T23:01:40Z</dcterms:modified>
</cp:coreProperties>
</file>