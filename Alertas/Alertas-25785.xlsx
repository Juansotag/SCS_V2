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<sst xmlns="http://schemas.openxmlformats.org/spreadsheetml/2006/main" count="135" uniqueCount="135">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</sst>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86708646-06F0-44BF-B40F-8187AA71B70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2C7022E3-3026-45EE-BBAA-C1490968329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78AA829D-06C3-44E9-A13E-C43AE53F1AC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D7D10F66-7E09-4EED-955D-B625B5DB552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C8A54928-30D5-44DC-BD36-028F3AE9CD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97172F8E-1965-4A90-9198-0988BC6E696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49611170-3CBD-425A-A8EC-D314CB7C08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F109D7FC-81F2-4199-BD85-F88BDFB7278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E02D7E04-CD3E-4E75-82C0-2F3E4DFC147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AF052F5F-396D-4EEE-999B-B986DD033C2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D5E2608F-9C10-499B-B8BA-E305709532B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39E62150-EF8F-4D6B-844D-9C62C347D3B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264EBC48-1D27-4E15-8F61-8E11FCE406C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AD24E199-D8D9-4065-BBCE-418B024AA6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02388BC9-250E-4D3A-B0F9-19857A5FF0D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24F79D1B-D92E-41AB-A845-0C3F366CF11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C5DCE0FB-86E1-467A-9A09-53027ACFD2A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2B424381-83F0-4D59-BEFC-C48692F2295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CD61F6A7-3480-4FDE-99C1-7161DF8A22F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AF31F109-E2A0-474B-B3A5-3A9A5DB496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060257C4-140B-42A8-A2D9-38EFBC2E755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C94BC16-5003-41C8-B7A4-4542297968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E6150B31-7895-4C1C-8C69-A84BDDD5300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C19A5466-F034-47EE-941A-5F0A3869D00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5947835D-2CD4-4DFF-BC64-45F77FD0F88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52049E1F-F3E6-430C-AD4C-7504BB5ABB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EFD07103-F02D-40DF-92C7-414533F835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8D9C4F3B-D655-4FC5-A40C-231B90085D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5C0CDC46-A759-4ED3-A91F-E795A25EAC5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1DA2A256-7981-40DD-B0CD-1B491907602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52AFE0E4-2604-44D2-A878-1E251E0083B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EFD0834-552C-445A-84EF-D2E10976A9C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25901E1D-616C-4851-B06C-C50099DBE4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95F31C71-4B0F-44BE-A7A2-79BFF34C705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4543A26A-DD93-4AE9-B989-8EA46ECEE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87A535A8-5761-43E1-B6E0-9EA25E7B8F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B9C2BA72-5580-45B0-8CE4-7E2D896CE4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D9951E17-7184-41F5-8859-B856DFC7389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0791B2CB-C2DC-4BCB-9A09-90D145631D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7F6CE039-90F7-471C-9102-3B58031251D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E1E466B3-A6F8-46A9-8271-B2855043A5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27836B91-7814-48CE-8062-A6EF713AC21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2183AA1C-B8ED-4273-BBAC-88BDCAE4EC8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381D3F61-5D17-48B1-8110-EDB4FC3A8F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2C84284-2FA7-4373-85D0-589B521ADF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236AD458-E866-4359-8F6D-A09CD15AD8E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E89234FE-5B6A-4C7D-B29E-452F182B50B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64806DC4-E469-4B7B-9803-714270098F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621E1A9D-54EA-4323-A6BB-446764CDD8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B76DF89F-72E3-4BA4-8D08-089348A021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650441" y="22860000"/>
          <a:ext cx="4123765" cy="1524000"/>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650441" y="17111382"/>
          <a:ext cx="4123765" cy="1524000"/>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43000" y="27006176"/>
          <a:ext cx="4359088" cy="32384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143" totalsRowCount="0" totalsRowShown="0">
  <autoFilter ref="A7:X143"/>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153" totalsRowCount="0" totalsRowShown="0">
  <autoFilter ref="A7:W153"/>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Plan de Desarrollo Construyendo Juntos</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Tabio,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Construyendo Juntos con Crecimiento Económico</t>
        </is>
      </c>
      <c r="Q7" s="6">
        <v>398.5</v>
      </c>
      <c r="R7" s="6">
        <v>788.0915</v>
      </c>
      <c r="S7" s="6">
        <v>566.124161</v>
      </c>
      <c r="T7" s="6">
        <v>501.89515825</v>
      </c>
      <c r="U7" s="7">
        <f t="shared" ref="U7" si="0">SUM(Q7:T7)</f>
        <v>0</v>
      </c>
      <c r="V7" s="8">
        <f t="shared" ref="V7:V70" si="1">IF(P7="","",INDEX(Q7:U7,MATCH($D$16,$C$23:$G$23,0)))</f>
        <v>0</v>
      </c>
      <c r="W7" s="42" t="str">
        <f>IFERROR(IF(P7="","",CONCATENATE(TEXT(V7,$U$2)," (",TEXT(V7*100/$I$23,$U$3),"%)")),"")</f>
      </c>
    </row>
    <row r="8" spans="2:28" x14ac:dyDescent="0.25">
      <c r="P8" s="6" t="inlineStr">
        <is>
          <t>Construyendo Juntos con Desarrollo Sostenible</t>
        </is>
      </c>
      <c r="Q8" s="6">
        <v>716.6</v>
      </c>
      <c r="R8" s="6">
        <v>1371.653872</v>
      </c>
      <c r="S8" s="6">
        <v>1173.018507</v>
      </c>
      <c r="T8" s="6">
        <v>1078.86010238</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Construyendo Juntos con Infraestructura Sostenible</t>
        </is>
      </c>
      <c r="Q9" s="6">
        <v>10258.910441</v>
      </c>
      <c r="R9" s="6">
        <v>16896.129854</v>
      </c>
      <c r="S9" s="6">
        <v>3987.059142</v>
      </c>
      <c r="T9" s="6">
        <v>4280.056614</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t="inlineStr">
        <is>
          <t>Construyendo Juntos con Planificacion Territorial</t>
        </is>
      </c>
      <c r="Q10" s="6">
        <v>1552.897809</v>
      </c>
      <c r="R10" s="6">
        <v>2604.318591</v>
      </c>
      <c r="S10" s="6">
        <v>1988.428977</v>
      </c>
      <c r="T10" s="6">
        <v>2007.886681</v>
      </c>
      <c r="U10" s="7">
        <f t="shared" si="4"/>
        <v>0</v>
      </c>
      <c r="V10" s="8" t="str">
        <f t="shared" si="1"/>
      </c>
      <c r="W10" s="42" t="str">
        <f t="shared" si="3"/>
      </c>
    </row>
    <row r="11" spans="2:28" x14ac:dyDescent="0.25">
      <c r="P11" s="6" t="inlineStr">
        <is>
          <t>Construyendo Juntos con Tejido Social</t>
        </is>
      </c>
      <c r="Q11" s="6">
        <v>11264.81565</v>
      </c>
      <c r="R11" s="6">
        <v>17000.45564</v>
      </c>
      <c r="S11" s="6">
        <v>13200.981906</v>
      </c>
      <c r="T11" s="6">
        <v>14804.153894</v>
      </c>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c r="Q12" s="6"/>
      <c r="R12" s="6"/>
      <c r="S12" s="6"/>
      <c r="T12" s="6"/>
      <c r="U12" s="7">
        <f t="shared" si="4"/>
        <v>0</v>
      </c>
      <c r="V12" s="8" t="str">
        <f t="shared" si="1"/>
      </c>
      <c r="W12" s="42" t="str">
        <f t="shared" si="3"/>
      </c>
    </row>
    <row r="13" spans="2:28" x14ac:dyDescent="0.25">
      <c r="P13" s="6"/>
      <c r="Q13" s="6"/>
      <c r="R13" s="6"/>
      <c r="S13" s="6"/>
      <c r="T13" s="6"/>
      <c r="U13" s="7">
        <f t="shared" si="4"/>
        <v>0</v>
      </c>
      <c r="V13" s="8" t="str">
        <f t="shared" si="1"/>
      </c>
      <c r="W13" s="42" t="str">
        <f t="shared" si="3"/>
      </c>
    </row>
    <row r="14" spans="2:28" x14ac:dyDescent="0.25">
      <c r="B14" s="28" t="s">
        <v>4</v>
      </c>
      <c r="C14" s="28"/>
      <c r="D14" s="28"/>
      <c r="E14" s="28"/>
      <c r="F14" s="28"/>
      <c r="G14" s="28"/>
      <c r="H14" s="28"/>
      <c r="I14" s="28"/>
      <c r="U14" s="7">
        <f t="shared" si="4"/>
        <v>0</v>
      </c>
      <c r="V14" s="8" t="str">
        <f t="shared" si="1"/>
      </c>
      <c r="W14" s="42" t="str">
        <f t="shared" si="3"/>
      </c>
    </row>
    <row r="15" spans="2:28" x14ac:dyDescent="0.25">
      <c r="B15" s="28"/>
      <c r="C15" s="29"/>
      <c r="D15" s="28"/>
      <c r="E15" s="28"/>
      <c r="F15" s="28"/>
      <c r="G15" s="28"/>
      <c r="H15" s="35"/>
      <c r="I15" s="35"/>
      <c r="J15" s="3"/>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154</v>
      </c>
      <c r="D24" s="14">
        <v>171.91</v>
      </c>
      <c r="E24" s="14">
        <v>234.944775</v>
      </c>
      <c r="F24" s="14">
        <v>140.501802</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329.09</v>
      </c>
      <c r="D25" s="14">
        <v>704.151249</v>
      </c>
      <c r="E25" s="14">
        <v>441.662475</v>
      </c>
      <c r="F25" s="14">
        <v>479.204325</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52</v>
      </c>
      <c r="D26" s="14">
        <v>75.845</v>
      </c>
      <c r="E26" s="14">
        <v>61.2157</v>
      </c>
      <c r="F26" s="14">
        <v>66.419034</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323</v>
      </c>
      <c r="D27" s="9">
        <v>686.749</v>
      </c>
      <c r="E27" s="9">
        <v>477.243674</v>
      </c>
      <c r="F27" s="9">
        <v>405.45983025</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1169.312192</v>
      </c>
      <c r="D28" s="9">
        <v>2142.208114</v>
      </c>
      <c r="E28" s="9">
        <v>1607.168395</v>
      </c>
      <c r="F28" s="9">
        <v>1951.620276</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703.296257</v>
      </c>
      <c r="D30" s="9">
        <v>1605.817111</v>
      </c>
      <c r="E30" s="9">
        <v>869.437934</v>
      </c>
      <c r="F30" s="9">
        <v>884.303358</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1274.681201</v>
      </c>
      <c r="D31" s="9">
        <v>1540.840669</v>
      </c>
      <c r="E31" s="9">
        <v>1382.864075</v>
      </c>
      <c r="F31" s="9">
        <v>1497.005338</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4139.350572</v>
      </c>
      <c r="D32" s="9">
        <v>3774.411214</v>
      </c>
      <c r="E32" s="9">
        <v>2525.57777</v>
      </c>
      <c r="F32" s="9">
        <v>2563.11625438</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577.226</v>
      </c>
      <c r="D33" s="9">
        <v>3398.735642</v>
      </c>
      <c r="E33" s="9">
        <v>782.599874</v>
      </c>
      <c r="F33" s="9">
        <v>833.334467</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0.5</v>
      </c>
      <c r="D34" s="9">
        <v>0</v>
      </c>
      <c r="E34" s="9">
        <v>0</v>
      </c>
      <c r="F34" s="9">
        <v>0</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0</v>
      </c>
      <c r="D35" s="9">
        <v>0</v>
      </c>
      <c r="E35" s="9">
        <v>0</v>
      </c>
      <c r="F35" s="9">
        <v>0</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1200.5</v>
      </c>
      <c r="D36" s="9">
        <v>1920.730417</v>
      </c>
      <c r="E36" s="9">
        <v>1413.258612</v>
      </c>
      <c r="F36" s="9">
        <v>1530.88399</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0</v>
      </c>
      <c r="D37" s="9">
        <v>0</v>
      </c>
      <c r="E37" s="9">
        <v>0</v>
      </c>
      <c r="F37" s="9">
        <v>0</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7540.3</v>
      </c>
      <c r="D38" s="9">
        <v>8312.854104</v>
      </c>
      <c r="E38" s="9">
        <v>8558.911628</v>
      </c>
      <c r="F38" s="9">
        <v>9590.890455</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145.5</v>
      </c>
      <c r="D39" s="9">
        <v>275.995</v>
      </c>
      <c r="E39" s="9">
        <v>171.285737</v>
      </c>
      <c r="F39" s="9">
        <v>182.192724</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23.5</v>
      </c>
      <c r="D40" s="9">
        <v>25.4975</v>
      </c>
      <c r="E40" s="9">
        <v>27.664787</v>
      </c>
      <c r="F40" s="9">
        <v>30.016294</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5239.613441</v>
      </c>
      <c r="D41" s="9">
        <v>10223.483618</v>
      </c>
      <c r="E41" s="9">
        <v>849.384117</v>
      </c>
      <c r="F41" s="9">
        <v>881.883122</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1319.854237</v>
      </c>
      <c r="D42" s="9">
        <v>3801.420819</v>
      </c>
      <c r="E42" s="9">
        <v>1512.39314</v>
      </c>
      <c r="F42" s="9">
        <v>1636.02118</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5955.192809</v>
      </c>
      <c r="D43" s="9">
        <v>12675.562873</v>
      </c>
      <c r="E43" s="9">
        <v>7816.093504</v>
      </c>
      <c r="F43" s="9">
        <v>7983.60249163</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439.063747</v>
      </c>
      <c r="D44" s="9">
        <v>670.955771</v>
      </c>
      <c r="E44" s="9">
        <v>516.876818</v>
      </c>
      <c r="F44" s="9">
        <v>560.811347</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2751.8</v>
      </c>
      <c r="D45" s="9">
        <v>3080.22472</v>
      </c>
      <c r="E45" s="9">
        <v>3242.410003</v>
      </c>
      <c r="F45" s="9">
        <v>3517.766208</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94.596257</v>
      </c>
      <c r="D46" s="9">
        <v>147.577912</v>
      </c>
      <c r="E46" s="9">
        <v>111.361078</v>
      </c>
      <c r="F46" s="9">
        <v>120.82677</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70.947192</v>
      </c>
      <c r="D47" s="9">
        <v>110.683435</v>
      </c>
      <c r="E47" s="9">
        <v>83.520808</v>
      </c>
      <c r="F47" s="9">
        <v>70.947192</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825.480441</v>
      </c>
      <c r="D48" s="9">
        <v>1582.019345</v>
      </c>
      <c r="E48" s="9">
        <v>971.776209</v>
      </c>
      <c r="F48" s="9">
        <v>1057.327182</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626.113</v>
      </c>
      <c r="D49" s="9">
        <v>1333.173971</v>
      </c>
      <c r="E49" s="9">
        <v>958.550669</v>
      </c>
      <c r="F49" s="9">
        <v>928.550669</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71.253519</v>
      </c>
      <c r="D50" s="9">
        <v>109.531681</v>
      </c>
      <c r="E50" s="9">
        <v>83.881423</v>
      </c>
      <c r="F50" s="9">
        <v>91.011344</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1219.354237</v>
      </c>
      <c r="D52" s="9">
        <v>1714.52183</v>
      </c>
      <c r="E52" s="9">
        <v>1506.08779</v>
      </c>
      <c r="F52" s="9">
        <v>1634.105248</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4650</v>
      </c>
      <c r="D53" s="9">
        <v>8135</v>
      </c>
      <c r="E53" s="9">
        <v>0</v>
      </c>
      <c r="F53" s="9">
        <v>300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3981.377698</v>
      </c>
      <c r="D54" s="9">
        <v>3846.65783</v>
      </c>
      <c r="E54" s="9">
        <v>1961.480254</v>
      </c>
      <c r="F54" s="9">
        <v>2127.880575</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3085.865</v>
      </c>
      <c r="D55" s="9">
        <v>3307.6225</v>
      </c>
      <c r="E55" s="9">
        <v>3351.609512</v>
      </c>
      <c r="F55" s="9">
        <v>3941.541805</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420.68</v>
      </c>
      <c r="D56" s="9">
        <v>1947.117589</v>
      </c>
      <c r="E56" s="9">
        <v>311.964625</v>
      </c>
      <c r="F56" s="9">
        <v>338.481618</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616.226</v>
      </c>
      <c r="D57" s="9">
        <v>1452.260458</v>
      </c>
      <c r="E57" s="9">
        <v>795.96165</v>
      </c>
      <c r="F57" s="9">
        <v>850.598745</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70</v>
      </c>
      <c r="D58" s="9">
        <v>31.61</v>
      </c>
      <c r="E58" s="9">
        <v>136.057875</v>
      </c>
      <c r="F58" s="9">
        <v>33.209516</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8105.096257</v>
      </c>
      <c r="D59" s="9">
        <v>9094.261393</v>
      </c>
      <c r="E59" s="9">
        <v>9300.674025</v>
      </c>
      <c r="F59" s="9">
        <v>10335.640459</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1949.628393</v>
      </c>
      <c r="D60" s="9">
        <v>3889.824404</v>
      </c>
      <c r="E60" s="9">
        <v>2336.353633</v>
      </c>
      <c r="F60" s="9">
        <v>2500.261854</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0</v>
      </c>
      <c r="D61" s="9">
        <v>0</v>
      </c>
      <c r="E61" s="9">
        <v>0</v>
      </c>
      <c r="F61" s="9">
        <v>0</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1433.444237</v>
      </c>
      <c r="D62" s="9">
        <v>2546.098079</v>
      </c>
      <c r="E62" s="9">
        <v>1758.11989</v>
      </c>
      <c r="F62" s="9">
        <v>1907.560076</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0.5</v>
      </c>
      <c r="D63" s="9">
        <v>0.5425</v>
      </c>
      <c r="E63" s="9">
        <v>0.588612</v>
      </c>
      <c r="F63" s="9">
        <v>0.638644</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102.9</v>
      </c>
      <c r="D64" s="9">
        <v>232.077</v>
      </c>
      <c r="E64" s="9">
        <v>218.136452</v>
      </c>
      <c r="F64" s="9">
        <v>131.433047</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5597.413441</v>
      </c>
      <c r="D65" s="9">
        <v>10291.632618</v>
      </c>
      <c r="E65" s="9">
        <v>1273.957511</v>
      </c>
      <c r="F65" s="9">
        <v>1331.15397125</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0</v>
      </c>
      <c r="D66" s="9">
        <v>869.035184</v>
      </c>
      <c r="E66" s="9">
        <v>0</v>
      </c>
      <c r="F66" s="9">
        <v>0</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1707.965</v>
      </c>
      <c r="D67" s="9">
        <v>5666.943868</v>
      </c>
      <c r="E67" s="9">
        <v>2013.030558</v>
      </c>
      <c r="F67" s="9">
        <v>2373.068795</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5</v>
      </c>
      <c r="D68" s="9">
        <v>15.6</v>
      </c>
      <c r="E68" s="9">
        <v>5.886125</v>
      </c>
      <c r="F68" s="9">
        <v>6.386445</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63.5</v>
      </c>
      <c r="D69" s="9">
        <v>68.295</v>
      </c>
      <c r="E69" s="9">
        <v>226.271325</v>
      </c>
      <c r="F69" s="9">
        <v>245.50438738</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15</v>
      </c>
      <c r="D71" s="9">
        <v>235</v>
      </c>
      <c r="E71" s="9">
        <v>71.908375</v>
      </c>
      <c r="F71" s="9">
        <v>78.020586</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4367.950572</v>
      </c>
      <c r="D72" s="9">
        <v>4181.397453</v>
      </c>
      <c r="E72" s="9">
        <v>2614.1888</v>
      </c>
      <c r="F72" s="9">
        <v>2700.917445</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157.1</v>
      </c>
      <c r="D73" s="9">
        <v>86.0715</v>
      </c>
      <c r="E73" s="9">
        <v>164.477862</v>
      </c>
      <c r="F73" s="9">
        <v>178.458479</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8</v>
      </c>
      <c r="C95" s="22" t="s">
        <v>76</v>
      </c>
      <c r="L95" s="10"/>
      <c r="M95" s="10"/>
    </row>
    <row r="96" spans="2:20" ht="15.6" customHeight="1" x14ac:dyDescent="0.25">
      <c r="B96" s="23">
        <v>25</v>
      </c>
      <c r="C96" s="22" t="s">
        <v>77</v>
      </c>
    </row>
    <row r="97" spans="2:18" ht="15.6" customHeight="1" x14ac:dyDescent="0.25">
      <c r="B97" s="24">
        <v>51</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35</v>
      </c>
      <c r="C99" s="22" t="s">
        <v>78</v>
      </c>
      <c r="D99" s="10"/>
      <c r="E99" s="10"/>
      <c r="F99" s="10"/>
      <c r="G99" s="10"/>
      <c r="H99" s="10"/>
      <c r="I99" s="2"/>
      <c r="J99" s="10"/>
      <c r="K99" s="10"/>
      <c r="L99" s="10"/>
      <c r="M99" s="10"/>
    </row>
    <row r="100" spans="2:18" ht="15.6" customHeight="1" x14ac:dyDescent="0.25">
      <c r="B100" s="27">
        <v>28</v>
      </c>
      <c r="C100" s="22" t="s">
        <v>92</v>
      </c>
      <c r="D100" s="56"/>
      <c r="E100" s="56"/>
      <c r="F100" s="56"/>
      <c r="G100" s="56"/>
      <c r="H100" s="56"/>
      <c r="I100" s="56"/>
      <c r="J100" s="56"/>
      <c r="K100" s="56"/>
      <c r="L100" s="56"/>
      <c r="M100" s="56"/>
    </row>
    <row r="101" spans="2:18" ht="15.6" customHeight="1" x14ac:dyDescent="0.25">
      <c r="B101" s="17">
        <v>64</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44</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93</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39</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36</v>
      </c>
    </row>
    <row r="136" spans="1:17" x14ac:dyDescent="0.25">
      <c r="B136" s="45">
        <f>Q137+Q139+Q140+Q141</f>
        <v>0</v>
      </c>
      <c r="G136" s="45">
        <f>Q135+Q138+Q139+Q141</f>
        <v>0</v>
      </c>
      <c r="I136" s="70"/>
      <c r="J136" s="70"/>
      <c r="K136" s="70"/>
      <c r="L136" s="70"/>
      <c r="M136" s="85"/>
      <c r="P136" s="1" t="s">
        <v>98</v>
      </c>
      <c r="Q136">
        <v>1</v>
      </c>
    </row>
    <row r="137" spans="1:17" x14ac:dyDescent="0.25">
      <c r="I137" s="28"/>
      <c r="J137" s="28"/>
      <c r="K137" s="28"/>
      <c r="L137" s="28"/>
      <c r="M137" s="28"/>
      <c r="P137" s="1" t="s">
        <v>99</v>
      </c>
      <c r="Q137">
        <v>37</v>
      </c>
    </row>
    <row r="138" spans="1:17" x14ac:dyDescent="0.25">
      <c r="I138" s="70" t="s">
        <v>95</v>
      </c>
      <c r="J138" s="70"/>
      <c r="K138" s="70"/>
      <c r="L138" s="70"/>
      <c r="M138" s="84">
        <f>Q141</f>
        <v>0</v>
      </c>
      <c r="P138" s="1" t="s">
        <v>100</v>
      </c>
      <c r="Q138">
        <v>3</v>
      </c>
    </row>
    <row r="139" spans="1:17" x14ac:dyDescent="0.25">
      <c r="I139" s="70"/>
      <c r="J139" s="70"/>
      <c r="K139" s="70"/>
      <c r="L139" s="70"/>
      <c r="M139" s="85"/>
      <c r="P139" s="1" t="s">
        <v>101</v>
      </c>
      <c r="Q139">
        <v>12</v>
      </c>
    </row>
    <row r="140" spans="1:17" x14ac:dyDescent="0.25">
      <c r="I140" s="28"/>
      <c r="J140" s="28"/>
      <c r="K140" s="28"/>
      <c r="L140" s="28"/>
      <c r="M140" s="28"/>
      <c r="P140" s="1" t="s">
        <v>102</v>
      </c>
      <c r="Q140">
        <v>7</v>
      </c>
    </row>
    <row r="141" spans="1:17" x14ac:dyDescent="0.25">
      <c r="I141" s="70" t="s">
        <v>96</v>
      </c>
      <c r="J141" s="70"/>
      <c r="K141" s="70"/>
      <c r="L141" s="70"/>
      <c r="M141" s="86" t="str">
        <f>IFERROR(M138/M135,"-")</f>
        <v>-</v>
      </c>
      <c r="P141" s="1" t="s">
        <v>103</v>
      </c>
      <c r="Q141">
        <v>81</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144"/>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IP-1</t>
        </is>
      </c>
      <c r="B8" t="inlineStr">
        <is>
          <t>45</t>
        </is>
      </c>
      <c r="C8" t="inlineStr">
        <is>
          <t>Gobierno Territorial</t>
        </is>
      </c>
      <c r="D8" t="inlineStr">
        <is>
          <t>4599</t>
        </is>
      </c>
      <c r="E8" t="inlineStr">
        <is>
          <t>Fortalecimiento a la gestión y dirección de la administración pública territorial</t>
        </is>
      </c>
      <c r="F8" t="inlineStr">
        <is>
          <t>4599033</t>
        </is>
      </c>
      <c r="G8" t="inlineStr">
        <is>
          <t>Servicio de información para el registro administrativo de SISBEN</t>
        </is>
      </c>
      <c r="H8" t="inlineStr">
        <is>
          <t>Corresponde al desarrollo de acciones orientadas a la actualización y suministro de la información alimentada en la base de datos del Sisbén  bajo la modalidad de barrido, demanda y por acción de tutela, según las orientaciones del Departamento Nacional de Planeación (DNP) y del Comité Técnico del Sisbén.</t>
        </is>
      </c>
      <c r="I8" t="inlineStr">
        <is>
          <t>2024257850004</t>
        </is>
      </c>
      <c r="J8" s="99">
        <v>86843024</v>
      </c>
      <c r="K8" s="99">
        <v>15600000</v>
      </c>
      <c r="L8" s="99">
        <v>23380000</v>
      </c>
      <c r="M8" s="99">
        <v>22955887</v>
      </c>
      <c r="N8" s="99">
        <v>24907137</v>
      </c>
      <c r="O8" s="99">
        <v>7800000</v>
      </c>
      <c r="P8" s="99">
        <v>7800000</v>
      </c>
      <c r="Q8" s="99">
        <v>7800000</v>
      </c>
      <c r="R8" s="100">
        <v>0.5</v>
      </c>
      <c r="S8" t="inlineStr">
        <is>
          <t>Lo obligado está por debajo de lo programado en la vigencia</t>
        </is>
      </c>
      <c r="T8" s="101">
        <v>14700000</v>
      </c>
      <c r="U8" s="101">
        <v>14700000</v>
      </c>
      <c r="V8" s="101">
        <v>14700000</v>
      </c>
      <c r="W8" s="102">
        <v>0.62874251497006</v>
      </c>
      <c r="X8" t="inlineStr">
        <is>
          <t>Lo obligado está por debajo de lo programado en la vigencia</t>
        </is>
      </c>
    </row>
    <row r="9">
      <c r="A9" t="inlineStr">
        <is>
          <t>IP-2</t>
        </is>
      </c>
      <c r="B9" t="inlineStr">
        <is>
          <t>45</t>
        </is>
      </c>
      <c r="C9" t="inlineStr">
        <is>
          <t>Gobierno Territorial</t>
        </is>
      </c>
      <c r="D9" t="inlineStr">
        <is>
          <t>4599</t>
        </is>
      </c>
      <c r="E9" t="inlineStr">
        <is>
          <t>Fortalecimiento a la gestión y dirección de la administración pública territorial</t>
        </is>
      </c>
      <c r="F9" t="inlineStr">
        <is>
          <t>4599031</t>
        </is>
      </c>
      <c r="G9" t="inlineStr">
        <is>
          <t>Servicio de asistencia técnica</t>
        </is>
      </c>
      <c r="H9" t="inlineStr">
        <is>
          <t>Corresponde al acompañamiento,apoyo,  asesoría y seguimiento técnico para la transferencia de herramientas de gestión y conocimiento en políticas, planes , proyectos y programas de apoyo a la dirección y gestión de la administración territorial.</t>
        </is>
      </c>
      <c r="I9" t="inlineStr">
        <is>
          <t>2024257850004</t>
        </is>
      </c>
      <c r="J9" s="99">
        <v>895746417</v>
      </c>
      <c r="K9" s="99">
        <v>194042809</v>
      </c>
      <c r="L9" s="99">
        <v>250073009</v>
      </c>
      <c r="M9" s="99">
        <v>216609400</v>
      </c>
      <c r="N9" s="99">
        <v>235021199</v>
      </c>
      <c r="O9" s="99">
        <v>80009476</v>
      </c>
      <c r="P9" s="99">
        <v>80009476</v>
      </c>
      <c r="Q9" s="99">
        <v>78022496</v>
      </c>
      <c r="R9" s="100">
        <v>0.412328992825496</v>
      </c>
      <c r="S9" t="inlineStr">
        <is>
          <t>Lo obligado está por debajo de lo programado en la vigencia</t>
        </is>
      </c>
      <c r="T9" s="101">
        <v>616044833</v>
      </c>
      <c r="U9" s="101">
        <v>400428991</v>
      </c>
      <c r="V9" s="101">
        <v>400428991</v>
      </c>
      <c r="W9" s="102">
        <v>1.60124834183924</v>
      </c>
      <c r="X9" t="inlineStr">
        <is>
          <t>Hubo ejecución por encima de lo programado en SisPT</t>
        </is>
      </c>
    </row>
    <row r="10">
      <c r="A10" t="inlineStr">
        <is>
          <t>IP-3</t>
        </is>
      </c>
      <c r="B10" t="inlineStr">
        <is>
          <t>45</t>
        </is>
      </c>
      <c r="C10" t="inlineStr">
        <is>
          <t>Gobierno Territorial</t>
        </is>
      </c>
      <c r="D10" t="inlineStr">
        <is>
          <t>4599</t>
        </is>
      </c>
      <c r="E10" t="inlineStr">
        <is>
          <t>Fortalecimiento a la gestión y dirección de la administración pública territorial</t>
        </is>
      </c>
      <c r="F10" t="inlineStr">
        <is>
          <t>4599023</t>
        </is>
      </c>
      <c r="G10" t="inlineStr">
        <is>
          <t>Servicio de Implementación Sistemas de Gestión</t>
        </is>
      </c>
      <c r="H10"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10" t="inlineStr">
        <is>
          <t>2024257850004</t>
        </is>
      </c>
      <c r="J10" s="99">
        <v>113271880</v>
      </c>
      <c r="K10" s="99">
        <v>27000000</v>
      </c>
      <c r="L10" s="99">
        <v>20000000</v>
      </c>
      <c r="M10" s="99">
        <v>31785075</v>
      </c>
      <c r="N10" s="99">
        <v>34486805</v>
      </c>
      <c r="O10" s="99">
        <v>21819586</v>
      </c>
      <c r="P10" s="99">
        <v>21819586</v>
      </c>
      <c r="Q10" s="99">
        <v>21819586</v>
      </c>
      <c r="R10" s="100">
        <v>0.808132814814815</v>
      </c>
      <c r="S10" t="inlineStr">
        <is>
          <t>Lo obligado está por debajo de lo programado en la vigencia</t>
        </is>
      </c>
      <c r="T10" s="101">
        <v>9000000</v>
      </c>
      <c r="U10" s="101">
        <v>2600000</v>
      </c>
      <c r="V10" s="101">
        <v>2600000</v>
      </c>
      <c r="W10" s="102">
        <v>0.13</v>
      </c>
      <c r="X10" t="inlineStr">
        <is>
          <t>Lo obligado está por debajo de lo programado en la vigencia</t>
        </is>
      </c>
    </row>
    <row r="11">
      <c r="A11" t="inlineStr">
        <is>
          <t>IP-4</t>
        </is>
      </c>
      <c r="B11" t="inlineStr">
        <is>
          <t>45</t>
        </is>
      </c>
      <c r="C11" t="inlineStr">
        <is>
          <t>Gobierno Territorial</t>
        </is>
      </c>
      <c r="D11" t="inlineStr">
        <is>
          <t>4599</t>
        </is>
      </c>
      <c r="E11" t="inlineStr">
        <is>
          <t>Fortalecimiento a la gestión y dirección de la administración pública territorial</t>
        </is>
      </c>
      <c r="F11" t="inlineStr">
        <is>
          <t>4599031</t>
        </is>
      </c>
      <c r="G11" t="inlineStr">
        <is>
          <t>Servicio de asistencia técnica</t>
        </is>
      </c>
      <c r="H11" t="inlineStr">
        <is>
          <t>Corresponde al acompañamiento,apoyo,  asesoría y seguimiento técnico para la transferencia de herramientas de gestión y conocimiento en políticas, planes , proyectos y programas de apoyo a la dirección y gestión de la administración territorial.</t>
        </is>
      </c>
      <c r="I11" t="inlineStr">
        <is>
          <t>2024257850043</t>
        </is>
      </c>
      <c r="J11" s="99">
        <v>2442454159</v>
      </c>
      <c r="K11" s="99">
        <v>500000000</v>
      </c>
      <c r="L11" s="99">
        <v>718699341</v>
      </c>
      <c r="M11" s="99">
        <v>588612500</v>
      </c>
      <c r="N11" s="99">
        <v>635142318</v>
      </c>
      <c r="O11" s="99">
        <v>243577215</v>
      </c>
      <c r="P11" s="99">
        <v>243577215</v>
      </c>
      <c r="Q11" s="99">
        <v>243577215</v>
      </c>
      <c r="R11" s="100">
        <v>0.48715443</v>
      </c>
      <c r="S11" t="inlineStr">
        <is>
          <t>Lo obligado está por debajo de lo programado en la vigencia</t>
        </is>
      </c>
      <c r="T11" s="101">
        <v>142609300</v>
      </c>
      <c r="U11" s="101">
        <v>131997633</v>
      </c>
      <c r="V11" s="101">
        <v>131997633</v>
      </c>
      <c r="W11" s="102">
        <v>0.183661825564412</v>
      </c>
      <c r="X11" t="inlineStr">
        <is>
          <t>Lo obligado está por debajo de lo programado en la vigencia</t>
        </is>
      </c>
    </row>
    <row r="12">
      <c r="A12" t="inlineStr">
        <is>
          <t>IP-5</t>
        </is>
      </c>
      <c r="B12" t="inlineStr">
        <is>
          <t>45</t>
        </is>
      </c>
      <c r="C12" t="inlineStr">
        <is>
          <t>Gobierno Territorial</t>
        </is>
      </c>
      <c r="D12" t="inlineStr">
        <is>
          <t>4599</t>
        </is>
      </c>
      <c r="E12" t="inlineStr">
        <is>
          <t>Fortalecimiento a la gestión y dirección de la administración pública territorial</t>
        </is>
      </c>
      <c r="F12" t="inlineStr">
        <is>
          <t>4599002</t>
        </is>
      </c>
      <c r="G12" t="inlineStr">
        <is>
          <t>Servicio de saneamiento fiscal y financiero</t>
        </is>
      </c>
      <c r="H12"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12" t="inlineStr">
        <is>
          <t>2024257850043</t>
        </is>
      </c>
      <c r="J12" s="99">
        <v>55000000</v>
      </c>
      <c r="K12" s="99">
        <v>0</v>
      </c>
      <c r="L12" s="99">
        <v>55000000</v>
      </c>
      <c r="M12" s="99">
        <v>0</v>
      </c>
      <c r="N12" s="99">
        <v>0</v>
      </c>
      <c r="O12" s="99" t="inlineStr">
        <is>
          <t xml:space="preserve"> </t>
        </is>
      </c>
      <c r="P12" s="99" t="inlineStr">
        <is>
          <t xml:space="preserve"> </t>
        </is>
      </c>
      <c r="Q12" s="99" t="inlineStr">
        <is>
          <t xml:space="preserve"> </t>
        </is>
      </c>
      <c r="R12" s="100" t="inlineStr">
        <is>
          <t xml:space="preserve"> </t>
        </is>
      </c>
      <c r="S12" t="inlineStr">
        <is>
          <t>No se encontró ejecución en CUIPO</t>
        </is>
      </c>
      <c r="T12" s="101">
        <v>50000000</v>
      </c>
      <c r="U12" s="101">
        <v>29000000</v>
      </c>
      <c r="V12" s="101">
        <v>29000000</v>
      </c>
      <c r="W12" s="102">
        <v>0.527272727272727</v>
      </c>
      <c r="X12" t="inlineStr">
        <is>
          <t>Lo obligado está por debajo de lo programado en la vigencia</t>
        </is>
      </c>
    </row>
    <row r="13">
      <c r="A13" t="inlineStr">
        <is>
          <t>IP-6</t>
        </is>
      </c>
      <c r="B13" t="inlineStr">
        <is>
          <t>45</t>
        </is>
      </c>
      <c r="C13" t="inlineStr">
        <is>
          <t>Gobierno Territorial</t>
        </is>
      </c>
      <c r="D13" t="inlineStr">
        <is>
          <t>4599</t>
        </is>
      </c>
      <c r="E13" t="inlineStr">
        <is>
          <t>Fortalecimiento a la gestión y dirección de la administración pública territorial</t>
        </is>
      </c>
      <c r="F13" t="inlineStr">
        <is>
          <t>4599017</t>
        </is>
      </c>
      <c r="G13" t="inlineStr">
        <is>
          <t>Servicio de gestión documental</t>
        </is>
      </c>
      <c r="H13"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13" t="inlineStr">
        <is>
          <t>202500000045200</t>
        </is>
      </c>
      <c r="J13" s="99">
        <v>81940100</v>
      </c>
      <c r="K13" s="99">
        <v>0</v>
      </c>
      <c r="L13" s="99">
        <v>500000</v>
      </c>
      <c r="M13" s="99">
        <v>39060000</v>
      </c>
      <c r="N13" s="99">
        <v>42380100</v>
      </c>
      <c r="O13" s="99" t="inlineStr">
        <is>
          <t xml:space="preserve"> </t>
        </is>
      </c>
      <c r="P13" s="99" t="inlineStr">
        <is>
          <t xml:space="preserve"> </t>
        </is>
      </c>
      <c r="Q13" s="99" t="inlineStr">
        <is>
          <t xml:space="preserve"> </t>
        </is>
      </c>
      <c r="R13" s="100" t="inlineStr">
        <is>
          <t xml:space="preserve"> </t>
        </is>
      </c>
      <c r="S13" t="inlineStr">
        <is>
          <t>No se encontró ejecución en CUIPO</t>
        </is>
      </c>
      <c r="T13" s="101" t="inlineStr">
        <is>
          <t xml:space="preserve"> </t>
        </is>
      </c>
      <c r="U13" s="101" t="inlineStr">
        <is>
          <t xml:space="preserve"> </t>
        </is>
      </c>
      <c r="V13" s="101" t="inlineStr">
        <is>
          <t xml:space="preserve"> </t>
        </is>
      </c>
      <c r="W13" s="102" t="inlineStr">
        <is>
          <t xml:space="preserve"> </t>
        </is>
      </c>
      <c r="X13" t="inlineStr">
        <is>
          <t>No se encontró ejecución en CUIPO</t>
        </is>
      </c>
    </row>
    <row r="14">
      <c r="A14" t="inlineStr">
        <is>
          <t>IP-7, IP-8</t>
        </is>
      </c>
      <c r="B14" t="inlineStr">
        <is>
          <t>45</t>
        </is>
      </c>
      <c r="C14" t="inlineStr">
        <is>
          <t>Gobierno Territorial</t>
        </is>
      </c>
      <c r="D14" t="inlineStr">
        <is>
          <t>4502</t>
        </is>
      </c>
      <c r="E14" t="inlineStr">
        <is>
          <t>Fortalecimiento del buen gobierno para el respeto y garantía de los derechos humanos.</t>
        </is>
      </c>
      <c r="F14" t="inlineStr">
        <is>
          <t>4502001</t>
        </is>
      </c>
      <c r="G14" t="inlineStr">
        <is>
          <t>Servicio de promoción a la participación ciudadana</t>
        </is>
      </c>
      <c r="H14" t="inlineStr">
        <is>
          <t>Corresponde al diseño e implementación de acciones y estrategias que promuevan el ejercicio de la participación ciudadana para el respeto y garantía de los derechos humanos</t>
        </is>
      </c>
      <c r="I14" t="inlineStr">
        <is>
          <t>2024257850042</t>
        </is>
      </c>
      <c r="J14" s="99">
        <v>561948987</v>
      </c>
      <c r="K14" s="99">
        <v>100000000</v>
      </c>
      <c r="L14" s="99">
        <v>220000000</v>
      </c>
      <c r="M14" s="99">
        <v>117722410</v>
      </c>
      <c r="N14" s="99">
        <v>124226577</v>
      </c>
      <c r="O14" s="99">
        <v>44341223</v>
      </c>
      <c r="P14" s="99">
        <v>44341223</v>
      </c>
      <c r="Q14" s="99">
        <v>44341223</v>
      </c>
      <c r="R14" s="100">
        <v>0.44341223</v>
      </c>
      <c r="S14" t="inlineStr">
        <is>
          <t>Lo obligado está por debajo de lo programado en la vigencia</t>
        </is>
      </c>
      <c r="T14" s="101">
        <v>116170000</v>
      </c>
      <c r="U14" s="101">
        <v>73712706</v>
      </c>
      <c r="V14" s="101">
        <v>73712706</v>
      </c>
      <c r="W14" s="102">
        <v>0.335057754545455</v>
      </c>
      <c r="X14" t="inlineStr">
        <is>
          <t>Lo obligado está por debajo de lo programado en la vigencia</t>
        </is>
      </c>
    </row>
    <row r="15">
      <c r="A15" t="inlineStr">
        <is>
          <t>IP-9</t>
        </is>
      </c>
      <c r="B15" t="inlineStr">
        <is>
          <t>45</t>
        </is>
      </c>
      <c r="C15" t="inlineStr">
        <is>
          <t>Gobierno Territorial</t>
        </is>
      </c>
      <c r="D15" t="inlineStr">
        <is>
          <t>4502</t>
        </is>
      </c>
      <c r="E15" t="inlineStr">
        <is>
          <t>Fortalecimiento del buen gobierno para el respeto y garantía de los derechos humanos.</t>
        </is>
      </c>
      <c r="F15" t="inlineStr">
        <is>
          <t>4502033</t>
        </is>
      </c>
      <c r="G15" t="inlineStr">
        <is>
          <t>Servicio de integración de la oferta pública</t>
        </is>
      </c>
      <c r="H15" t="inlineStr">
        <is>
          <t>Corresponde al diseño e implementación de espacios que articulen la oferta institucional para que los ciudadanos conozcan sus derechos y deberes y los mecanismos de acceso a la oferta publica.</t>
        </is>
      </c>
      <c r="I15" t="inlineStr">
        <is>
          <t>2024257850042</t>
        </is>
      </c>
      <c r="J15" s="99">
        <v>22697570</v>
      </c>
      <c r="K15" s="99">
        <v>5000000</v>
      </c>
      <c r="L15" s="99">
        <v>5425000</v>
      </c>
      <c r="M15" s="99">
        <v>5886125</v>
      </c>
      <c r="N15" s="99">
        <v>6386445</v>
      </c>
      <c r="O15" s="99">
        <v>2000000</v>
      </c>
      <c r="P15" s="99">
        <v>2000000</v>
      </c>
      <c r="Q15" s="99">
        <v>2000000</v>
      </c>
      <c r="R15" s="100">
        <v>0.4</v>
      </c>
      <c r="S15" t="inlineStr">
        <is>
          <t>Lo obligado está por debajo de lo programado en la vigencia</t>
        </is>
      </c>
      <c r="T15" s="101" t="inlineStr">
        <is>
          <t xml:space="preserve"> </t>
        </is>
      </c>
      <c r="U15" s="101" t="inlineStr">
        <is>
          <t xml:space="preserve"> </t>
        </is>
      </c>
      <c r="V15" s="101" t="inlineStr">
        <is>
          <t xml:space="preserve"> </t>
        </is>
      </c>
      <c r="W15" s="102" t="inlineStr">
        <is>
          <t xml:space="preserve"> </t>
        </is>
      </c>
      <c r="X15" t="inlineStr">
        <is>
          <t>No se encontró ejecución en CUIPO</t>
        </is>
      </c>
    </row>
    <row r="16">
      <c r="A16" t="inlineStr">
        <is>
          <t>IP-10</t>
        </is>
      </c>
      <c r="B16" t="inlineStr">
        <is>
          <t>45</t>
        </is>
      </c>
      <c r="C16" t="inlineStr">
        <is>
          <t>Gobierno Territorial</t>
        </is>
      </c>
      <c r="D16" t="inlineStr">
        <is>
          <t>4502</t>
        </is>
      </c>
      <c r="E16" t="inlineStr">
        <is>
          <t>Fortalecimiento del buen gobierno para el respeto y garantía de los derechos humanos.</t>
        </is>
      </c>
      <c r="F16" t="inlineStr">
        <is>
          <t>4502035</t>
        </is>
      </c>
      <c r="G16" t="inlineStr">
        <is>
          <t>Documentos de planeación</t>
        </is>
      </c>
      <c r="H16" t="inlineStr">
        <is>
          <t>Documentos cuyo objetivo es plasmar una visión de futuro a nivel país, entidad territorial, comunidad, sector, región, entidad o cualquier nivel de desagregación que se requiera. Incluye objetivos, estrategias, metas e indicadores.</t>
        </is>
      </c>
      <c r="I16" t="inlineStr">
        <is>
          <t>202500000042557</t>
        </is>
      </c>
      <c r="J16" s="99">
        <v>20000000</v>
      </c>
      <c r="K16" s="99">
        <v>0</v>
      </c>
      <c r="L16" s="99">
        <v>20000000</v>
      </c>
      <c r="M16" s="99">
        <v>0</v>
      </c>
      <c r="N16" s="99">
        <v>0</v>
      </c>
      <c r="O16" s="99" t="inlineStr">
        <is>
          <t xml:space="preserve"> </t>
        </is>
      </c>
      <c r="P16" s="99" t="inlineStr">
        <is>
          <t xml:space="preserve"> </t>
        </is>
      </c>
      <c r="Q16" s="99" t="inlineStr">
        <is>
          <t xml:space="preserve"> </t>
        </is>
      </c>
      <c r="R16" s="100" t="inlineStr">
        <is>
          <t xml:space="preserve"> </t>
        </is>
      </c>
      <c r="S16" t="inlineStr">
        <is>
          <t>No se encontró ejecución en CUIPO</t>
        </is>
      </c>
      <c r="T16" s="101" t="inlineStr">
        <is>
          <t xml:space="preserve"> </t>
        </is>
      </c>
      <c r="U16" s="101" t="inlineStr">
        <is>
          <t xml:space="preserve"> </t>
        </is>
      </c>
      <c r="V16" s="101" t="inlineStr">
        <is>
          <t xml:space="preserve"> </t>
        </is>
      </c>
      <c r="W16" s="102" t="inlineStr">
        <is>
          <t xml:space="preserve"> </t>
        </is>
      </c>
      <c r="X16" t="inlineStr">
        <is>
          <t>No se encontró ejecución en CUIPO</t>
        </is>
      </c>
    </row>
    <row r="17">
      <c r="A17" t="inlineStr">
        <is>
          <t>IP-11</t>
        </is>
      </c>
      <c r="B17" t="inlineStr">
        <is>
          <t>45</t>
        </is>
      </c>
      <c r="C17" t="inlineStr">
        <is>
          <t>Gobierno Territorial</t>
        </is>
      </c>
      <c r="D17" t="inlineStr">
        <is>
          <t>4502</t>
        </is>
      </c>
      <c r="E17" t="inlineStr">
        <is>
          <t>Fortalecimiento del buen gobierno para el respeto y garantía de los derechos humanos.</t>
        </is>
      </c>
      <c r="F17" t="inlineStr">
        <is>
          <t>4502035</t>
        </is>
      </c>
      <c r="G17" t="inlineStr">
        <is>
          <t>Documentos de planeación</t>
        </is>
      </c>
      <c r="H17" t="inlineStr">
        <is>
          <t>Documentos cuyo objetivo es plasmar una visión de futuro a nivel país, entidad territorial, comunidad, sector, región, entidad o cualquier nivel de desagregación que se requiera. Incluye objetivos, estrategias, metas e indicadores.</t>
        </is>
      </c>
      <c r="I17" t="inlineStr">
        <is>
          <t/>
        </is>
      </c>
      <c r="J17" s="99">
        <v>50000000</v>
      </c>
      <c r="K17" s="99">
        <v>0</v>
      </c>
      <c r="L17" s="99">
        <v>0</v>
      </c>
      <c r="M17" s="99">
        <v>50000000</v>
      </c>
      <c r="N17" s="99">
        <v>0</v>
      </c>
      <c r="O17" s="99" t="inlineStr">
        <is>
          <t xml:space="preserve"> </t>
        </is>
      </c>
      <c r="P17" s="99" t="inlineStr">
        <is>
          <t xml:space="preserve"> </t>
        </is>
      </c>
      <c r="Q17" s="99" t="inlineStr">
        <is>
          <t xml:space="preserve"> </t>
        </is>
      </c>
      <c r="R17" s="100" t="inlineStr">
        <is>
          <t xml:space="preserve"> </t>
        </is>
      </c>
      <c r="S17" t="inlineStr">
        <is>
          <t>Por falta de código BPIN, no se encontró ejecución en CUIPO</t>
        </is>
      </c>
      <c r="T17" s="101" t="inlineStr">
        <is>
          <t xml:space="preserve"> </t>
        </is>
      </c>
      <c r="U17" s="101" t="inlineStr">
        <is>
          <t xml:space="preserve"> </t>
        </is>
      </c>
      <c r="V17" s="101" t="inlineStr">
        <is>
          <t xml:space="preserve"> </t>
        </is>
      </c>
      <c r="W17" s="102" t="inlineStr">
        <is>
          <t xml:space="preserve"> </t>
        </is>
      </c>
      <c r="X17" t="inlineStr">
        <is>
          <t>Por falta de código BPIN, no se encontró ejecución en CUIPO</t>
        </is>
      </c>
    </row>
    <row r="18">
      <c r="A18" t="inlineStr">
        <is>
          <t>IP-12</t>
        </is>
      </c>
      <c r="B18" t="inlineStr">
        <is>
          <t>40</t>
        </is>
      </c>
      <c r="C18" t="inlineStr">
        <is>
          <t>Vivienda, ciudad y territorio</t>
        </is>
      </c>
      <c r="D18" t="inlineStr">
        <is>
          <t>4002</t>
        </is>
      </c>
      <c r="E18" t="inlineStr">
        <is>
          <t>Ordenamiento territorial y desarrollo urbano</t>
        </is>
      </c>
      <c r="F18" t="inlineStr">
        <is>
          <t>4002016</t>
        </is>
      </c>
      <c r="G18" t="inlineStr">
        <is>
          <t>Documentos de planeación</t>
        </is>
      </c>
      <c r="H18" t="inlineStr">
        <is>
          <t>Documentos cuyo objetivo es plasmar una visión de futuro a nivel país, entidad territorial, comunidad, sector, región, entidad o cualquier nivel de desagregación que se requiera. Incluye objetivos, estrategias, metas e indicadores</t>
        </is>
      </c>
      <c r="I18" t="inlineStr">
        <is>
          <t>2024257850005</t>
        </is>
      </c>
      <c r="J18" s="99">
        <v>4539514</v>
      </c>
      <c r="K18" s="99">
        <v>0</v>
      </c>
      <c r="L18" s="99">
        <v>0</v>
      </c>
      <c r="M18" s="99">
        <v>4539514</v>
      </c>
      <c r="N18" s="99">
        <v>0</v>
      </c>
      <c r="O18" s="99" t="inlineStr">
        <is>
          <t xml:space="preserve"> </t>
        </is>
      </c>
      <c r="P18" s="99" t="inlineStr">
        <is>
          <t xml:space="preserve"> </t>
        </is>
      </c>
      <c r="Q18" s="99" t="inlineStr">
        <is>
          <t xml:space="preserve"> </t>
        </is>
      </c>
      <c r="R18" s="100" t="inlineStr">
        <is>
          <t xml:space="preserve"> </t>
        </is>
      </c>
      <c r="S18" t="inlineStr">
        <is>
          <t>No se encontró ejecución en CUIPO</t>
        </is>
      </c>
      <c r="T18" s="101" t="inlineStr">
        <is>
          <t xml:space="preserve"> </t>
        </is>
      </c>
      <c r="U18" s="101" t="inlineStr">
        <is>
          <t xml:space="preserve"> </t>
        </is>
      </c>
      <c r="V18" s="101" t="inlineStr">
        <is>
          <t xml:space="preserve"> </t>
        </is>
      </c>
      <c r="W18" s="102" t="inlineStr">
        <is>
          <t xml:space="preserve"> </t>
        </is>
      </c>
      <c r="X18" t="inlineStr">
        <is>
          <t>No se encontró ejecución en CUIPO</t>
        </is>
      </c>
    </row>
    <row r="19">
      <c r="A19" t="inlineStr">
        <is>
          <t>IP-13</t>
        </is>
      </c>
      <c r="B19" t="inlineStr">
        <is>
          <t>04</t>
        </is>
      </c>
      <c r="C19" t="inlineStr">
        <is>
          <t>Información Estadística</t>
        </is>
      </c>
      <c r="D19" t="inlineStr">
        <is>
          <t>0406</t>
        </is>
      </c>
      <c r="E19" t="inlineStr">
        <is>
          <t>Generación de la información geográfica del territorio nacional</t>
        </is>
      </c>
      <c r="F19" t="inlineStr">
        <is>
          <t>0406016</t>
        </is>
      </c>
      <c r="G19" t="inlineStr">
        <is>
          <t>Servicio de actualización catastral con enfoque multipropósito</t>
        </is>
      </c>
      <c r="H19" t="inlineStr">
        <is>
          <t>Acciones orientadas a renovar el inventario o censo predial en sus componentes físico, jurídico y económico con enfoque multipropósito, de acuerdo con los cambios experimentados por los inmuebles en cada uno de sus componentes. Entregable: base catastral actualizada.</t>
        </is>
      </c>
      <c r="I19" t="inlineStr">
        <is>
          <t>2024257850001</t>
        </is>
      </c>
      <c r="J19" s="99">
        <v>500000</v>
      </c>
      <c r="K19" s="99">
        <v>500000</v>
      </c>
      <c r="L19" s="99">
        <v>0</v>
      </c>
      <c r="M19" s="99">
        <v>0</v>
      </c>
      <c r="N19" s="99">
        <v>0</v>
      </c>
      <c r="O19" s="99" t="inlineStr">
        <is>
          <t xml:space="preserve"> </t>
        </is>
      </c>
      <c r="P19" s="99" t="inlineStr">
        <is>
          <t xml:space="preserve"> </t>
        </is>
      </c>
      <c r="Q19" s="99" t="inlineStr">
        <is>
          <t xml:space="preserve"> </t>
        </is>
      </c>
      <c r="R19" s="100" t="inlineStr">
        <is>
          <t xml:space="preserve"> </t>
        </is>
      </c>
      <c r="S19" t="inlineStr">
        <is>
          <t>No se encontró ejecución en CUIPO</t>
        </is>
      </c>
      <c r="T19" s="101" t="inlineStr">
        <is>
          <t xml:space="preserve"> </t>
        </is>
      </c>
      <c r="U19" s="101" t="inlineStr">
        <is>
          <t xml:space="preserve"> </t>
        </is>
      </c>
      <c r="V19" s="101" t="inlineStr">
        <is>
          <t xml:space="preserve"> </t>
        </is>
      </c>
      <c r="W19" s="102" t="inlineStr">
        <is>
          <t xml:space="preserve"> </t>
        </is>
      </c>
      <c r="X19" t="inlineStr">
        <is>
          <t>No se encontró ejecución en CUIPO</t>
        </is>
      </c>
    </row>
    <row r="20">
      <c r="A20" t="inlineStr">
        <is>
          <t>IP-14</t>
        </is>
      </c>
      <c r="B20" t="inlineStr">
        <is>
          <t>45</t>
        </is>
      </c>
      <c r="C20" t="inlineStr">
        <is>
          <t>Gobierno Territorial</t>
        </is>
      </c>
      <c r="D20" t="inlineStr">
        <is>
          <t>4501</t>
        </is>
      </c>
      <c r="E20" t="inlineStr">
        <is>
          <t>Fortalecimiento de la convivencia y la seguridad ciudadana</t>
        </is>
      </c>
      <c r="F20" t="inlineStr">
        <is>
          <t>4501029</t>
        </is>
      </c>
      <c r="G20" t="inlineStr">
        <is>
          <t>Servicio de apoyo financiero para proyectos de convivencia y seguridad ciudadana</t>
        </is>
      </c>
      <c r="H20" t="inlineStr">
        <is>
          <t>Incluye la financiación monetaria de iniciativas ciudadanas que promuevan la convivencia y  seguridad ciudadana.</t>
        </is>
      </c>
      <c r="I20" t="inlineStr">
        <is>
          <t>2024257850041</t>
        </is>
      </c>
      <c r="J20" s="99">
        <v>234980220</v>
      </c>
      <c r="K20" s="99">
        <v>51000000</v>
      </c>
      <c r="L20" s="99">
        <v>58800000</v>
      </c>
      <c r="M20" s="99">
        <v>60038475</v>
      </c>
      <c r="N20" s="99">
        <v>65141745</v>
      </c>
      <c r="O20" s="99">
        <v>2342400</v>
      </c>
      <c r="P20" s="99">
        <v>2342400</v>
      </c>
      <c r="Q20" s="99">
        <v>1703400</v>
      </c>
      <c r="R20" s="100">
        <v>0.0459294117647059</v>
      </c>
      <c r="S20" t="inlineStr">
        <is>
          <t>Lo obligado está por debajo de lo programado en la vigencia</t>
        </is>
      </c>
      <c r="T20" s="101">
        <v>48952934</v>
      </c>
      <c r="U20" s="101">
        <v>41128434</v>
      </c>
      <c r="V20" s="101">
        <v>41128434</v>
      </c>
      <c r="W20" s="102">
        <v>0.699463163265306</v>
      </c>
      <c r="X20" t="inlineStr">
        <is>
          <t>Lo obligado está por debajo de lo programado en la vigencia</t>
        </is>
      </c>
    </row>
    <row r="21">
      <c r="A21" t="inlineStr">
        <is>
          <t>IP-15</t>
        </is>
      </c>
      <c r="B21" t="inlineStr">
        <is>
          <t>45</t>
        </is>
      </c>
      <c r="C21" t="inlineStr">
        <is>
          <t>Gobierno Territorial</t>
        </is>
      </c>
      <c r="D21" t="inlineStr">
        <is>
          <t>4501</t>
        </is>
      </c>
      <c r="E21" t="inlineStr">
        <is>
          <t>Fortalecimiento de la convivencia y la seguridad ciudadana</t>
        </is>
      </c>
      <c r="F21" t="inlineStr">
        <is>
          <t>4501082</t>
        </is>
      </c>
      <c r="G21" t="inlineStr">
        <is>
          <t>Servicio de apoyo para la atención especializada e interdisciplinaria en las comisarias de familia</t>
        </is>
      </c>
      <c r="H21" t="inlineStr">
        <is>
          <t>Recursos para garantizar la atención de las comisarías de familia a aquellas personas que han sido victimas de violencia en el contexto familiar según lo establecido en la normatividad vigente.</t>
        </is>
      </c>
      <c r="I21" t="inlineStr">
        <is>
          <t>2024257850041</t>
        </is>
      </c>
      <c r="J21" s="99">
        <v>1840525907</v>
      </c>
      <c r="K21" s="99">
        <v>371375000</v>
      </c>
      <c r="L21" s="99">
        <v>557605727</v>
      </c>
      <c r="M21" s="99">
        <v>437191933</v>
      </c>
      <c r="N21" s="99">
        <v>474353247</v>
      </c>
      <c r="O21" s="99">
        <v>162400644</v>
      </c>
      <c r="P21" s="99">
        <v>162400644</v>
      </c>
      <c r="Q21" s="99">
        <v>162400644</v>
      </c>
      <c r="R21" s="100">
        <v>0.437295574554022</v>
      </c>
      <c r="S21" t="inlineStr">
        <is>
          <t>Lo obligado está por debajo de lo programado en la vigencia</t>
        </is>
      </c>
      <c r="T21" s="101">
        <v>319321629</v>
      </c>
      <c r="U21" s="101">
        <v>289474963</v>
      </c>
      <c r="V21" s="101">
        <v>289474963</v>
      </c>
      <c r="W21" s="102">
        <v>0.51913914973115</v>
      </c>
      <c r="X21" t="inlineStr">
        <is>
          <t>Lo obligado está por debajo de lo programado en la vigencia</t>
        </is>
      </c>
    </row>
    <row r="22">
      <c r="A22" t="inlineStr">
        <is>
          <t>IP-16</t>
        </is>
      </c>
      <c r="B22" t="inlineStr">
        <is>
          <t>45</t>
        </is>
      </c>
      <c r="C22" t="inlineStr">
        <is>
          <t>Gobierno Territorial</t>
        </is>
      </c>
      <c r="D22" t="inlineStr">
        <is>
          <t>4501</t>
        </is>
      </c>
      <c r="E22" t="inlineStr">
        <is>
          <t>Fortalecimiento de la convivencia y la seguridad ciudadana</t>
        </is>
      </c>
      <c r="F22" t="inlineStr">
        <is>
          <t>4501081</t>
        </is>
      </c>
      <c r="G22" t="inlineStr">
        <is>
          <t>Servicio de apoyo para la atención de contravenciones y solución de conflictos de convivencia ciudadana</t>
        </is>
      </c>
      <c r="H22" t="inlineStr">
        <is>
          <t>Recursos para garantizar la atención de contravenciones y de más actividades de policía a nivel municipal a cargo de los inspectores de policía y corregidores del municipio.</t>
        </is>
      </c>
      <c r="I22" t="inlineStr">
        <is>
          <t>2024257850041</t>
        </is>
      </c>
      <c r="J22" s="99">
        <v>582916748</v>
      </c>
      <c r="K22" s="99">
        <v>120000000</v>
      </c>
      <c r="L22" s="99">
        <v>169377619</v>
      </c>
      <c r="M22" s="99">
        <v>141267000</v>
      </c>
      <c r="N22" s="99">
        <v>152272129</v>
      </c>
      <c r="O22" s="99">
        <v>54977966</v>
      </c>
      <c r="P22" s="99">
        <v>54977966</v>
      </c>
      <c r="Q22" s="99">
        <v>54977966</v>
      </c>
      <c r="R22" s="100">
        <v>0.458149716666667</v>
      </c>
      <c r="S22" t="inlineStr">
        <is>
          <t>Lo obligado está por debajo de lo programado en la vigencia</t>
        </is>
      </c>
      <c r="T22" s="101">
        <v>140715729</v>
      </c>
      <c r="U22" s="101">
        <v>111445729</v>
      </c>
      <c r="V22" s="101">
        <v>111445729</v>
      </c>
      <c r="W22" s="102">
        <v>0.657971989794</v>
      </c>
      <c r="X22" t="inlineStr">
        <is>
          <t>Lo obligado está por debajo de lo programado en la vigencia</t>
        </is>
      </c>
    </row>
    <row r="23">
      <c r="A23" t="inlineStr">
        <is>
          <t>IP-17</t>
        </is>
      </c>
      <c r="B23" t="inlineStr">
        <is>
          <t>45</t>
        </is>
      </c>
      <c r="C23" t="inlineStr">
        <is>
          <t>Gobierno Territorial</t>
        </is>
      </c>
      <c r="D23" t="inlineStr">
        <is>
          <t>4501</t>
        </is>
      </c>
      <c r="E23" t="inlineStr">
        <is>
          <t>Fortalecimiento de la convivencia y la seguridad ciudadana</t>
        </is>
      </c>
      <c r="F23" t="inlineStr">
        <is>
          <t>4501001</t>
        </is>
      </c>
      <c r="G23" t="inlineStr">
        <is>
          <t>Servicio de asistencia técnica</t>
        </is>
      </c>
      <c r="H23" t="inlineStr">
        <is>
          <t xml:space="preserve">Incluye las acciones de transferencia de conocimientos y procesos para la implementación de políticas y lineamientos sobre convivencia y seguridad ciudadana, prestados por los actores competentes. </t>
        </is>
      </c>
      <c r="I23" t="inlineStr">
        <is>
          <t>2024257850041</t>
        </is>
      </c>
      <c r="J23" s="99">
        <v>567881495</v>
      </c>
      <c r="K23" s="99">
        <v>92280000</v>
      </c>
      <c r="L23" s="99">
        <v>250599895</v>
      </c>
      <c r="M23" s="99">
        <v>108634322</v>
      </c>
      <c r="N23" s="99">
        <v>116367278</v>
      </c>
      <c r="O23" s="99">
        <v>52224805</v>
      </c>
      <c r="P23" s="99">
        <v>52224805</v>
      </c>
      <c r="Q23" s="99">
        <v>52224805</v>
      </c>
      <c r="R23" s="100">
        <v>0.565938502384049</v>
      </c>
      <c r="S23" t="inlineStr">
        <is>
          <t>Lo obligado está por debajo de lo programado en la vigencia</t>
        </is>
      </c>
      <c r="T23" s="101">
        <v>107490177</v>
      </c>
      <c r="U23" s="101">
        <v>62884892</v>
      </c>
      <c r="V23" s="101">
        <v>62884892</v>
      </c>
      <c r="W23" s="102">
        <v>0.250937423577133</v>
      </c>
      <c r="X23" t="inlineStr">
        <is>
          <t>Lo obligado está por debajo de lo programado en la vigencia</t>
        </is>
      </c>
    </row>
    <row r="24">
      <c r="A24" t="inlineStr">
        <is>
          <t>IP-18</t>
        </is>
      </c>
      <c r="B24" t="inlineStr">
        <is>
          <t>45</t>
        </is>
      </c>
      <c r="C24" t="inlineStr">
        <is>
          <t>Gobierno Territorial</t>
        </is>
      </c>
      <c r="D24" t="inlineStr">
        <is>
          <t>4501</t>
        </is>
      </c>
      <c r="E24" t="inlineStr">
        <is>
          <t>Fortalecimiento de la convivencia y la seguridad ciudadana</t>
        </is>
      </c>
      <c r="F24" t="inlineStr">
        <is>
          <t>4501041</t>
        </is>
      </c>
      <c r="G24" t="inlineStr">
        <is>
          <t>Infraestructura para la promoción a la cultura de la legalidad y a la convivencia dotada</t>
        </is>
      </c>
      <c r="H24" t="inlineStr">
        <is>
          <t xml:space="preserve">Incluye la dotación a la infraestructura construida. </t>
        </is>
      </c>
      <c r="I24" t="inlineStr">
        <is>
          <t>202500000045208</t>
        </is>
      </c>
      <c r="J24" s="99">
        <v>70000000</v>
      </c>
      <c r="K24" s="99">
        <v>0</v>
      </c>
      <c r="L24" s="99">
        <v>0</v>
      </c>
      <c r="M24" s="99">
        <v>70000000</v>
      </c>
      <c r="N24" s="99">
        <v>0</v>
      </c>
      <c r="O24" s="99" t="inlineStr">
        <is>
          <t xml:space="preserve"> </t>
        </is>
      </c>
      <c r="P24" s="99" t="inlineStr">
        <is>
          <t xml:space="preserve"> </t>
        </is>
      </c>
      <c r="Q24" s="99" t="inlineStr">
        <is>
          <t xml:space="preserve"> </t>
        </is>
      </c>
      <c r="R24" s="100" t="inlineStr">
        <is>
          <t xml:space="preserve"> </t>
        </is>
      </c>
      <c r="S24" t="inlineStr">
        <is>
          <t>No se encontró ejecución en CUIPO</t>
        </is>
      </c>
      <c r="T24" s="101" t="inlineStr">
        <is>
          <t xml:space="preserve"> </t>
        </is>
      </c>
      <c r="U24" s="101" t="inlineStr">
        <is>
          <t xml:space="preserve"> </t>
        </is>
      </c>
      <c r="V24" s="101" t="inlineStr">
        <is>
          <t xml:space="preserve"> </t>
        </is>
      </c>
      <c r="W24" s="102" t="inlineStr">
        <is>
          <t xml:space="preserve"> </t>
        </is>
      </c>
      <c r="X24" t="inlineStr">
        <is>
          <t>No se encontró ejecución en CUIPO</t>
        </is>
      </c>
    </row>
    <row r="25">
      <c r="A25" t="inlineStr">
        <is>
          <t>IP-19</t>
        </is>
      </c>
      <c r="B25" t="inlineStr">
        <is>
          <t>45</t>
        </is>
      </c>
      <c r="C25" t="inlineStr">
        <is>
          <t>Gobierno Territorial</t>
        </is>
      </c>
      <c r="D25" t="inlineStr">
        <is>
          <t>4501</t>
        </is>
      </c>
      <c r="E25" t="inlineStr">
        <is>
          <t>Fortalecimiento de la convivencia y la seguridad ciudadana</t>
        </is>
      </c>
      <c r="F25" t="inlineStr">
        <is>
          <t>4501057</t>
        </is>
      </c>
      <c r="G25" t="inlineStr">
        <is>
          <t>Servicio de apoyo financiero para dotar a miembros de la fuerza publica</t>
        </is>
      </c>
      <c r="H25" t="inlineStr">
        <is>
          <t xml:space="preserve">Corresponde a los recursos del Fondos de Seguridad de las Entidades Territoriales (FONSET) destinados a la adquisición de dotación para nuevos policias, soldados y auxiliares en tanto se inicia la nueva vigencia.
</t>
        </is>
      </c>
      <c r="I25" t="inlineStr">
        <is>
          <t>2024257850041</t>
        </is>
      </c>
      <c r="J25" s="99">
        <v>413801831</v>
      </c>
      <c r="K25" s="99">
        <v>51800000</v>
      </c>
      <c r="L25" s="99">
        <v>234858000</v>
      </c>
      <c r="M25" s="99">
        <v>60980255</v>
      </c>
      <c r="N25" s="99">
        <v>66163576</v>
      </c>
      <c r="O25" s="99">
        <v>95258397</v>
      </c>
      <c r="P25" s="99">
        <v>83851720</v>
      </c>
      <c r="Q25" s="99">
        <v>83851720</v>
      </c>
      <c r="R25" s="100">
        <v>1.61875907335907</v>
      </c>
      <c r="S25" t="inlineStr">
        <is>
          <t>Hubo ejecución por encima de lo programado en SisPT</t>
        </is>
      </c>
      <c r="T25" s="101">
        <v>171676083</v>
      </c>
      <c r="U25" s="101">
        <v>127216161</v>
      </c>
      <c r="V25" s="101">
        <v>127216161</v>
      </c>
      <c r="W25" s="102">
        <v>0.541672674552283</v>
      </c>
      <c r="X25" t="inlineStr">
        <is>
          <t>Lo obligado está por debajo de lo programado en la vigencia</t>
        </is>
      </c>
    </row>
    <row r="26">
      <c r="A26" t="inlineStr">
        <is>
          <t>IP-20</t>
        </is>
      </c>
      <c r="B26" t="inlineStr">
        <is>
          <t>45</t>
        </is>
      </c>
      <c r="C26" t="inlineStr">
        <is>
          <t>Gobierno Territorial</t>
        </is>
      </c>
      <c r="D26" t="inlineStr">
        <is>
          <t>4501</t>
        </is>
      </c>
      <c r="E26" t="inlineStr">
        <is>
          <t>Fortalecimiento de la convivencia y la seguridad ciudadana</t>
        </is>
      </c>
      <c r="F26" t="inlineStr">
        <is>
          <t>4501052</t>
        </is>
      </c>
      <c r="G26" t="inlineStr">
        <is>
          <t>Servicio de inteligencia técnica</t>
        </is>
      </c>
      <c r="H26" t="inlineStr">
        <is>
          <t>Corresponde a la adquisicion y montaje de equipos de inteligencia que contribuyan a la seguridad ciudadana.</t>
        </is>
      </c>
      <c r="I26" t="inlineStr">
        <is>
          <t>2024257850041</t>
        </is>
      </c>
      <c r="J26" s="99">
        <v>4539514</v>
      </c>
      <c r="K26" s="99">
        <v>0</v>
      </c>
      <c r="L26" s="99">
        <v>0</v>
      </c>
      <c r="M26" s="99">
        <v>4539514</v>
      </c>
      <c r="N26" s="99">
        <v>0</v>
      </c>
      <c r="O26" s="99" t="inlineStr">
        <is>
          <t xml:space="preserve"> </t>
        </is>
      </c>
      <c r="P26" s="99" t="inlineStr">
        <is>
          <t xml:space="preserve"> </t>
        </is>
      </c>
      <c r="Q26" s="99" t="inlineStr">
        <is>
          <t xml:space="preserve"> </t>
        </is>
      </c>
      <c r="R26" s="100" t="inlineStr">
        <is>
          <t xml:space="preserve"> </t>
        </is>
      </c>
      <c r="S26" t="inlineStr">
        <is>
          <t>No se encontró ejecución en CUIPO</t>
        </is>
      </c>
      <c r="T26" s="101" t="inlineStr">
        <is>
          <t xml:space="preserve"> </t>
        </is>
      </c>
      <c r="U26" s="101" t="inlineStr">
        <is>
          <t xml:space="preserve"> </t>
        </is>
      </c>
      <c r="V26" s="101" t="inlineStr">
        <is>
          <t xml:space="preserve"> </t>
        </is>
      </c>
      <c r="W26" s="102" t="inlineStr">
        <is>
          <t xml:space="preserve"> </t>
        </is>
      </c>
      <c r="X26" t="inlineStr">
        <is>
          <t>No se encontró ejecución en CUIPO</t>
        </is>
      </c>
    </row>
    <row r="27">
      <c r="A27" t="inlineStr">
        <is>
          <t>IP-21</t>
        </is>
      </c>
      <c r="B27" t="inlineStr">
        <is>
          <t>45</t>
        </is>
      </c>
      <c r="C27" t="inlineStr">
        <is>
          <t>Gobierno Territorial</t>
        </is>
      </c>
      <c r="D27" t="inlineStr">
        <is>
          <t>4501</t>
        </is>
      </c>
      <c r="E27" t="inlineStr">
        <is>
          <t>Fortalecimiento de la convivencia y la seguridad ciudadana</t>
        </is>
      </c>
      <c r="F27" t="inlineStr">
        <is>
          <t>4501028</t>
        </is>
      </c>
      <c r="G27" t="inlineStr">
        <is>
          <t>Servicio de vigilancia a través de cámaras de seguridad</t>
        </is>
      </c>
      <c r="H27" t="inlineStr">
        <is>
          <t>Incluye la disposición tecnológica de cámaras de seguridad para la implementación de estrategias de convivencia y seguridad ciudadana.</t>
        </is>
      </c>
      <c r="I27" t="inlineStr">
        <is>
          <t>2024257850041</t>
        </is>
      </c>
      <c r="J27" s="99">
        <v>103944692</v>
      </c>
      <c r="K27" s="99">
        <v>24300000</v>
      </c>
      <c r="L27" s="99">
        <v>20000000</v>
      </c>
      <c r="M27" s="99">
        <v>28606567</v>
      </c>
      <c r="N27" s="99">
        <v>31038125</v>
      </c>
      <c r="O27" s="99">
        <v>11282095</v>
      </c>
      <c r="P27" s="99">
        <v>11282095</v>
      </c>
      <c r="Q27" s="99">
        <v>11282095</v>
      </c>
      <c r="R27" s="100">
        <v>0.464283744855967</v>
      </c>
      <c r="S27" t="inlineStr">
        <is>
          <t>Lo obligado está por debajo de lo programado en la vigencia</t>
        </is>
      </c>
      <c r="T27" s="101" t="inlineStr">
        <is>
          <t xml:space="preserve"> </t>
        </is>
      </c>
      <c r="U27" s="101" t="inlineStr">
        <is>
          <t xml:space="preserve"> </t>
        </is>
      </c>
      <c r="V27" s="101" t="inlineStr">
        <is>
          <t xml:space="preserve"> </t>
        </is>
      </c>
      <c r="W27" s="102" t="inlineStr">
        <is>
          <t xml:space="preserve"> </t>
        </is>
      </c>
      <c r="X27" t="inlineStr">
        <is>
          <t>No se encontró ejecución en CUIPO</t>
        </is>
      </c>
    </row>
    <row r="28">
      <c r="A28" t="inlineStr">
        <is>
          <t>IP-22</t>
        </is>
      </c>
      <c r="B28" t="inlineStr">
        <is>
          <t>41</t>
        </is>
      </c>
      <c r="C28" t="inlineStr">
        <is>
          <t xml:space="preserve">Inclusión social y reconciliación </t>
        </is>
      </c>
      <c r="D28" t="inlineStr">
        <is>
          <t>4102</t>
        </is>
      </c>
      <c r="E28" t="inlineStr">
        <is>
          <t>Desarrollo integral de la primera infancia a la juventud, y fortalecimiento de las capacidades de las familias de niñas, niños y adolescentes</t>
        </is>
      </c>
      <c r="F28" t="inlineStr">
        <is>
          <t>4102035</t>
        </is>
      </c>
      <c r="G28" t="inlineStr">
        <is>
          <t>Documentos de lineamientos técnicos</t>
        </is>
      </c>
      <c r="H28" t="inlineStr">
        <is>
          <t>Documentos cuyo objetivo es describir y explicar instrumentos, estándares, requisitos y condiciones necesarias para llevar a cabo un proceso o actividad</t>
        </is>
      </c>
      <c r="I28" t="inlineStr">
        <is>
          <t>202500000043455</t>
        </is>
      </c>
      <c r="J28" s="99">
        <v>40000000</v>
      </c>
      <c r="K28" s="99">
        <v>0</v>
      </c>
      <c r="L28" s="99">
        <v>40000000</v>
      </c>
      <c r="M28" s="99">
        <v>0</v>
      </c>
      <c r="N28" s="99">
        <v>0</v>
      </c>
      <c r="O28" s="99" t="inlineStr">
        <is>
          <t xml:space="preserve"> </t>
        </is>
      </c>
      <c r="P28" s="99" t="inlineStr">
        <is>
          <t xml:space="preserve"> </t>
        </is>
      </c>
      <c r="Q28" s="99" t="inlineStr">
        <is>
          <t xml:space="preserve"> </t>
        </is>
      </c>
      <c r="R28" s="100" t="inlineStr">
        <is>
          <t xml:space="preserve"> </t>
        </is>
      </c>
      <c r="S28" t="inlineStr">
        <is>
          <t>No se encontró ejecución en CUIPO</t>
        </is>
      </c>
      <c r="T28" s="101" t="inlineStr">
        <is>
          <t xml:space="preserve"> </t>
        </is>
      </c>
      <c r="U28" s="101" t="inlineStr">
        <is>
          <t xml:space="preserve"> </t>
        </is>
      </c>
      <c r="V28" s="101" t="inlineStr">
        <is>
          <t xml:space="preserve"> </t>
        </is>
      </c>
      <c r="W28" s="102" t="inlineStr">
        <is>
          <t xml:space="preserve"> </t>
        </is>
      </c>
      <c r="X28" t="inlineStr">
        <is>
          <t>No se encontró ejecución en CUIPO</t>
        </is>
      </c>
    </row>
    <row r="29">
      <c r="A29" t="inlineStr">
        <is>
          <t>IP-23, IP-25</t>
        </is>
      </c>
      <c r="B29" t="inlineStr">
        <is>
          <t>41</t>
        </is>
      </c>
      <c r="C29" t="inlineStr">
        <is>
          <t xml:space="preserve">Inclusión social y reconciliación </t>
        </is>
      </c>
      <c r="D29" t="inlineStr">
        <is>
          <t>4103</t>
        </is>
      </c>
      <c r="E29" t="inlineStr">
        <is>
          <t>Inclusión social y productiva para la población en situación de vulnerabilidad</t>
        </is>
      </c>
      <c r="F29" t="inlineStr">
        <is>
          <t>4103052</t>
        </is>
      </c>
      <c r="G29" t="inlineStr">
        <is>
          <t>Servicio de gestión de oferta social para la población vulnerable</t>
        </is>
      </c>
      <c r="H29" t="inlineStr">
        <is>
          <t>Incluye el desarrollo de acciones encaminadas a generar dinámicas de atención conjunta, articulada y eficiente entre las instituciones del estado hacia la población vulnerable.</t>
        </is>
      </c>
      <c r="I29" t="inlineStr">
        <is>
          <t>2024257850011</t>
        </is>
      </c>
      <c r="J29" s="99">
        <v>513351853</v>
      </c>
      <c r="K29" s="99">
        <v>79142000</v>
      </c>
      <c r="L29" s="99">
        <v>95869070</v>
      </c>
      <c r="M29" s="99">
        <v>163692940</v>
      </c>
      <c r="N29" s="99">
        <v>174647843</v>
      </c>
      <c r="O29" s="99" t="inlineStr">
        <is>
          <t xml:space="preserve"> </t>
        </is>
      </c>
      <c r="P29" s="99" t="inlineStr">
        <is>
          <t xml:space="preserve"> </t>
        </is>
      </c>
      <c r="Q29" s="99" t="inlineStr">
        <is>
          <t xml:space="preserve"> </t>
        </is>
      </c>
      <c r="R29" s="100" t="inlineStr">
        <is>
          <t xml:space="preserve"> </t>
        </is>
      </c>
      <c r="S29" t="inlineStr">
        <is>
          <t>No se encontró ejecución en CUIPO</t>
        </is>
      </c>
      <c r="T29" s="101" t="inlineStr">
        <is>
          <t xml:space="preserve"> </t>
        </is>
      </c>
      <c r="U29" s="101" t="inlineStr">
        <is>
          <t xml:space="preserve"> </t>
        </is>
      </c>
      <c r="V29" s="101" t="inlineStr">
        <is>
          <t xml:space="preserve"> </t>
        </is>
      </c>
      <c r="W29" s="102" t="inlineStr">
        <is>
          <t xml:space="preserve"> </t>
        </is>
      </c>
      <c r="X29" t="inlineStr">
        <is>
          <t>No se encontró ejecución en CUIPO</t>
        </is>
      </c>
    </row>
    <row r="30">
      <c r="A30" t="inlineStr">
        <is>
          <t>IP-24</t>
        </is>
      </c>
      <c r="B30" t="inlineStr">
        <is>
          <t>41</t>
        </is>
      </c>
      <c r="C30" t="inlineStr">
        <is>
          <t xml:space="preserve">Inclusión social y reconciliación </t>
        </is>
      </c>
      <c r="D30" t="inlineStr">
        <is>
          <t>4103</t>
        </is>
      </c>
      <c r="E30" t="inlineStr">
        <is>
          <t>Inclusión social y productiva para la población en situación de vulnerabilidad</t>
        </is>
      </c>
      <c r="F30" t="inlineStr">
        <is>
          <t>4103050</t>
        </is>
      </c>
      <c r="G30" t="inlineStr">
        <is>
          <t>Servicio de acompañamiento familiar y comunitario para la superación de la pobreza</t>
        </is>
      </c>
      <c r="H30" t="inlineStr">
        <is>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is>
      </c>
      <c r="I30" t="inlineStr">
        <is>
          <t>2024257850010</t>
        </is>
      </c>
      <c r="J30" s="99">
        <v>6454514</v>
      </c>
      <c r="K30" s="99">
        <v>1000000</v>
      </c>
      <c r="L30" s="99">
        <v>3000000</v>
      </c>
      <c r="M30" s="99">
        <v>1177225</v>
      </c>
      <c r="N30" s="99">
        <v>1277289</v>
      </c>
      <c r="O30" s="99" t="inlineStr">
        <is>
          <t xml:space="preserve"> </t>
        </is>
      </c>
      <c r="P30" s="99" t="inlineStr">
        <is>
          <t xml:space="preserve"> </t>
        </is>
      </c>
      <c r="Q30" s="99" t="inlineStr">
        <is>
          <t xml:space="preserve"> </t>
        </is>
      </c>
      <c r="R30" s="100" t="inlineStr">
        <is>
          <t xml:space="preserve"> </t>
        </is>
      </c>
      <c r="S30" t="inlineStr">
        <is>
          <t>No se encontró ejecución en CUIPO</t>
        </is>
      </c>
      <c r="T30" s="101">
        <v>3000000</v>
      </c>
      <c r="U30" s="101">
        <v>654360</v>
      </c>
      <c r="V30" s="101">
        <v>0</v>
      </c>
      <c r="W30" s="102">
        <v>0.21812</v>
      </c>
      <c r="X30" t="inlineStr">
        <is>
          <t>Lo obligado está por debajo de lo programado en la vigencia</t>
        </is>
      </c>
    </row>
    <row r="31">
      <c r="A31" t="inlineStr">
        <is>
          <t>IP-26</t>
        </is>
      </c>
      <c r="B31" t="inlineStr">
        <is>
          <t>41</t>
        </is>
      </c>
      <c r="C31" t="inlineStr">
        <is>
          <t xml:space="preserve">Inclusión social y reconciliación </t>
        </is>
      </c>
      <c r="D31" t="inlineStr">
        <is>
          <t>4104</t>
        </is>
      </c>
      <c r="E31" t="inlineStr">
        <is>
          <t>Atención integral de población en situación permanente de desprotección social y/o familiar</t>
        </is>
      </c>
      <c r="F31" t="inlineStr">
        <is>
          <t>4104020</t>
        </is>
      </c>
      <c r="G31" t="inlineStr">
        <is>
          <t>Servicio de atención integral a población en condición de discapacidad</t>
        </is>
      </c>
      <c r="H31" t="inlineStr">
        <is>
          <t>Servicios integrales que incluyen aspectos relacionados con atención en salud, cuidado, alimentación, hospedaje, formación para el trabajo, inclusión productiva, recreación, entre otros, para población en condición de discapacidad.</t>
        </is>
      </c>
      <c r="I31" t="inlineStr">
        <is>
          <t>2024257850009</t>
        </is>
      </c>
      <c r="J31" s="99">
        <v>652246061</v>
      </c>
      <c r="K31" s="99">
        <v>141942000</v>
      </c>
      <c r="L31" s="99">
        <v>169007070</v>
      </c>
      <c r="M31" s="99">
        <v>167097670</v>
      </c>
      <c r="N31" s="99">
        <v>174199321</v>
      </c>
      <c r="O31" s="99">
        <v>58693433</v>
      </c>
      <c r="P31" s="99">
        <v>58693433</v>
      </c>
      <c r="Q31" s="99">
        <v>43949333</v>
      </c>
      <c r="R31" s="100">
        <v>0.413502930774542</v>
      </c>
      <c r="S31" t="inlineStr">
        <is>
          <t>Lo obligado está por debajo de lo programado en la vigencia</t>
        </is>
      </c>
      <c r="T31" s="101">
        <v>135834717</v>
      </c>
      <c r="U31" s="101">
        <v>96332168</v>
      </c>
      <c r="V31" s="101">
        <v>96332168</v>
      </c>
      <c r="W31" s="102">
        <v>0.569988983301113</v>
      </c>
      <c r="X31" t="inlineStr">
        <is>
          <t>Lo obligado está por debajo de lo programado en la vigencia</t>
        </is>
      </c>
    </row>
    <row r="32">
      <c r="A32" t="inlineStr">
        <is>
          <t>IP-27</t>
        </is>
      </c>
      <c r="B32" t="inlineStr">
        <is>
          <t>41</t>
        </is>
      </c>
      <c r="C32" t="inlineStr">
        <is>
          <t xml:space="preserve">Inclusión social y reconciliación </t>
        </is>
      </c>
      <c r="D32" t="inlineStr">
        <is>
          <t>4103</t>
        </is>
      </c>
      <c r="E32" t="inlineStr">
        <is>
          <t>Inclusión social y productiva para la población en situación de vulnerabilidad</t>
        </is>
      </c>
      <c r="F32" t="inlineStr">
        <is>
          <t>4103052</t>
        </is>
      </c>
      <c r="G32" t="inlineStr">
        <is>
          <t>Servicio de gestión de oferta social para la población vulnerable</t>
        </is>
      </c>
      <c r="H32" t="inlineStr">
        <is>
          <t>Incluye el desarrollo de acciones encaminadas a generar dinámicas de atención conjunta, articulada y eficiente entre las instituciones del estado hacia la población vulnerable.</t>
        </is>
      </c>
      <c r="I32" t="inlineStr">
        <is>
          <t>2024257850010</t>
        </is>
      </c>
      <c r="J32" s="99">
        <v>277341350</v>
      </c>
      <c r="K32" s="99">
        <v>59142000</v>
      </c>
      <c r="L32" s="99">
        <v>75993474</v>
      </c>
      <c r="M32" s="99">
        <v>69623440</v>
      </c>
      <c r="N32" s="99">
        <v>72582436</v>
      </c>
      <c r="O32" s="99">
        <v>26807414</v>
      </c>
      <c r="P32" s="99">
        <v>26807414</v>
      </c>
      <c r="Q32" s="99">
        <v>26807414</v>
      </c>
      <c r="R32" s="100">
        <v>0.453272023266038</v>
      </c>
      <c r="S32" t="inlineStr">
        <is>
          <t>Lo obligado está por debajo de lo programado en la vigencia</t>
        </is>
      </c>
      <c r="T32" s="101">
        <v>49400000</v>
      </c>
      <c r="U32" s="101">
        <v>38293238</v>
      </c>
      <c r="V32" s="101">
        <v>38293238</v>
      </c>
      <c r="W32" s="102">
        <v>0.503901663977094</v>
      </c>
      <c r="X32" t="inlineStr">
        <is>
          <t>Lo obligado está por debajo de lo programado en la vigencia</t>
        </is>
      </c>
    </row>
    <row r="33">
      <c r="A33" t="inlineStr">
        <is>
          <t>IP-28</t>
        </is>
      </c>
      <c r="B33" t="inlineStr">
        <is>
          <t>45</t>
        </is>
      </c>
      <c r="C33" t="inlineStr">
        <is>
          <t>Gobierno Territorial</t>
        </is>
      </c>
      <c r="D33" t="inlineStr">
        <is>
          <t>4502</t>
        </is>
      </c>
      <c r="E33" t="inlineStr">
        <is>
          <t>Fortalecimiento del buen gobierno para el respeto y garantía de los derechos humanos.</t>
        </is>
      </c>
      <c r="F33" t="inlineStr">
        <is>
          <t>4502026</t>
        </is>
      </c>
      <c r="G33" t="inlineStr">
        <is>
          <t>Documentos normativos</t>
        </is>
      </c>
      <c r="H33" t="inlineStr">
        <is>
          <t>Incluye la realización de los documentos de contenido normativo para la reglamentación de las diferentes lineas de acción del programa.</t>
        </is>
      </c>
      <c r="I33" t="inlineStr">
        <is>
          <t/>
        </is>
      </c>
      <c r="J33" s="99">
        <v>47000000</v>
      </c>
      <c r="K33" s="99">
        <v>0</v>
      </c>
      <c r="L33" s="99">
        <v>0</v>
      </c>
      <c r="M33" s="99">
        <v>0</v>
      </c>
      <c r="N33" s="99">
        <v>47000000</v>
      </c>
      <c r="O33" s="99" t="inlineStr">
        <is>
          <t xml:space="preserve"> </t>
        </is>
      </c>
      <c r="P33" s="99" t="inlineStr">
        <is>
          <t xml:space="preserve"> </t>
        </is>
      </c>
      <c r="Q33" s="99" t="inlineStr">
        <is>
          <t xml:space="preserve"> </t>
        </is>
      </c>
      <c r="R33" s="100" t="inlineStr">
        <is>
          <t xml:space="preserve"> </t>
        </is>
      </c>
      <c r="S33" t="inlineStr">
        <is>
          <t>Por falta de código BPIN, no se encontró ejecución en CUIPO</t>
        </is>
      </c>
      <c r="T33" s="101" t="inlineStr">
        <is>
          <t xml:space="preserve"> </t>
        </is>
      </c>
      <c r="U33" s="101" t="inlineStr">
        <is>
          <t xml:space="preserve"> </t>
        </is>
      </c>
      <c r="V33" s="101" t="inlineStr">
        <is>
          <t xml:space="preserve"> </t>
        </is>
      </c>
      <c r="W33" s="102" t="inlineStr">
        <is>
          <t xml:space="preserve"> </t>
        </is>
      </c>
      <c r="X33" t="inlineStr">
        <is>
          <t>Por falta de código BPIN, no se encontró ejecución en CUIPO</t>
        </is>
      </c>
    </row>
    <row r="34">
      <c r="A34" t="inlineStr">
        <is>
          <t>IP-29</t>
        </is>
      </c>
      <c r="B34" t="inlineStr">
        <is>
          <t>41</t>
        </is>
      </c>
      <c r="C34" t="inlineStr">
        <is>
          <t xml:space="preserve">Inclusión social y reconciliación </t>
        </is>
      </c>
      <c r="D34" t="inlineStr">
        <is>
          <t>4103</t>
        </is>
      </c>
      <c r="E34" t="inlineStr">
        <is>
          <t>Inclusión social y productiva para la población en situación de vulnerabilidad</t>
        </is>
      </c>
      <c r="F34" t="inlineStr">
        <is>
          <t>4103052</t>
        </is>
      </c>
      <c r="G34" t="inlineStr">
        <is>
          <t>Servicio de gestión de oferta social para la población vulnerable</t>
        </is>
      </c>
      <c r="H34" t="inlineStr">
        <is>
          <t>Incluye el desarrollo de acciones encaminadas a generar dinámicas de atención conjunta, articulada y eficiente entre las instituciones del estado hacia la población vulnerable.</t>
        </is>
      </c>
      <c r="I34" t="inlineStr">
        <is>
          <t/>
        </is>
      </c>
      <c r="J34" s="99">
        <v>1853628403</v>
      </c>
      <c r="K34" s="99">
        <v>252000000</v>
      </c>
      <c r="L34" s="99">
        <v>983090844</v>
      </c>
      <c r="M34" s="99">
        <v>296660700</v>
      </c>
      <c r="N34" s="99">
        <v>321876859</v>
      </c>
      <c r="O34" s="99" t="inlineStr">
        <is>
          <t xml:space="preserve"> </t>
        </is>
      </c>
      <c r="P34" s="99" t="inlineStr">
        <is>
          <t xml:space="preserve"> </t>
        </is>
      </c>
      <c r="Q34" s="99" t="inlineStr">
        <is>
          <t xml:space="preserve"> </t>
        </is>
      </c>
      <c r="R34" s="100" t="inlineStr">
        <is>
          <t xml:space="preserve"> </t>
        </is>
      </c>
      <c r="S34" t="inlineStr">
        <is>
          <t>Por falta de código BPIN, no se encontró ejecución en CUIPO</t>
        </is>
      </c>
      <c r="T34" s="101" t="inlineStr">
        <is>
          <t xml:space="preserve"> </t>
        </is>
      </c>
      <c r="U34" s="101" t="inlineStr">
        <is>
          <t xml:space="preserve"> </t>
        </is>
      </c>
      <c r="V34" s="101" t="inlineStr">
        <is>
          <t xml:space="preserve"> </t>
        </is>
      </c>
      <c r="W34" s="102" t="inlineStr">
        <is>
          <t xml:space="preserve"> </t>
        </is>
      </c>
      <c r="X34" t="inlineStr">
        <is>
          <t>Por falta de código BPIN, no se encontró ejecución en CUIPO</t>
        </is>
      </c>
    </row>
    <row r="35">
      <c r="A35" t="inlineStr">
        <is>
          <t>IP-30</t>
        </is>
      </c>
      <c r="B35" t="inlineStr">
        <is>
          <t>41</t>
        </is>
      </c>
      <c r="C35" t="inlineStr">
        <is>
          <t xml:space="preserve">Inclusión social y reconciliación </t>
        </is>
      </c>
      <c r="D35" t="inlineStr">
        <is>
          <t>4101</t>
        </is>
      </c>
      <c r="E35" t="inlineStr">
        <is>
          <t>Atención, asistencia y reparación integral a las víctimas</t>
        </is>
      </c>
      <c r="F35" t="inlineStr">
        <is>
          <t>4101100</t>
        </is>
      </c>
      <c r="G35" t="inlineStr">
        <is>
          <t>Servicio de asistencia humanitaria a víctimas del conflicto armado</t>
        </is>
      </c>
      <c r="H35" t="inlineStr">
        <is>
          <t xml:space="preserve">Mediante el cual se garantiza el derecho al mínimo vital a las víctimas para los tres componentes principales de alimentación, alojamiento temporal y salud. Las medidas de asistencia humanitaria para víctimas de desplazamiento forzado se denominan atención humanitaria. Las medidas de asistencia humanitaria para víctimas de otros hechos diferentes al desplazamiento forzado se denominan ayuda humanitaria. </t>
        </is>
      </c>
      <c r="I35" t="inlineStr">
        <is>
          <t>2024257850006</t>
        </is>
      </c>
      <c r="J35" s="99">
        <v>22697570</v>
      </c>
      <c r="K35" s="99">
        <v>5000000</v>
      </c>
      <c r="L35" s="99">
        <v>5425000</v>
      </c>
      <c r="M35" s="99">
        <v>5886125</v>
      </c>
      <c r="N35" s="99">
        <v>6386445</v>
      </c>
      <c r="O35" s="99">
        <v>1787500</v>
      </c>
      <c r="P35" s="99">
        <v>1787500</v>
      </c>
      <c r="Q35" s="99">
        <v>1787500</v>
      </c>
      <c r="R35" s="100">
        <v>0.3575</v>
      </c>
      <c r="S35" t="inlineStr">
        <is>
          <t>Lo obligado está por debajo de lo programado en la vigencia</t>
        </is>
      </c>
      <c r="T35" s="101">
        <v>3029812</v>
      </c>
      <c r="U35" s="101">
        <v>3029812</v>
      </c>
      <c r="V35" s="101">
        <v>3029812</v>
      </c>
      <c r="W35" s="102">
        <v>0.55849069124424</v>
      </c>
      <c r="X35" t="inlineStr">
        <is>
          <t>Lo obligado está por debajo de lo programado en la vigencia</t>
        </is>
      </c>
    </row>
    <row r="36">
      <c r="A36" t="inlineStr">
        <is>
          <t>IP-31</t>
        </is>
      </c>
      <c r="B36" t="inlineStr">
        <is>
          <t>41</t>
        </is>
      </c>
      <c r="C36" t="inlineStr">
        <is>
          <t xml:space="preserve">Inclusión social y reconciliación </t>
        </is>
      </c>
      <c r="D36" t="inlineStr">
        <is>
          <t>4101</t>
        </is>
      </c>
      <c r="E36" t="inlineStr">
        <is>
          <t>Atención, asistencia y reparación integral a las víctimas</t>
        </is>
      </c>
      <c r="F36" t="inlineStr">
        <is>
          <t>4101014</t>
        </is>
      </c>
      <c r="G36" t="inlineStr">
        <is>
          <t>Servicio de caracterización de la población víctima para su posterior atención, asistencia y reparación integral</t>
        </is>
      </c>
      <c r="H36" t="inlineStr">
        <is>
          <t xml:space="preserve">Mediante los cuales se caracteriza y se hace levantamiento de información individual de cada víctima y su hogar para la Asistencia Atención y Reparación Integral  </t>
        </is>
      </c>
      <c r="I36" t="inlineStr">
        <is>
          <t>2024257850006</t>
        </is>
      </c>
      <c r="J36" s="99">
        <v>127106394</v>
      </c>
      <c r="K36" s="99">
        <v>28000000</v>
      </c>
      <c r="L36" s="99">
        <v>30380000</v>
      </c>
      <c r="M36" s="99">
        <v>32962299</v>
      </c>
      <c r="N36" s="99">
        <v>35764095</v>
      </c>
      <c r="O36" s="99">
        <v>18731523</v>
      </c>
      <c r="P36" s="99">
        <v>18731523</v>
      </c>
      <c r="Q36" s="99">
        <v>18731523</v>
      </c>
      <c r="R36" s="100">
        <v>0.668982964285714</v>
      </c>
      <c r="S36" t="inlineStr">
        <is>
          <t>Lo obligado está por debajo de lo programado en la vigencia</t>
        </is>
      </c>
      <c r="T36" s="101" t="inlineStr">
        <is>
          <t xml:space="preserve"> </t>
        </is>
      </c>
      <c r="U36" s="101" t="inlineStr">
        <is>
          <t xml:space="preserve"> </t>
        </is>
      </c>
      <c r="V36" s="101" t="inlineStr">
        <is>
          <t xml:space="preserve"> </t>
        </is>
      </c>
      <c r="W36" s="102" t="inlineStr">
        <is>
          <t xml:space="preserve"> </t>
        </is>
      </c>
      <c r="X36" t="inlineStr">
        <is>
          <t>No se encontró ejecución en CUIPO</t>
        </is>
      </c>
    </row>
    <row r="37">
      <c r="A37" t="inlineStr">
        <is>
          <t>IP-32</t>
        </is>
      </c>
      <c r="B37" t="inlineStr">
        <is>
          <t>41</t>
        </is>
      </c>
      <c r="C37" t="inlineStr">
        <is>
          <t xml:space="preserve">Inclusión social y reconciliación </t>
        </is>
      </c>
      <c r="D37" t="inlineStr">
        <is>
          <t>4101</t>
        </is>
      </c>
      <c r="E37" t="inlineStr">
        <is>
          <t>Atención, asistencia y reparación integral a las víctimas</t>
        </is>
      </c>
      <c r="F37" t="inlineStr">
        <is>
          <t>4101073</t>
        </is>
      </c>
      <c r="G37" t="inlineStr">
        <is>
          <t>Servicio de apoyo para la generación de ingresos</t>
        </is>
      </c>
      <c r="H37" t="inlineStr">
        <is>
          <t>Corresponde a la entrega de recursos en especie o monetarios mediante incentivos dirigidos a generar las condiciones de auto sostenimiento de los hogares desplazados o en riesgo de desplazamiento, bien sea en el marco de los procesos de retorno o de reubicación, con el fin de que logren la generación de un ingreso propio.</t>
        </is>
      </c>
      <c r="I37" t="inlineStr">
        <is>
          <t>2024257850006</t>
        </is>
      </c>
      <c r="J37" s="99">
        <v>95100000</v>
      </c>
      <c r="K37" s="99">
        <v>0</v>
      </c>
      <c r="L37" s="99">
        <v>30000000</v>
      </c>
      <c r="M37" s="99">
        <v>32550000</v>
      </c>
      <c r="N37" s="99">
        <v>32550000</v>
      </c>
      <c r="O37" s="99" t="inlineStr">
        <is>
          <t xml:space="preserve"> </t>
        </is>
      </c>
      <c r="P37" s="99" t="inlineStr">
        <is>
          <t xml:space="preserve"> </t>
        </is>
      </c>
      <c r="Q37" s="99" t="inlineStr">
        <is>
          <t xml:space="preserve"> </t>
        </is>
      </c>
      <c r="R37" s="100" t="inlineStr">
        <is>
          <t xml:space="preserve"> </t>
        </is>
      </c>
      <c r="S37" t="inlineStr">
        <is>
          <t>No se encontró ejecución en CUIPO</t>
        </is>
      </c>
      <c r="T37" s="101" t="inlineStr">
        <is>
          <t xml:space="preserve"> </t>
        </is>
      </c>
      <c r="U37" s="101" t="inlineStr">
        <is>
          <t xml:space="preserve"> </t>
        </is>
      </c>
      <c r="V37" s="101" t="inlineStr">
        <is>
          <t xml:space="preserve"> </t>
        </is>
      </c>
      <c r="W37" s="102" t="inlineStr">
        <is>
          <t xml:space="preserve"> </t>
        </is>
      </c>
      <c r="X37" t="inlineStr">
        <is>
          <t>No se encontró ejecución en CUIPO</t>
        </is>
      </c>
    </row>
    <row r="38">
      <c r="A38" t="inlineStr">
        <is>
          <t>IP-33</t>
        </is>
      </c>
      <c r="B38" t="inlineStr">
        <is>
          <t>41</t>
        </is>
      </c>
      <c r="C38" t="inlineStr">
        <is>
          <t xml:space="preserve">Inclusión social y reconciliación </t>
        </is>
      </c>
      <c r="D38" t="inlineStr">
        <is>
          <t>4101</t>
        </is>
      </c>
      <c r="E38" t="inlineStr">
        <is>
          <t>Atención, asistencia y reparación integral a las víctimas</t>
        </is>
      </c>
      <c r="F38" t="inlineStr">
        <is>
          <t>4101038</t>
        </is>
      </c>
      <c r="G38" t="inlineStr">
        <is>
          <t>Servicio de asistencia técnica para la participación de las víctimas</t>
        </is>
      </c>
      <c r="H38" t="inlineStr">
        <is>
          <t>Orientados a generar mecanismos mediante los cuales las víctimas tengan participación conjunta y activa en la determinación de las medidas y programas que se desarrollan en su proceso de atención y reparación.</t>
        </is>
      </c>
      <c r="I38" t="inlineStr">
        <is>
          <t>2024257850006</t>
        </is>
      </c>
      <c r="J38" s="99">
        <v>27237084</v>
      </c>
      <c r="K38" s="99">
        <v>6000000</v>
      </c>
      <c r="L38" s="99">
        <v>6510000</v>
      </c>
      <c r="M38" s="99">
        <v>7063350</v>
      </c>
      <c r="N38" s="99">
        <v>7663734</v>
      </c>
      <c r="O38" s="99">
        <v>6042417</v>
      </c>
      <c r="P38" s="99">
        <v>6042417</v>
      </c>
      <c r="Q38" s="99">
        <v>6042417</v>
      </c>
      <c r="R38" s="100">
        <v>1.0070695</v>
      </c>
      <c r="S38" t="inlineStr">
        <is>
          <t>Hubo ejecución por encima de lo programado en SisPT</t>
        </is>
      </c>
      <c r="T38" s="101">
        <v>2719400</v>
      </c>
      <c r="U38" s="101">
        <v>2719400</v>
      </c>
      <c r="V38" s="101">
        <v>2719400</v>
      </c>
      <c r="W38" s="102">
        <v>0.417726574500768</v>
      </c>
      <c r="X38" t="inlineStr">
        <is>
          <t>Lo obligado está por debajo de lo programado en la vigencia</t>
        </is>
      </c>
    </row>
    <row r="39">
      <c r="A39" t="inlineStr">
        <is>
          <t>IP-34</t>
        </is>
      </c>
      <c r="B39" t="inlineStr">
        <is>
          <t>41</t>
        </is>
      </c>
      <c r="C39" t="inlineStr">
        <is>
          <t xml:space="preserve">Inclusión social y reconciliación </t>
        </is>
      </c>
      <c r="D39" t="inlineStr">
        <is>
          <t>4101</t>
        </is>
      </c>
      <c r="E39" t="inlineStr">
        <is>
          <t>Atención, asistencia y reparación integral a las víctimas</t>
        </is>
      </c>
      <c r="F39" t="inlineStr">
        <is>
          <t>4101092</t>
        </is>
      </c>
      <c r="G39" t="inlineStr">
        <is>
          <t>Servicios de satisfacción y garantías de no repetición a víctimas del conflicto armado</t>
        </is>
      </c>
      <c r="H39" t="inlineStr">
        <is>
          <t>Corresponde a la implementación de medidas de satisfacción y garantías de no repetición a víctimas del conflicto armado dentro del proceso de Reparación Integral. Comprende la implementación de acciones concertadas y estrategias grupales en los componentes de memoria, dignificación y recuperación de prácticas sociales. Este incluye el reconocimiento de víctima ante la comunidad y el ofensor, reconocimiento de responsabilidad de los hechos y solicitudes de perdón, homenajes y actos conmemorativos a las victimas del conflicto armado, difusión del relato de víctimas y apoyo psicosocial en entrega de restos a familiares de víctimas de desaparición forzada, así como, acciones en el marco de la medida de garantías de no repetición a nivel individual enfocada en los componentes de pedagogía social y reconciliación.</t>
        </is>
      </c>
      <c r="I39" t="inlineStr">
        <is>
          <t>2024257850006</t>
        </is>
      </c>
      <c r="J39" s="99">
        <v>22697570</v>
      </c>
      <c r="K39" s="99">
        <v>5000000</v>
      </c>
      <c r="L39" s="99">
        <v>5425000</v>
      </c>
      <c r="M39" s="99">
        <v>5886125</v>
      </c>
      <c r="N39" s="99">
        <v>6386445</v>
      </c>
      <c r="O39" s="99">
        <v>5000000</v>
      </c>
      <c r="P39" s="99">
        <v>4999999</v>
      </c>
      <c r="Q39" s="99">
        <v>4999999</v>
      </c>
      <c r="R39" s="100">
        <v>0.9999998</v>
      </c>
      <c r="S39" t="inlineStr">
        <is>
          <t>Lo obligado está por debajo de lo programado en la vigencia</t>
        </is>
      </c>
      <c r="T39" s="101">
        <v>5425000</v>
      </c>
      <c r="U39" s="101">
        <v>5425000</v>
      </c>
      <c r="V39" s="101">
        <v>5425000</v>
      </c>
      <c r="W39" s="102">
        <v>1</v>
      </c>
      <c r="X39" t="inlineStr">
        <is>
          <t>Se ejecutó el 100% de lo programado en la vigencia</t>
        </is>
      </c>
    </row>
    <row r="40">
      <c r="A40" t="inlineStr">
        <is>
          <t>IP-35</t>
        </is>
      </c>
      <c r="B40" t="inlineStr">
        <is>
          <t>41</t>
        </is>
      </c>
      <c r="C40" t="inlineStr">
        <is>
          <t xml:space="preserve">Inclusión social y reconciliación </t>
        </is>
      </c>
      <c r="D40" t="inlineStr">
        <is>
          <t>4102</t>
        </is>
      </c>
      <c r="E40" t="inlineStr">
        <is>
          <t>Desarrollo integral de la primera infancia a la juventud, y fortalecimiento de las capacidades de las familias de niñas, niños y adolescentes</t>
        </is>
      </c>
      <c r="F40" t="inlineStr">
        <is>
          <t>4102005</t>
        </is>
      </c>
      <c r="G40" t="inlineStr">
        <is>
          <t>Edificaciones de atención a la primera infancia adecuadas</t>
        </is>
      </c>
      <c r="H40" t="inlineStr">
        <is>
          <t xml:space="preserve">Adecuación de infraestructuras dirigidas  específicamente  a prestar Servicio de atención integral a la primera infancia.  </t>
        </is>
      </c>
      <c r="I40" t="inlineStr">
        <is>
          <t>2024257850052</t>
        </is>
      </c>
      <c r="J40" s="99">
        <v>1085000000</v>
      </c>
      <c r="K40" s="99">
        <v>0</v>
      </c>
      <c r="L40" s="99">
        <v>1085000000</v>
      </c>
      <c r="M40" s="99">
        <v>0</v>
      </c>
      <c r="N40" s="99">
        <v>0</v>
      </c>
      <c r="O40" s="99" t="inlineStr">
        <is>
          <t xml:space="preserve"> </t>
        </is>
      </c>
      <c r="P40" s="99" t="inlineStr">
        <is>
          <t xml:space="preserve"> </t>
        </is>
      </c>
      <c r="Q40" s="99" t="inlineStr">
        <is>
          <t xml:space="preserve"> </t>
        </is>
      </c>
      <c r="R40" s="100" t="inlineStr">
        <is>
          <t xml:space="preserve"> </t>
        </is>
      </c>
      <c r="S40" t="inlineStr">
        <is>
          <t>No se encontró ejecución en CUIPO</t>
        </is>
      </c>
      <c r="T40" s="101" t="inlineStr">
        <is>
          <t xml:space="preserve"> </t>
        </is>
      </c>
      <c r="U40" s="101" t="inlineStr">
        <is>
          <t xml:space="preserve"> </t>
        </is>
      </c>
      <c r="V40" s="101" t="inlineStr">
        <is>
          <t xml:space="preserve"> </t>
        </is>
      </c>
      <c r="W40" s="102" t="inlineStr">
        <is>
          <t xml:space="preserve"> </t>
        </is>
      </c>
      <c r="X40" t="inlineStr">
        <is>
          <t>No se encontró ejecución en CUIPO</t>
        </is>
      </c>
    </row>
    <row r="41">
      <c r="A41" t="inlineStr">
        <is>
          <t>IP-36</t>
        </is>
      </c>
      <c r="B41" t="inlineStr">
        <is>
          <t>41</t>
        </is>
      </c>
      <c r="C41" t="inlineStr">
        <is>
          <t xml:space="preserve">Inclusión social y reconciliación </t>
        </is>
      </c>
      <c r="D41" t="inlineStr">
        <is>
          <t>4103</t>
        </is>
      </c>
      <c r="E41" t="inlineStr">
        <is>
          <t>Inclusión social y productiva para la población en situación de vulnerabilidad</t>
        </is>
      </c>
      <c r="F41" t="inlineStr">
        <is>
          <t>4103025</t>
        </is>
      </c>
      <c r="G41" t="inlineStr">
        <is>
          <t>Centros comunitarios construidos</t>
        </is>
      </c>
      <c r="H41" t="inlineStr">
        <is>
          <t xml:space="preserve">Construcción de infraestructura dispuesta a la comunidad para que pueda desarrollar actividades culturales, sociales y de formación. </t>
        </is>
      </c>
      <c r="I41" t="inlineStr">
        <is>
          <t>202500000021272</t>
        </is>
      </c>
      <c r="J41" s="99">
        <v>869035184</v>
      </c>
      <c r="K41" s="99">
        <v>0</v>
      </c>
      <c r="L41" s="99">
        <v>869035184</v>
      </c>
      <c r="M41" s="99">
        <v>0</v>
      </c>
      <c r="N41" s="99">
        <v>0</v>
      </c>
      <c r="O41" s="99" t="inlineStr">
        <is>
          <t xml:space="preserve"> </t>
        </is>
      </c>
      <c r="P41" s="99" t="inlineStr">
        <is>
          <t xml:space="preserve"> </t>
        </is>
      </c>
      <c r="Q41" s="99" t="inlineStr">
        <is>
          <t xml:space="preserve"> </t>
        </is>
      </c>
      <c r="R41" s="100" t="inlineStr">
        <is>
          <t xml:space="preserve"> </t>
        </is>
      </c>
      <c r="S41" t="inlineStr">
        <is>
          <t>No se encontró ejecución en CUIPO</t>
        </is>
      </c>
      <c r="T41" s="101" t="inlineStr">
        <is>
          <t xml:space="preserve"> </t>
        </is>
      </c>
      <c r="U41" s="101" t="inlineStr">
        <is>
          <t xml:space="preserve"> </t>
        </is>
      </c>
      <c r="V41" s="101" t="inlineStr">
        <is>
          <t xml:space="preserve"> </t>
        </is>
      </c>
      <c r="W41" s="102" t="inlineStr">
        <is>
          <t xml:space="preserve"> </t>
        </is>
      </c>
      <c r="X41" t="inlineStr">
        <is>
          <t>No se encontró ejecución en CUIPO</t>
        </is>
      </c>
    </row>
    <row r="42">
      <c r="A42" t="inlineStr">
        <is>
          <t>IP-37</t>
        </is>
      </c>
      <c r="B42" t="inlineStr">
        <is>
          <t>19</t>
        </is>
      </c>
      <c r="C42" t="inlineStr">
        <is>
          <t>Salud y protección social</t>
        </is>
      </c>
      <c r="D42" t="inlineStr">
        <is>
          <t>1906</t>
        </is>
      </c>
      <c r="E42" t="inlineStr">
        <is>
          <t>Aseguramiento y prestación integral de servicios de salud</t>
        </is>
      </c>
      <c r="F42" t="inlineStr">
        <is>
          <t>1906044</t>
        </is>
      </c>
      <c r="G42" t="inlineStr">
        <is>
          <t>Servicio de afiliaciones al régimen subsidiado del Sistema General de Seguridad Social</t>
        </is>
      </c>
      <c r="H42" t="inlineStr">
        <is>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is>
      </c>
      <c r="I42" t="inlineStr">
        <is>
          <t>2024257850017</t>
        </is>
      </c>
      <c r="J42" s="99">
        <v>32215263950</v>
      </c>
      <c r="K42" s="99">
        <v>7158500000</v>
      </c>
      <c r="L42" s="99">
        <v>7766972500</v>
      </c>
      <c r="M42" s="99">
        <v>8146317250</v>
      </c>
      <c r="N42" s="99">
        <v>9143474200</v>
      </c>
      <c r="O42" s="99">
        <v>3688154739</v>
      </c>
      <c r="P42" s="99">
        <v>3688154739</v>
      </c>
      <c r="Q42" s="99">
        <v>3688154739</v>
      </c>
      <c r="R42" s="100">
        <v>0.515213346231752</v>
      </c>
      <c r="S42" t="inlineStr">
        <is>
          <t>Lo obligado está por debajo de lo programado en la vigencia</t>
        </is>
      </c>
      <c r="T42" s="101">
        <v>5716792724</v>
      </c>
      <c r="U42" s="101">
        <v>5716792724</v>
      </c>
      <c r="V42" s="101">
        <v>5716792724</v>
      </c>
      <c r="W42" s="102">
        <v>0.73603874920376</v>
      </c>
      <c r="X42" t="inlineStr">
        <is>
          <t>Lo obligado está por debajo de lo programado en la vigencia</t>
        </is>
      </c>
    </row>
    <row r="43">
      <c r="A43" t="inlineStr">
        <is>
          <t>IP-38</t>
        </is>
      </c>
      <c r="B43" t="inlineStr">
        <is>
          <t>19</t>
        </is>
      </c>
      <c r="C43" t="inlineStr">
        <is>
          <t>Salud y protección social</t>
        </is>
      </c>
      <c r="D43" t="inlineStr">
        <is>
          <t>1905</t>
        </is>
      </c>
      <c r="E43" t="inlineStr">
        <is>
          <t>Salud pública</t>
        </is>
      </c>
      <c r="F43" t="inlineStr">
        <is>
          <t>1905020</t>
        </is>
      </c>
      <c r="G43" t="inlineStr">
        <is>
          <t>Servicio de gestión del riesgo en temas de consumo de sustancias psicoactivas</t>
        </is>
      </c>
      <c r="H43" t="inlineStr">
        <is>
          <t xml:space="preserve">Acciones mediante las cuales se previene el consumo de sustancias psicoactivas en la población. </t>
        </is>
      </c>
      <c r="I43" t="inlineStr">
        <is>
          <t>2024257850016</t>
        </is>
      </c>
      <c r="J43" s="99">
        <v>55454169</v>
      </c>
      <c r="K43" s="99">
        <v>12000000</v>
      </c>
      <c r="L43" s="99">
        <v>14000000</v>
      </c>
      <c r="M43" s="99">
        <v>14126700</v>
      </c>
      <c r="N43" s="99">
        <v>15327469</v>
      </c>
      <c r="O43" s="99">
        <v>5378500</v>
      </c>
      <c r="P43" s="99">
        <v>5378500</v>
      </c>
      <c r="Q43" s="99">
        <v>5378500</v>
      </c>
      <c r="R43" s="100">
        <v>0.448208333333333</v>
      </c>
      <c r="S43" t="inlineStr">
        <is>
          <t>Lo obligado está por debajo de lo programado en la vigencia</t>
        </is>
      </c>
      <c r="T43" s="101">
        <v>14000000</v>
      </c>
      <c r="U43" s="101">
        <v>2806354</v>
      </c>
      <c r="V43" s="101">
        <v>2806354</v>
      </c>
      <c r="W43" s="102">
        <v>0.200453857142857</v>
      </c>
      <c r="X43" t="inlineStr">
        <is>
          <t>Lo obligado está por debajo de lo programado en la vigencia</t>
        </is>
      </c>
    </row>
    <row r="44">
      <c r="A44" t="inlineStr">
        <is>
          <t>IP-39</t>
        </is>
      </c>
      <c r="B44" t="inlineStr">
        <is>
          <t>19</t>
        </is>
      </c>
      <c r="C44" t="inlineStr">
        <is>
          <t>Salud y protección social</t>
        </is>
      </c>
      <c r="D44" t="inlineStr">
        <is>
          <t>1905</t>
        </is>
      </c>
      <c r="E44" t="inlineStr">
        <is>
          <t>Salud pública</t>
        </is>
      </c>
      <c r="F44" t="inlineStr">
        <is>
          <t>1905021</t>
        </is>
      </c>
      <c r="G44" t="inlineStr">
        <is>
          <t>Servicio de gestión del riesgo en temas de salud sexual y reproductiva</t>
        </is>
      </c>
      <c r="H44" t="inlineStr">
        <is>
          <t>Corresponde a las acciones relacionadas con la prevención y mitigación de riesgos que afectan la salud sexual y reproductiva de las personas en el curso de su vida desde un enfoque de derechos.</t>
        </is>
      </c>
      <c r="I44" t="inlineStr">
        <is>
          <t>2024257850016</t>
        </is>
      </c>
      <c r="J44" s="99">
        <v>115532853</v>
      </c>
      <c r="K44" s="99">
        <v>25000000</v>
      </c>
      <c r="L44" s="99">
        <v>29170000</v>
      </c>
      <c r="M44" s="99">
        <v>29430625</v>
      </c>
      <c r="N44" s="99">
        <v>31932228</v>
      </c>
      <c r="O44" s="99">
        <v>11459507</v>
      </c>
      <c r="P44" s="99">
        <v>11459507</v>
      </c>
      <c r="Q44" s="99">
        <v>11459507</v>
      </c>
      <c r="R44" s="100">
        <v>0.45838028</v>
      </c>
      <c r="S44" t="inlineStr">
        <is>
          <t>Lo obligado está por debajo de lo programado en la vigencia</t>
        </is>
      </c>
      <c r="T44" s="101">
        <v>29170000</v>
      </c>
      <c r="U44" s="101">
        <v>5847240</v>
      </c>
      <c r="V44" s="101">
        <v>5847240</v>
      </c>
      <c r="W44" s="102">
        <v>0.200453890983888</v>
      </c>
      <c r="X44" t="inlineStr">
        <is>
          <t>Lo obligado está por debajo de lo programado en la vigencia</t>
        </is>
      </c>
    </row>
    <row r="45">
      <c r="A45" t="inlineStr">
        <is>
          <t>IP-40</t>
        </is>
      </c>
      <c r="B45" t="inlineStr">
        <is>
          <t>19</t>
        </is>
      </c>
      <c r="C45" t="inlineStr">
        <is>
          <t>Salud y protección social</t>
        </is>
      </c>
      <c r="D45" t="inlineStr">
        <is>
          <t>1905</t>
        </is>
      </c>
      <c r="E45" t="inlineStr">
        <is>
          <t>Salud pública</t>
        </is>
      </c>
      <c r="F45" t="inlineStr">
        <is>
          <t>1905022</t>
        </is>
      </c>
      <c r="G45" t="inlineStr">
        <is>
          <t>Servicio de gestión del riesgo en temas de trastornos mentales</t>
        </is>
      </c>
      <c r="H45" t="inlineStr">
        <is>
          <t>Incluye acciones de prevención de los trastornos mentales asociados a factores sociales, psicológicos y biológicos, en los diferentes entornos en los que se desarrollan los individuos.</t>
        </is>
      </c>
      <c r="I45" t="inlineStr">
        <is>
          <t>2024257850016</t>
        </is>
      </c>
      <c r="J45" s="99">
        <v>83191254</v>
      </c>
      <c r="K45" s="99">
        <v>18000000</v>
      </c>
      <c r="L45" s="99">
        <v>21010000</v>
      </c>
      <c r="M45" s="99">
        <v>21190050</v>
      </c>
      <c r="N45" s="99">
        <v>22991204</v>
      </c>
      <c r="O45" s="99">
        <v>8094620</v>
      </c>
      <c r="P45" s="99">
        <v>8094620</v>
      </c>
      <c r="Q45" s="99">
        <v>8094620</v>
      </c>
      <c r="R45" s="100">
        <v>0.449701111111111</v>
      </c>
      <c r="S45" t="inlineStr">
        <is>
          <t>Lo obligado está por debajo de lo programado en la vigencia</t>
        </is>
      </c>
      <c r="T45" s="101">
        <v>21010000</v>
      </c>
      <c r="U45" s="101">
        <v>4211536</v>
      </c>
      <c r="V45" s="101">
        <v>4211536</v>
      </c>
      <c r="W45" s="102">
        <v>0.200453879105188</v>
      </c>
      <c r="X45" t="inlineStr">
        <is>
          <t>Lo obligado está por debajo de lo programado en la vigencia</t>
        </is>
      </c>
    </row>
    <row r="46">
      <c r="A46" t="inlineStr">
        <is>
          <t>IP-41</t>
        </is>
      </c>
      <c r="B46" t="inlineStr">
        <is>
          <t>19</t>
        </is>
      </c>
      <c r="C46" t="inlineStr">
        <is>
          <t>Salud y protección social</t>
        </is>
      </c>
      <c r="D46" t="inlineStr">
        <is>
          <t>1905</t>
        </is>
      </c>
      <c r="E46" t="inlineStr">
        <is>
          <t>Salud pública</t>
        </is>
      </c>
      <c r="F46" t="inlineStr">
        <is>
          <t>1905023</t>
        </is>
      </c>
      <c r="G46" t="inlineStr">
        <is>
          <t>Servicio de gestión del riesgo para abordar condiciones crónicas prevalentes</t>
        </is>
      </c>
      <c r="H46" t="inlineStr">
        <is>
          <t>Acciones para garantizar la prevención y el abordaje de enfermedades no transmisibles y de alteraciones de la salud bucal, visual y auditiva, gestión del riesgo disminución de la enfermedad y la discapacidad evitable.</t>
        </is>
      </c>
      <c r="I46" t="inlineStr">
        <is>
          <t>2024257850016</t>
        </is>
      </c>
      <c r="J46" s="99">
        <v>231075706</v>
      </c>
      <c r="K46" s="99">
        <v>50000000</v>
      </c>
      <c r="L46" s="99">
        <v>58350000</v>
      </c>
      <c r="M46" s="99">
        <v>58861250</v>
      </c>
      <c r="N46" s="99">
        <v>63864456</v>
      </c>
      <c r="O46" s="99">
        <v>16795638</v>
      </c>
      <c r="P46" s="99">
        <v>16795638</v>
      </c>
      <c r="Q46" s="99">
        <v>16795638</v>
      </c>
      <c r="R46" s="100">
        <v>0.33591276</v>
      </c>
      <c r="S46" t="inlineStr">
        <is>
          <t>Lo obligado está por debajo de lo programado en la vigencia</t>
        </is>
      </c>
      <c r="T46" s="101">
        <v>58350000</v>
      </c>
      <c r="U46" s="101">
        <v>11696485</v>
      </c>
      <c r="V46" s="101">
        <v>11696485</v>
      </c>
      <c r="W46" s="102">
        <v>0.200453898886033</v>
      </c>
      <c r="X46" t="inlineStr">
        <is>
          <t>Lo obligado está por debajo de lo programado en la vigencia</t>
        </is>
      </c>
    </row>
    <row r="47">
      <c r="A47" t="inlineStr">
        <is>
          <t>IP-42</t>
        </is>
      </c>
      <c r="B47" t="inlineStr">
        <is>
          <t>19</t>
        </is>
      </c>
      <c r="C47" t="inlineStr">
        <is>
          <t>Salud y protección social</t>
        </is>
      </c>
      <c r="D47" t="inlineStr">
        <is>
          <t>1905</t>
        </is>
      </c>
      <c r="E47" t="inlineStr">
        <is>
          <t>Salud pública</t>
        </is>
      </c>
      <c r="F47" t="inlineStr">
        <is>
          <t>1905024</t>
        </is>
      </c>
      <c r="G47" t="inlineStr">
        <is>
          <t>Servicio de gestión del riesgo para abordar situaciones de salud relacionadas con condiciones ambientales</t>
        </is>
      </c>
      <c r="H47" t="inlineStr">
        <is>
          <t>Incluye la gestión integral relacionada con la prevención de enfermedades generadas por sustancias químicas, por animales (zoonosis), vectores de contaminación en el aire y el agua, entre otros factores.</t>
        </is>
      </c>
      <c r="I47" t="inlineStr">
        <is>
          <t>2024257850016</t>
        </is>
      </c>
      <c r="J47" s="99">
        <v>26467894</v>
      </c>
      <c r="K47" s="99">
        <v>2500000</v>
      </c>
      <c r="L47" s="99">
        <v>17831610</v>
      </c>
      <c r="M47" s="99">
        <v>2943062</v>
      </c>
      <c r="N47" s="99">
        <v>3193222</v>
      </c>
      <c r="O47" s="99">
        <v>1315490</v>
      </c>
      <c r="P47" s="99">
        <v>1315490</v>
      </c>
      <c r="Q47" s="99">
        <v>1315490</v>
      </c>
      <c r="R47" s="100">
        <v>0.526196</v>
      </c>
      <c r="S47" t="inlineStr">
        <is>
          <t>Lo obligado está por debajo de lo programado en la vigencia</t>
        </is>
      </c>
      <c r="T47" s="101">
        <v>2920000</v>
      </c>
      <c r="U47" s="101">
        <v>585325</v>
      </c>
      <c r="V47" s="101">
        <v>585325</v>
      </c>
      <c r="W47" s="102">
        <v>0.032825134690586</v>
      </c>
      <c r="X47" t="inlineStr">
        <is>
          <t>Lo obligado está por debajo de lo programado en la vigencia</t>
        </is>
      </c>
    </row>
    <row r="48">
      <c r="A48" t="inlineStr">
        <is>
          <t>IP-43</t>
        </is>
      </c>
      <c r="B48" t="inlineStr">
        <is>
          <t>19</t>
        </is>
      </c>
      <c r="C48" t="inlineStr">
        <is>
          <t>Salud y protección social</t>
        </is>
      </c>
      <c r="D48" t="inlineStr">
        <is>
          <t>1905</t>
        </is>
      </c>
      <c r="E48" t="inlineStr">
        <is>
          <t>Salud pública</t>
        </is>
      </c>
      <c r="F48" t="inlineStr">
        <is>
          <t>1905025</t>
        </is>
      </c>
      <c r="G48" t="inlineStr">
        <is>
          <t>Servicio de gestión del riesgo para abordar situaciones prevalentes de origen laboral</t>
        </is>
      </c>
      <c r="H48" t="inlineStr">
        <is>
          <t>Corresponde a las acciones que previenen la carga de la enfermedad relacionada con la salud y bienestar de todos los trabajadores derivados de la ocupación. Permite anticipar, conocer, evaluar y controlar los riesgos que pueden afectar la seguridad y salud en el trabajo.</t>
        </is>
      </c>
      <c r="I48" t="inlineStr">
        <is>
          <t>2024257850016</t>
        </is>
      </c>
      <c r="J48" s="99">
        <v>90123024</v>
      </c>
      <c r="K48" s="99">
        <v>19500000</v>
      </c>
      <c r="L48" s="99">
        <v>22760000</v>
      </c>
      <c r="M48" s="99">
        <v>22955887</v>
      </c>
      <c r="N48" s="99">
        <v>24907137</v>
      </c>
      <c r="O48" s="99">
        <v>9913227</v>
      </c>
      <c r="P48" s="99">
        <v>9913227</v>
      </c>
      <c r="Q48" s="99">
        <v>9913227</v>
      </c>
      <c r="R48" s="100">
        <v>0.508370615384615</v>
      </c>
      <c r="S48" t="inlineStr">
        <is>
          <t>Lo obligado está por debajo de lo programado en la vigencia</t>
        </is>
      </c>
      <c r="T48" s="101">
        <v>22760000</v>
      </c>
      <c r="U48" s="101">
        <v>4562331</v>
      </c>
      <c r="V48" s="101">
        <v>4562331</v>
      </c>
      <c r="W48" s="102">
        <v>0.200453910369069</v>
      </c>
      <c r="X48" t="inlineStr">
        <is>
          <t>Lo obligado está por debajo de lo programado en la vigencia</t>
        </is>
      </c>
    </row>
    <row r="49">
      <c r="A49" t="inlineStr">
        <is>
          <t>IP-44</t>
        </is>
      </c>
      <c r="B49" t="inlineStr">
        <is>
          <t>19</t>
        </is>
      </c>
      <c r="C49" t="inlineStr">
        <is>
          <t>Salud y protección social</t>
        </is>
      </c>
      <c r="D49" t="inlineStr">
        <is>
          <t>1905</t>
        </is>
      </c>
      <c r="E49" t="inlineStr">
        <is>
          <t>Salud pública</t>
        </is>
      </c>
      <c r="F49" t="inlineStr">
        <is>
          <t>1905026</t>
        </is>
      </c>
      <c r="G49" t="inlineStr">
        <is>
          <t>Servicio de gestión del riesgo para enfermedades emergentes, reemergentes y desatendidas</t>
        </is>
      </c>
      <c r="H49" t="inlineStr">
        <is>
          <t xml:space="preserve">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t>
        </is>
      </c>
      <c r="I49" t="inlineStr">
        <is>
          <t>2024257850016</t>
        </is>
      </c>
      <c r="J49" s="99">
        <v>55454169</v>
      </c>
      <c r="K49" s="99">
        <v>12000000</v>
      </c>
      <c r="L49" s="99">
        <v>14000000</v>
      </c>
      <c r="M49" s="99">
        <v>14126700</v>
      </c>
      <c r="N49" s="99">
        <v>15327469</v>
      </c>
      <c r="O49" s="99">
        <v>3670000</v>
      </c>
      <c r="P49" s="99">
        <v>3670000</v>
      </c>
      <c r="Q49" s="99">
        <v>3670000</v>
      </c>
      <c r="R49" s="100">
        <v>0.305833333333333</v>
      </c>
      <c r="S49" t="inlineStr">
        <is>
          <t>Lo obligado está por debajo de lo programado en la vigencia</t>
        </is>
      </c>
      <c r="T49" s="101">
        <v>14000000</v>
      </c>
      <c r="U49" s="101">
        <v>2806354</v>
      </c>
      <c r="V49" s="101">
        <v>2806354</v>
      </c>
      <c r="W49" s="102">
        <v>0.200453857142857</v>
      </c>
      <c r="X49" t="inlineStr">
        <is>
          <t>Lo obligado está por debajo de lo programado en la vigencia</t>
        </is>
      </c>
    </row>
    <row r="50">
      <c r="A50" t="inlineStr">
        <is>
          <t>IP-45</t>
        </is>
      </c>
      <c r="B50" t="inlineStr">
        <is>
          <t>19</t>
        </is>
      </c>
      <c r="C50" t="inlineStr">
        <is>
          <t>Salud y protección social</t>
        </is>
      </c>
      <c r="D50" t="inlineStr">
        <is>
          <t>1905</t>
        </is>
      </c>
      <c r="E50" t="inlineStr">
        <is>
          <t>Salud pública</t>
        </is>
      </c>
      <c r="F50" t="inlineStr">
        <is>
          <t>1905027</t>
        </is>
      </c>
      <c r="G50" t="inlineStr">
        <is>
          <t>Servicio de gestión del riesgo para enfermedades inmunoprevenibles</t>
        </is>
      </c>
      <c r="H50" t="inlineStr">
        <is>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is>
      </c>
      <c r="I50" t="inlineStr">
        <is>
          <t>2024257850016</t>
        </is>
      </c>
      <c r="J50" s="99">
        <v>37658855</v>
      </c>
      <c r="K50" s="99">
        <v>7500000</v>
      </c>
      <c r="L50" s="99">
        <v>11750000</v>
      </c>
      <c r="M50" s="99">
        <v>8829187</v>
      </c>
      <c r="N50" s="99">
        <v>9579668</v>
      </c>
      <c r="O50" s="99">
        <v>6133227</v>
      </c>
      <c r="P50" s="99">
        <v>6133227</v>
      </c>
      <c r="Q50" s="99">
        <v>6133227</v>
      </c>
      <c r="R50" s="100">
        <v>0.8177636</v>
      </c>
      <c r="S50" t="inlineStr">
        <is>
          <t>Lo obligado está por debajo de lo programado en la vigencia</t>
        </is>
      </c>
      <c r="T50" s="101">
        <v>8750000</v>
      </c>
      <c r="U50" s="101">
        <v>1753971</v>
      </c>
      <c r="V50" s="101">
        <v>1753971</v>
      </c>
      <c r="W50" s="102">
        <v>0.149274127659574</v>
      </c>
      <c r="X50" t="inlineStr">
        <is>
          <t>Lo obligado está por debajo de lo programado en la vigencia</t>
        </is>
      </c>
    </row>
    <row r="51">
      <c r="A51" t="inlineStr">
        <is>
          <t>IP-46</t>
        </is>
      </c>
      <c r="B51" t="inlineStr">
        <is>
          <t>19</t>
        </is>
      </c>
      <c r="C51" t="inlineStr">
        <is>
          <t>Salud y protección social</t>
        </is>
      </c>
      <c r="D51" t="inlineStr">
        <is>
          <t>1905</t>
        </is>
      </c>
      <c r="E51" t="inlineStr">
        <is>
          <t>Salud pública</t>
        </is>
      </c>
      <c r="F51" t="inlineStr">
        <is>
          <t>1905028</t>
        </is>
      </c>
      <c r="G51" t="inlineStr">
        <is>
          <t>Servicio de gestión del riesgo para temas de consumo, aprovechamiento biológico, calidad e inocuidad de los alimentos</t>
        </is>
      </c>
      <c r="H51" t="inlineStr">
        <is>
          <t>Comprende acciones para disminuir la probabilidad de ocurrencia de eventos no deseados, evitables y negativos para la salud del individuo relacionado con la alimentación, como la obesidad, la desnutrición, la intoxicación, entre otros.</t>
        </is>
      </c>
      <c r="I51" t="inlineStr">
        <is>
          <t>2024257850016</t>
        </is>
      </c>
      <c r="J51" s="99">
        <v>128475492</v>
      </c>
      <c r="K51" s="99">
        <v>27800000</v>
      </c>
      <c r="L51" s="99">
        <v>32440000</v>
      </c>
      <c r="M51" s="99">
        <v>32726855</v>
      </c>
      <c r="N51" s="99">
        <v>35508637</v>
      </c>
      <c r="O51" s="99">
        <v>10902897</v>
      </c>
      <c r="P51" s="99">
        <v>10902897</v>
      </c>
      <c r="Q51" s="99">
        <v>10902897</v>
      </c>
      <c r="R51" s="100">
        <v>0.392190539568345</v>
      </c>
      <c r="S51" t="inlineStr">
        <is>
          <t>Lo obligado está por debajo de lo programado en la vigencia</t>
        </is>
      </c>
      <c r="T51" s="101">
        <v>32440000</v>
      </c>
      <c r="U51" s="101">
        <v>6502724</v>
      </c>
      <c r="V51" s="101">
        <v>6502724</v>
      </c>
      <c r="W51" s="102">
        <v>0.200453884093711</v>
      </c>
      <c r="X51" t="inlineStr">
        <is>
          <t>Lo obligado está por debajo de lo programado en la vigencia</t>
        </is>
      </c>
    </row>
    <row r="52">
      <c r="A52" t="inlineStr">
        <is>
          <t>IP-47</t>
        </is>
      </c>
      <c r="B52" t="inlineStr">
        <is>
          <t>19</t>
        </is>
      </c>
      <c r="C52" t="inlineStr">
        <is>
          <t>Salud y protección social</t>
        </is>
      </c>
      <c r="D52" t="inlineStr">
        <is>
          <t>1905</t>
        </is>
      </c>
      <c r="E52" t="inlineStr">
        <is>
          <t>Salud pública</t>
        </is>
      </c>
      <c r="F52" t="inlineStr">
        <is>
          <t>1905031</t>
        </is>
      </c>
      <c r="G52" t="inlineStr">
        <is>
          <t>Servicio de promoción de la salud y prevención de riesgos asociados a condiciones no transmisibles</t>
        </is>
      </c>
      <c r="H52" t="inlineStr">
        <is>
          <t xml:space="preserve">Es el conjunto de acciones, procedimientos e intervenciones integrales, mediante los cuales se orienta a la población acerca de hábitos saludables que mejoran su condición de salud a través de la creación o adopción de modos, condiciones o estilos de vida saludables en los entornos cotidianos. </t>
        </is>
      </c>
      <c r="I52" t="inlineStr">
        <is>
          <t>2024257850016</t>
        </is>
      </c>
      <c r="J52" s="99">
        <v>61836855</v>
      </c>
      <c r="K52" s="99">
        <v>7500000</v>
      </c>
      <c r="L52" s="99">
        <v>35928000</v>
      </c>
      <c r="M52" s="99">
        <v>8829187</v>
      </c>
      <c r="N52" s="99">
        <v>9579668</v>
      </c>
      <c r="O52" s="99">
        <v>8030088</v>
      </c>
      <c r="P52" s="99">
        <v>8030088</v>
      </c>
      <c r="Q52" s="99">
        <v>8030088</v>
      </c>
      <c r="R52" s="100">
        <v>1.0706784</v>
      </c>
      <c r="S52" t="inlineStr">
        <is>
          <t>Hubo ejecución por encima de lo programado en SisPT</t>
        </is>
      </c>
      <c r="T52" s="101">
        <v>8750000</v>
      </c>
      <c r="U52" s="101">
        <v>1753971</v>
      </c>
      <c r="V52" s="101">
        <v>1753971</v>
      </c>
      <c r="W52" s="102">
        <v>0.0488190547762191</v>
      </c>
      <c r="X52" t="inlineStr">
        <is>
          <t>Lo obligado está por debajo de lo programado en la vigencia</t>
        </is>
      </c>
    </row>
    <row r="53">
      <c r="A53" t="inlineStr">
        <is>
          <t>IP-48</t>
        </is>
      </c>
      <c r="B53" t="inlineStr">
        <is>
          <t>19</t>
        </is>
      </c>
      <c r="C53" t="inlineStr">
        <is>
          <t>Salud y protección social</t>
        </is>
      </c>
      <c r="D53" t="inlineStr">
        <is>
          <t>1903</t>
        </is>
      </c>
      <c r="E53" t="inlineStr">
        <is>
          <t>Inspección, vigilancia y control</t>
        </is>
      </c>
      <c r="F53" t="inlineStr">
        <is>
          <t>1903016</t>
        </is>
      </c>
      <c r="G53" t="inlineStr">
        <is>
          <t>Servicio de auditoría y visitas inspectivas</t>
        </is>
      </c>
      <c r="H53" t="inlineStr">
        <is>
          <t>el servicio de auditoría y visitas inspectivas realizada para verificar el cumplimiento de los estándares y normatividad vigente.</t>
        </is>
      </c>
      <c r="I53" t="inlineStr">
        <is>
          <t>2024257850018</t>
        </is>
      </c>
      <c r="J53" s="99">
        <v>115625027</v>
      </c>
      <c r="K53" s="99">
        <v>10000000</v>
      </c>
      <c r="L53" s="99">
        <v>51670711</v>
      </c>
      <c r="M53" s="99">
        <v>25877500</v>
      </c>
      <c r="N53" s="99">
        <v>28076816</v>
      </c>
      <c r="O53" s="99">
        <v>18888000</v>
      </c>
      <c r="P53" s="99">
        <v>18888000</v>
      </c>
      <c r="Q53" s="99">
        <v>18888000</v>
      </c>
      <c r="R53" s="100">
        <v>1.8888</v>
      </c>
      <c r="S53" t="inlineStr">
        <is>
          <t>Hubo ejecución por encima de lo programado en SisPT</t>
        </is>
      </c>
      <c r="T53" s="101">
        <v>46950000</v>
      </c>
      <c r="U53" s="101">
        <v>29550000</v>
      </c>
      <c r="V53" s="101">
        <v>29550000</v>
      </c>
      <c r="W53" s="102">
        <v>0.57189071774143</v>
      </c>
      <c r="X53" t="inlineStr">
        <is>
          <t>Lo obligado está por debajo de lo programado en la vigencia</t>
        </is>
      </c>
    </row>
    <row r="54">
      <c r="A54" t="inlineStr">
        <is>
          <t>IP-49</t>
        </is>
      </c>
      <c r="B54" t="inlineStr">
        <is>
          <t>19</t>
        </is>
      </c>
      <c r="C54" t="inlineStr">
        <is>
          <t>Salud y protección social</t>
        </is>
      </c>
      <c r="D54" t="inlineStr">
        <is>
          <t>1903</t>
        </is>
      </c>
      <c r="E54" t="inlineStr">
        <is>
          <t>Inspección, vigilancia y control</t>
        </is>
      </c>
      <c r="F54" t="inlineStr">
        <is>
          <t>1903031</t>
        </is>
      </c>
      <c r="G54" t="inlineStr">
        <is>
          <t>Servicio de información de vigilancia epidemiológica</t>
        </is>
      </c>
      <c r="H54" t="inlineStr">
        <is>
          <t>Informes de evento generados en la vigencia</t>
        </is>
      </c>
      <c r="I54" t="inlineStr">
        <is>
          <t>2024257850018</t>
        </is>
      </c>
      <c r="J54" s="99">
        <v>272720636</v>
      </c>
      <c r="K54" s="99">
        <v>25000000</v>
      </c>
      <c r="L54" s="99">
        <v>186357783</v>
      </c>
      <c r="M54" s="99">
        <v>29430625</v>
      </c>
      <c r="N54" s="99">
        <v>31932228</v>
      </c>
      <c r="O54" s="99">
        <v>67552000</v>
      </c>
      <c r="P54" s="99">
        <v>67552000</v>
      </c>
      <c r="Q54" s="99">
        <v>67552000</v>
      </c>
      <c r="R54" s="100">
        <v>2.70208</v>
      </c>
      <c r="S54" t="inlineStr">
        <is>
          <t>Hubo ejecución por encima de lo programado en SisPT</t>
        </is>
      </c>
      <c r="T54" s="101">
        <v>141800000</v>
      </c>
      <c r="U54" s="101">
        <v>119756666</v>
      </c>
      <c r="V54" s="101">
        <v>119756666</v>
      </c>
      <c r="W54" s="102">
        <v>0.642616927890798</v>
      </c>
      <c r="X54" t="inlineStr">
        <is>
          <t>Lo obligado está por debajo de lo programado en la vigencia</t>
        </is>
      </c>
    </row>
    <row r="55">
      <c r="A55" t="inlineStr">
        <is>
          <t>IP-50</t>
        </is>
      </c>
      <c r="B55" t="inlineStr">
        <is>
          <t>19</t>
        </is>
      </c>
      <c r="C55" t="inlineStr">
        <is>
          <t>Salud y protección social</t>
        </is>
      </c>
      <c r="D55" t="inlineStr">
        <is>
          <t>1903</t>
        </is>
      </c>
      <c r="E55" t="inlineStr">
        <is>
          <t>Inspección, vigilancia y control</t>
        </is>
      </c>
      <c r="F55" t="inlineStr">
        <is>
          <t>1903051</t>
        </is>
      </c>
      <c r="G55" t="inlineStr">
        <is>
          <t>Documentos de planeación</t>
        </is>
      </c>
      <c r="H55"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55" t="inlineStr">
        <is>
          <t>202500000044432</t>
        </is>
      </c>
      <c r="J55" s="99">
        <v>322315299</v>
      </c>
      <c r="K55" s="99">
        <v>92000000</v>
      </c>
      <c r="L55" s="99">
        <v>4500000</v>
      </c>
      <c r="M55" s="99">
        <v>108304700</v>
      </c>
      <c r="N55" s="99">
        <v>117510599</v>
      </c>
      <c r="O55" s="99" t="inlineStr">
        <is>
          <t xml:space="preserve"> </t>
        </is>
      </c>
      <c r="P55" s="99" t="inlineStr">
        <is>
          <t xml:space="preserve"> </t>
        </is>
      </c>
      <c r="Q55" s="99" t="inlineStr">
        <is>
          <t xml:space="preserve"> </t>
        </is>
      </c>
      <c r="R55" s="100" t="inlineStr">
        <is>
          <t xml:space="preserve"> </t>
        </is>
      </c>
      <c r="S55" t="inlineStr">
        <is>
          <t>No se encontró ejecución en CUIPO</t>
        </is>
      </c>
      <c r="T55" s="101" t="inlineStr">
        <is>
          <t xml:space="preserve"> </t>
        </is>
      </c>
      <c r="U55" s="101" t="inlineStr">
        <is>
          <t xml:space="preserve"> </t>
        </is>
      </c>
      <c r="V55" s="101" t="inlineStr">
        <is>
          <t xml:space="preserve"> </t>
        </is>
      </c>
      <c r="W55" s="102" t="inlineStr">
        <is>
          <t xml:space="preserve"> </t>
        </is>
      </c>
      <c r="X55" t="inlineStr">
        <is>
          <t>No se encontró ejecución en CUIPO</t>
        </is>
      </c>
    </row>
    <row r="56">
      <c r="A56" t="inlineStr">
        <is>
          <t>IP-51</t>
        </is>
      </c>
      <c r="B56" t="inlineStr">
        <is>
          <t>19</t>
        </is>
      </c>
      <c r="C56" t="inlineStr">
        <is>
          <t>Salud y protección social</t>
        </is>
      </c>
      <c r="D56" t="inlineStr">
        <is>
          <t>1903</t>
        </is>
      </c>
      <c r="E56" t="inlineStr">
        <is>
          <t>Inspección, vigilancia y control</t>
        </is>
      </c>
      <c r="F56" t="inlineStr">
        <is>
          <t>1903052</t>
        </is>
      </c>
      <c r="G56" t="inlineStr">
        <is>
          <t>Documentos de evaluación</t>
        </is>
      </c>
      <c r="H56" t="inlineStr">
        <is>
          <t>Documentos técnicos en donde se realiza el seguimiento y el análisis de resultados e impactos de una política pública a través de indicadores,  índices y tasas y otras herramientas técnicas para la toma de decisiones.</t>
        </is>
      </c>
      <c r="I56" t="inlineStr">
        <is>
          <t>2024257850018</t>
        </is>
      </c>
      <c r="J56" s="99">
        <v>157995004</v>
      </c>
      <c r="K56" s="99">
        <v>48000000</v>
      </c>
      <c r="L56" s="99">
        <v>43191500</v>
      </c>
      <c r="M56" s="99">
        <v>32040050</v>
      </c>
      <c r="N56" s="99">
        <v>34763454</v>
      </c>
      <c r="O56" s="99">
        <v>18000000</v>
      </c>
      <c r="P56" s="99">
        <v>18000000</v>
      </c>
      <c r="Q56" s="99">
        <v>18000000</v>
      </c>
      <c r="R56" s="100">
        <v>0.375</v>
      </c>
      <c r="S56" t="inlineStr">
        <is>
          <t>Lo obligado está por debajo de lo programado en la vigencia</t>
        </is>
      </c>
      <c r="T56" s="101">
        <v>45000000</v>
      </c>
      <c r="U56" s="101">
        <v>23100000</v>
      </c>
      <c r="V56" s="101">
        <v>23100000</v>
      </c>
      <c r="W56" s="102">
        <v>0.534827454475996</v>
      </c>
      <c r="X56" t="inlineStr">
        <is>
          <t>Lo obligado está por debajo de lo programado en la vigencia</t>
        </is>
      </c>
    </row>
    <row r="57">
      <c r="A57" t="inlineStr">
        <is>
          <t>IP-52</t>
        </is>
      </c>
      <c r="B57" t="inlineStr">
        <is>
          <t>19</t>
        </is>
      </c>
      <c r="C57" t="inlineStr">
        <is>
          <t>Salud y protección social</t>
        </is>
      </c>
      <c r="D57" t="inlineStr">
        <is>
          <t>1905</t>
        </is>
      </c>
      <c r="E57" t="inlineStr">
        <is>
          <t>Salud pública</t>
        </is>
      </c>
      <c r="F57" t="inlineStr">
        <is>
          <t>1905049</t>
        </is>
      </c>
      <c r="G57" t="inlineStr">
        <is>
          <t>Servicio de promoción de la participación social en salud</t>
        </is>
      </c>
      <c r="H57" t="inlineStr">
        <is>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is>
      </c>
      <c r="I57" t="inlineStr">
        <is>
          <t>2024257850016</t>
        </is>
      </c>
      <c r="J57" s="99">
        <v>33766000</v>
      </c>
      <c r="K57" s="99">
        <v>25000000</v>
      </c>
      <c r="L57" s="99">
        <v>2922000</v>
      </c>
      <c r="M57" s="99">
        <v>2922000</v>
      </c>
      <c r="N57" s="99">
        <v>2922000</v>
      </c>
      <c r="O57" s="99">
        <v>550000</v>
      </c>
      <c r="P57" s="99">
        <v>550000</v>
      </c>
      <c r="Q57" s="99">
        <v>550000</v>
      </c>
      <c r="R57" s="100">
        <v>0.022</v>
      </c>
      <c r="S57" t="inlineStr">
        <is>
          <t>Lo obligado está por debajo de lo programado en la vigencia</t>
        </is>
      </c>
      <c r="T57" s="101">
        <v>2921411</v>
      </c>
      <c r="U57" s="101">
        <v>2384709</v>
      </c>
      <c r="V57" s="101">
        <v>2384709</v>
      </c>
      <c r="W57" s="102">
        <v>0.816122176591376</v>
      </c>
      <c r="X57" t="inlineStr">
        <is>
          <t>Lo obligado está por debajo de lo programado en la vigencia</t>
        </is>
      </c>
    </row>
    <row r="58">
      <c r="A58" t="inlineStr">
        <is>
          <t>IP-53</t>
        </is>
      </c>
      <c r="B58" t="inlineStr">
        <is>
          <t>22</t>
        </is>
      </c>
      <c r="C58" t="inlineStr">
        <is>
          <t>Educación</t>
        </is>
      </c>
      <c r="D58" t="inlineStr">
        <is>
          <t>2201</t>
        </is>
      </c>
      <c r="E58" t="inlineStr">
        <is>
          <t>Calidad, cobertura y fortalecimiento de la educación inicial, prescolar, básica y media</t>
        </is>
      </c>
      <c r="F58" t="inlineStr">
        <is>
          <t>2201029</t>
        </is>
      </c>
      <c r="G58" t="inlineStr">
        <is>
          <t>Servicio de apoyo a la permanencia con transporte escolar</t>
        </is>
      </c>
      <c r="H58" t="inlineStr">
        <is>
          <t>Incluye la implementación de estrategias de transporte escolar para fortalecer las acciones de retención estudiantil</t>
        </is>
      </c>
      <c r="I58" t="inlineStr">
        <is>
          <t>2024257850012</t>
        </is>
      </c>
      <c r="J58" s="99">
        <v>1605157777</v>
      </c>
      <c r="K58" s="99">
        <v>347934935</v>
      </c>
      <c r="L58" s="99">
        <v>403211630</v>
      </c>
      <c r="M58" s="99">
        <v>409597704</v>
      </c>
      <c r="N58" s="99">
        <v>444413508</v>
      </c>
      <c r="O58" s="99">
        <v>179139513</v>
      </c>
      <c r="P58" s="99">
        <v>179139513</v>
      </c>
      <c r="Q58" s="99">
        <v>179139513</v>
      </c>
      <c r="R58" s="100">
        <v>0.514864978993846</v>
      </c>
      <c r="S58" t="inlineStr">
        <is>
          <t>Lo obligado está por debajo de lo programado en la vigencia</t>
        </is>
      </c>
      <c r="T58" s="101">
        <v>284950163</v>
      </c>
      <c r="U58" s="101">
        <v>193214478</v>
      </c>
      <c r="V58" s="101">
        <v>193214478</v>
      </c>
      <c r="W58" s="102">
        <v>0.479188752566487</v>
      </c>
      <c r="X58" t="inlineStr">
        <is>
          <t>Lo obligado está por debajo de lo programado en la vigencia</t>
        </is>
      </c>
    </row>
    <row r="59">
      <c r="A59" t="inlineStr">
        <is>
          <t>IP-54</t>
        </is>
      </c>
      <c r="B59" t="inlineStr">
        <is>
          <t>22</t>
        </is>
      </c>
      <c r="C59" t="inlineStr">
        <is>
          <t>Educación</t>
        </is>
      </c>
      <c r="D59" t="inlineStr">
        <is>
          <t>2201</t>
        </is>
      </c>
      <c r="E59" t="inlineStr">
        <is>
          <t>Calidad, cobertura y fortalecimiento de la educación inicial, prescolar, básica y media</t>
        </is>
      </c>
      <c r="F59" t="inlineStr">
        <is>
          <t>2201079</t>
        </is>
      </c>
      <c r="G59" t="inlineStr">
        <is>
          <t>Servicio de apoyo financiero a entidades territoriales para la ejecución de estrategias de permanencia con alimentación escolar</t>
        </is>
      </c>
      <c r="H59" t="inlineStr">
        <is>
          <t xml:space="preserve">Corresponde a la entrega de recursos para apoyar la implementación de las estrategias de permanencia escolar desarrolladas por las entidades territoriales a través de alimentación escolar. </t>
        </is>
      </c>
      <c r="I59" t="inlineStr">
        <is>
          <t>2024257850014</t>
        </is>
      </c>
      <c r="J59" s="99">
        <v>230615592</v>
      </c>
      <c r="K59" s="99">
        <v>41682519</v>
      </c>
      <c r="L59" s="99">
        <v>86622742</v>
      </c>
      <c r="M59" s="99">
        <v>49069703</v>
      </c>
      <c r="N59" s="99">
        <v>53240628</v>
      </c>
      <c r="O59" s="99">
        <v>21054735</v>
      </c>
      <c r="P59" s="99">
        <v>21054735</v>
      </c>
      <c r="Q59" s="99">
        <v>14677263</v>
      </c>
      <c r="R59" s="100">
        <v>0.505121463508479</v>
      </c>
      <c r="S59" t="inlineStr">
        <is>
          <t>Lo obligado está por debajo de lo programado en la vigencia</t>
        </is>
      </c>
      <c r="T59" s="101">
        <v>49290035</v>
      </c>
      <c r="U59" s="101">
        <v>28157355</v>
      </c>
      <c r="V59" s="101">
        <v>28157355</v>
      </c>
      <c r="W59" s="102">
        <v>0.325057304235417</v>
      </c>
      <c r="X59" t="inlineStr">
        <is>
          <t>Lo obligado está por debajo de lo programado en la vigencia</t>
        </is>
      </c>
    </row>
    <row r="60">
      <c r="A60" t="inlineStr">
        <is>
          <t>IP-55</t>
        </is>
      </c>
      <c r="B60" t="inlineStr">
        <is>
          <t>22</t>
        </is>
      </c>
      <c r="C60" t="inlineStr">
        <is>
          <t>Educación</t>
        </is>
      </c>
      <c r="D60" t="inlineStr">
        <is>
          <t>2201</t>
        </is>
      </c>
      <c r="E60" t="inlineStr">
        <is>
          <t>Calidad, cobertura y fortalecimiento de la educación inicial, prescolar, básica y media</t>
        </is>
      </c>
      <c r="F60" t="inlineStr">
        <is>
          <t>2201073</t>
        </is>
      </c>
      <c r="G60" t="inlineStr">
        <is>
          <t>Servicio de evaluación de la calidad de la educación inicial, preescolar, básica y media</t>
        </is>
      </c>
      <c r="H60" t="inlineStr">
        <is>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is>
      </c>
      <c r="I60" t="inlineStr">
        <is>
          <t>2024257850013</t>
        </is>
      </c>
      <c r="J60" s="99">
        <v>103635423</v>
      </c>
      <c r="K60" s="99">
        <v>30000000</v>
      </c>
      <c r="L60" s="99">
        <v>0</v>
      </c>
      <c r="M60" s="99">
        <v>35316750</v>
      </c>
      <c r="N60" s="99">
        <v>38318673</v>
      </c>
      <c r="O60" s="99" t="inlineStr">
        <is>
          <t xml:space="preserve"> </t>
        </is>
      </c>
      <c r="P60" s="99" t="inlineStr">
        <is>
          <t xml:space="preserve"> </t>
        </is>
      </c>
      <c r="Q60" s="99" t="inlineStr">
        <is>
          <t xml:space="preserve"> </t>
        </is>
      </c>
      <c r="R60" s="100" t="inlineStr">
        <is>
          <t xml:space="preserve"> </t>
        </is>
      </c>
      <c r="S60" t="inlineStr">
        <is>
          <t>No se encontró ejecución en CUIPO</t>
        </is>
      </c>
      <c r="T60" s="101" t="inlineStr">
        <is>
          <t xml:space="preserve"> </t>
        </is>
      </c>
      <c r="U60" s="101" t="inlineStr">
        <is>
          <t xml:space="preserve"> </t>
        </is>
      </c>
      <c r="V60" s="101" t="inlineStr">
        <is>
          <t xml:space="preserve"> </t>
        </is>
      </c>
      <c r="W60" s="102" t="inlineStr">
        <is>
          <t xml:space="preserve"> </t>
        </is>
      </c>
      <c r="X60" t="inlineStr">
        <is>
          <t>No se encontró ejecución en CUIPO</t>
        </is>
      </c>
    </row>
    <row r="61">
      <c r="A61" t="inlineStr">
        <is>
          <t>IP-56</t>
        </is>
      </c>
      <c r="B61" t="inlineStr">
        <is>
          <t>22</t>
        </is>
      </c>
      <c r="C61" t="inlineStr">
        <is>
          <t>Educación</t>
        </is>
      </c>
      <c r="D61" t="inlineStr">
        <is>
          <t>2201</t>
        </is>
      </c>
      <c r="E61" t="inlineStr">
        <is>
          <t>Calidad, cobertura y fortalecimiento de la educación inicial, prescolar, básica y media</t>
        </is>
      </c>
      <c r="F61" t="inlineStr">
        <is>
          <t>2201071</t>
        </is>
      </c>
      <c r="G61" t="inlineStr">
        <is>
          <t>Servicio educativo</t>
        </is>
      </c>
      <c r="H61" t="inlineStr">
        <is>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is>
      </c>
      <c r="I61" t="inlineStr">
        <is>
          <t>2024257850013</t>
        </is>
      </c>
      <c r="J61" s="99">
        <v>1298810747</v>
      </c>
      <c r="K61" s="99">
        <v>252203395</v>
      </c>
      <c r="L61" s="99">
        <v>427570558</v>
      </c>
      <c r="M61" s="99">
        <v>296900141</v>
      </c>
      <c r="N61" s="99">
        <v>322136653</v>
      </c>
      <c r="O61" s="99">
        <v>294094630</v>
      </c>
      <c r="P61" s="99">
        <v>294094630</v>
      </c>
      <c r="Q61" s="99">
        <v>294094630</v>
      </c>
      <c r="R61" s="100">
        <v>1.16610099558731</v>
      </c>
      <c r="S61" t="inlineStr">
        <is>
          <t>Hubo ejecución por encima de lo programado en SisPT</t>
        </is>
      </c>
      <c r="T61" s="101">
        <v>427570558</v>
      </c>
      <c r="U61" s="101">
        <v>427570558</v>
      </c>
      <c r="V61" s="101">
        <v>427570558</v>
      </c>
      <c r="W61" s="102">
        <v>1</v>
      </c>
      <c r="X61" t="inlineStr">
        <is>
          <t>Se ejecutó el 100% de lo programado en la vigencia</t>
        </is>
      </c>
    </row>
    <row r="62">
      <c r="A62" t="inlineStr">
        <is>
          <t>IP-57</t>
        </is>
      </c>
      <c r="B62" t="inlineStr">
        <is>
          <t>22</t>
        </is>
      </c>
      <c r="C62" t="inlineStr">
        <is>
          <t>Educación</t>
        </is>
      </c>
      <c r="D62" t="inlineStr">
        <is>
          <t>2202</t>
        </is>
      </c>
      <c r="E62" t="inlineStr">
        <is>
          <t>Calidad y fomento de la educación superior</t>
        </is>
      </c>
      <c r="F62" t="inlineStr">
        <is>
          <t>2202055</t>
        </is>
      </c>
      <c r="G62" t="inlineStr">
        <is>
          <t>Servicio de atención psicosocial a estudiantes</t>
        </is>
      </c>
      <c r="H62" t="inlineStr">
        <is>
          <t>Incluye aquellos servicios que se presten a los alumnos para mitigar, superar o prevenir daños e impactos psicológicos o emocionales.</t>
        </is>
      </c>
      <c r="I62" t="inlineStr">
        <is>
          <t>2024257850015</t>
        </is>
      </c>
      <c r="J62" s="99">
        <v>249414153</v>
      </c>
      <c r="K62" s="99">
        <v>59000000</v>
      </c>
      <c r="L62" s="99">
        <v>49000000</v>
      </c>
      <c r="M62" s="99">
        <v>69456275</v>
      </c>
      <c r="N62" s="99">
        <v>71957878</v>
      </c>
      <c r="O62" s="99">
        <v>17500000</v>
      </c>
      <c r="P62" s="99">
        <v>17500000</v>
      </c>
      <c r="Q62" s="99">
        <v>17500000</v>
      </c>
      <c r="R62" s="100">
        <v>0.296610169491525</v>
      </c>
      <c r="S62" t="inlineStr">
        <is>
          <t>Lo obligado está por debajo de lo programado en la vigencia</t>
        </is>
      </c>
      <c r="T62" s="101">
        <v>49000000</v>
      </c>
      <c r="U62" s="101">
        <v>34746666</v>
      </c>
      <c r="V62" s="101">
        <v>34746666</v>
      </c>
      <c r="W62" s="102">
        <v>0.709115632653061</v>
      </c>
      <c r="X62" t="inlineStr">
        <is>
          <t>Lo obligado está por debajo de lo programado en la vigencia</t>
        </is>
      </c>
    </row>
    <row r="63">
      <c r="A63" t="inlineStr">
        <is>
          <t>IP-58</t>
        </is>
      </c>
      <c r="B63" t="inlineStr">
        <is>
          <t>22</t>
        </is>
      </c>
      <c r="C63" t="inlineStr">
        <is>
          <t>Educación</t>
        </is>
      </c>
      <c r="D63" t="inlineStr">
        <is>
          <t>2201</t>
        </is>
      </c>
      <c r="E63" t="inlineStr">
        <is>
          <t>Calidad, cobertura y fortalecimiento de la educación inicial, prescolar, básica y media</t>
        </is>
      </c>
      <c r="F63" t="inlineStr">
        <is>
          <t>2201069</t>
        </is>
      </c>
      <c r="G63" t="inlineStr">
        <is>
          <t>Infraestructura educativa dotada</t>
        </is>
      </c>
      <c r="H63"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63" t="inlineStr">
        <is>
          <t>2024257850013</t>
        </is>
      </c>
      <c r="J63" s="99">
        <v>143271881</v>
      </c>
      <c r="K63" s="99">
        <v>27000000</v>
      </c>
      <c r="L63" s="99">
        <v>50000000</v>
      </c>
      <c r="M63" s="99">
        <v>31785075</v>
      </c>
      <c r="N63" s="99">
        <v>34486806</v>
      </c>
      <c r="O63" s="99">
        <v>26850660</v>
      </c>
      <c r="P63" s="99">
        <v>26850660</v>
      </c>
      <c r="Q63" s="99">
        <v>0</v>
      </c>
      <c r="R63" s="100">
        <v>0.994468888888889</v>
      </c>
      <c r="S63" t="inlineStr">
        <is>
          <t>Lo obligado está por debajo de lo programado en la vigencia</t>
        </is>
      </c>
      <c r="T63" s="101" t="inlineStr">
        <is>
          <t xml:space="preserve"> </t>
        </is>
      </c>
      <c r="U63" s="101" t="inlineStr">
        <is>
          <t xml:space="preserve"> </t>
        </is>
      </c>
      <c r="V63" s="101" t="inlineStr">
        <is>
          <t xml:space="preserve"> </t>
        </is>
      </c>
      <c r="W63" s="102" t="inlineStr">
        <is>
          <t xml:space="preserve"> </t>
        </is>
      </c>
      <c r="X63" t="inlineStr">
        <is>
          <t>No se encontró ejecución en CUIPO</t>
        </is>
      </c>
    </row>
    <row r="64">
      <c r="A64" t="inlineStr">
        <is>
          <t>IP-59</t>
        </is>
      </c>
      <c r="B64" t="inlineStr">
        <is>
          <t>22</t>
        </is>
      </c>
      <c r="C64" t="inlineStr">
        <is>
          <t>Educación</t>
        </is>
      </c>
      <c r="D64" t="inlineStr">
        <is>
          <t>2201</t>
        </is>
      </c>
      <c r="E64" t="inlineStr">
        <is>
          <t>Calidad, cobertura y fortalecimiento de la educación inicial, prescolar, básica y media</t>
        </is>
      </c>
      <c r="F64" t="inlineStr">
        <is>
          <t>2201062</t>
        </is>
      </c>
      <c r="G64" t="inlineStr">
        <is>
          <t>Infraestructura educativa mantenida</t>
        </is>
      </c>
      <c r="H64" t="inlineStr">
        <is>
          <t>Conjunto de acciones periódicas y sistemáticas realizadas con el propósito de asegurar, garantizar o extender la vida útil de la infraestructura, necesarias para conservar las condiciones originales de funcionamiento normal y adecuado, su seguridad, productividad, confort, imagen corporativa, salubridad e higiene.</t>
        </is>
      </c>
      <c r="I64" t="inlineStr">
        <is>
          <t>2024257850013</t>
        </is>
      </c>
      <c r="J64" s="99">
        <v>338579028</v>
      </c>
      <c r="K64" s="99">
        <v>49860352</v>
      </c>
      <c r="L64" s="99">
        <v>166335739</v>
      </c>
      <c r="M64" s="99">
        <v>58696852</v>
      </c>
      <c r="N64" s="99">
        <v>63686085</v>
      </c>
      <c r="O64" s="99">
        <v>88228451</v>
      </c>
      <c r="P64" s="99">
        <v>25476160</v>
      </c>
      <c r="Q64" s="99">
        <v>14999600</v>
      </c>
      <c r="R64" s="100">
        <v>0.510950263648359</v>
      </c>
      <c r="S64" t="inlineStr">
        <is>
          <t>Lo obligado está por debajo de lo programado en la vigencia</t>
        </is>
      </c>
      <c r="T64" s="101">
        <v>157409541</v>
      </c>
      <c r="U64" s="101">
        <v>54429540</v>
      </c>
      <c r="V64" s="101">
        <v>54429540</v>
      </c>
      <c r="W64" s="102">
        <v>0.327226970747399</v>
      </c>
      <c r="X64" t="inlineStr">
        <is>
          <t>Lo obligado está por debajo de lo programado en la vigencia</t>
        </is>
      </c>
    </row>
    <row r="65">
      <c r="A65" t="inlineStr">
        <is>
          <t>IP-60</t>
        </is>
      </c>
      <c r="B65" t="inlineStr">
        <is>
          <t>22</t>
        </is>
      </c>
      <c r="C65" t="inlineStr">
        <is>
          <t>Educación</t>
        </is>
      </c>
      <c r="D65" t="inlineStr">
        <is>
          <t>2201</t>
        </is>
      </c>
      <c r="E65" t="inlineStr">
        <is>
          <t>Calidad, cobertura y fortalecimiento de la educación inicial, prescolar, básica y media</t>
        </is>
      </c>
      <c r="F65" t="inlineStr">
        <is>
          <t>2201052</t>
        </is>
      </c>
      <c r="G65" t="inlineStr">
        <is>
          <t>Infraestructura educativa mejorada</t>
        </is>
      </c>
      <c r="H65" t="inlineStr">
        <is>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is>
      </c>
      <c r="I65" t="inlineStr">
        <is>
          <t>2024257850013</t>
        </is>
      </c>
      <c r="J65" s="99">
        <v>328317022</v>
      </c>
      <c r="K65" s="99">
        <v>137000000</v>
      </c>
      <c r="L65" s="99">
        <v>100500000</v>
      </c>
      <c r="M65" s="99">
        <v>43557325</v>
      </c>
      <c r="N65" s="99">
        <v>47259697</v>
      </c>
      <c r="O65" s="99">
        <v>37000000</v>
      </c>
      <c r="P65" s="99">
        <v>0</v>
      </c>
      <c r="Q65" s="99">
        <v>0</v>
      </c>
      <c r="R65" s="100">
        <v>0</v>
      </c>
      <c r="S65" t="inlineStr">
        <is>
          <t>No se ejecutó en la vigencia</t>
        </is>
      </c>
      <c r="T65" s="101" t="inlineStr">
        <is>
          <t xml:space="preserve"> </t>
        </is>
      </c>
      <c r="U65" s="101" t="inlineStr">
        <is>
          <t xml:space="preserve"> </t>
        </is>
      </c>
      <c r="V65" s="101" t="inlineStr">
        <is>
          <t xml:space="preserve"> </t>
        </is>
      </c>
      <c r="W65" s="102" t="inlineStr">
        <is>
          <t xml:space="preserve"> </t>
        </is>
      </c>
      <c r="X65" t="inlineStr">
        <is>
          <t>No se encontró ejecución en CUIPO</t>
        </is>
      </c>
    </row>
    <row r="66">
      <c r="A66" t="inlineStr">
        <is>
          <t>IP-61</t>
        </is>
      </c>
      <c r="B66" t="inlineStr">
        <is>
          <t>22</t>
        </is>
      </c>
      <c r="C66" t="inlineStr">
        <is>
          <t>Educación</t>
        </is>
      </c>
      <c r="D66" t="inlineStr">
        <is>
          <t>2201</t>
        </is>
      </c>
      <c r="E66" t="inlineStr">
        <is>
          <t>Calidad, cobertura y fortalecimiento de la educación inicial, prescolar, básica y media</t>
        </is>
      </c>
      <c r="F66" t="inlineStr">
        <is>
          <t>2201033</t>
        </is>
      </c>
      <c r="G66" t="inlineStr">
        <is>
          <t>Servicio de fomento para la permanencia en programas de educación formal</t>
        </is>
      </c>
      <c r="H66" t="inlineStr">
        <is>
          <t>Incluye la implementación de estrategias para fortalecer las acciones de retención estudiantil de la población vulnerable escolarizada en el sistema educativo</t>
        </is>
      </c>
      <c r="I66" t="inlineStr">
        <is>
          <t>2024257850013</t>
        </is>
      </c>
      <c r="J66" s="99">
        <v>148635423</v>
      </c>
      <c r="K66" s="99">
        <v>30000000</v>
      </c>
      <c r="L66" s="99">
        <v>45000000</v>
      </c>
      <c r="M66" s="99">
        <v>35316750</v>
      </c>
      <c r="N66" s="99">
        <v>38318673</v>
      </c>
      <c r="O66" s="99">
        <v>38983620</v>
      </c>
      <c r="P66" s="99">
        <v>38983620</v>
      </c>
      <c r="Q66" s="99">
        <v>38983620</v>
      </c>
      <c r="R66" s="100">
        <v>1.299454</v>
      </c>
      <c r="S66" t="inlineStr">
        <is>
          <t>Hubo ejecución por encima de lo programado en SisPT</t>
        </is>
      </c>
      <c r="T66" s="101">
        <v>21705292</v>
      </c>
      <c r="U66" s="101">
        <v>21705292</v>
      </c>
      <c r="V66" s="101">
        <v>21705292</v>
      </c>
      <c r="W66" s="102">
        <v>0.482339822222222</v>
      </c>
      <c r="X66" t="inlineStr">
        <is>
          <t>Lo obligado está por debajo de lo programado en la vigencia</t>
        </is>
      </c>
    </row>
    <row r="67">
      <c r="A67" t="inlineStr">
        <is>
          <t>IP-62</t>
        </is>
      </c>
      <c r="B67" t="inlineStr">
        <is>
          <t>22</t>
        </is>
      </c>
      <c r="C67" t="inlineStr">
        <is>
          <t>Educación</t>
        </is>
      </c>
      <c r="D67" t="inlineStr">
        <is>
          <t>2202</t>
        </is>
      </c>
      <c r="E67" t="inlineStr">
        <is>
          <t>Calidad y fomento de la educación superior</t>
        </is>
      </c>
      <c r="F67" t="inlineStr">
        <is>
          <t>2202061</t>
        </is>
      </c>
      <c r="G67" t="inlineStr">
        <is>
          <t xml:space="preserve">Servicio de apoyo financiero para la permanencia a la educación superior </t>
        </is>
      </c>
      <c r="H67" t="inlineStr">
        <is>
          <t xml:space="preserve">Incluye créditos - beca y subsidios en todas sus modalidades  para fortalecer las acciones de retención estudiantil en la educación superior </t>
        </is>
      </c>
      <c r="I67" t="inlineStr">
        <is>
          <t>2024257850015</t>
        </is>
      </c>
      <c r="J67" s="99">
        <v>1023628531</v>
      </c>
      <c r="K67" s="99">
        <v>250000000</v>
      </c>
      <c r="L67" s="99">
        <v>160000000</v>
      </c>
      <c r="M67" s="99">
        <v>294306250</v>
      </c>
      <c r="N67" s="99">
        <v>319322281</v>
      </c>
      <c r="O67" s="99">
        <v>96472718</v>
      </c>
      <c r="P67" s="99">
        <v>96472718</v>
      </c>
      <c r="Q67" s="99">
        <v>96472718</v>
      </c>
      <c r="R67" s="100">
        <v>0.385890872</v>
      </c>
      <c r="S67" t="inlineStr">
        <is>
          <t>Lo obligado está por debajo de lo programado en la vigencia</t>
        </is>
      </c>
      <c r="T67" s="101">
        <v>120750125</v>
      </c>
      <c r="U67" s="101">
        <v>120750125</v>
      </c>
      <c r="V67" s="101">
        <v>120750125</v>
      </c>
      <c r="W67" s="102">
        <v>0.75468828125</v>
      </c>
      <c r="X67" t="inlineStr">
        <is>
          <t>Lo obligado está por debajo de lo programado en la vigencia</t>
        </is>
      </c>
    </row>
    <row r="68">
      <c r="A68" t="inlineStr">
        <is>
          <t>IP-63</t>
        </is>
      </c>
      <c r="B68" t="inlineStr">
        <is>
          <t>22</t>
        </is>
      </c>
      <c r="C68" t="inlineStr">
        <is>
          <t>Educación</t>
        </is>
      </c>
      <c r="D68" t="inlineStr">
        <is>
          <t>2201</t>
        </is>
      </c>
      <c r="E68" t="inlineStr">
        <is>
          <t>Calidad, cobertura y fortalecimiento de la educación inicial, prescolar, básica y media</t>
        </is>
      </c>
      <c r="F68" t="inlineStr">
        <is>
          <t>2201006</t>
        </is>
      </c>
      <c r="G68" t="inlineStr">
        <is>
          <t>Servicio de asistencia técnica en educación inicial, preescolar, básica y media</t>
        </is>
      </c>
      <c r="H68" t="inlineStr">
        <is>
          <t>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t>
        </is>
      </c>
      <c r="I68" t="inlineStr">
        <is>
          <t>2024257850013</t>
        </is>
      </c>
      <c r="J68" s="99">
        <v>225325706</v>
      </c>
      <c r="K68" s="99">
        <v>50000000</v>
      </c>
      <c r="L68" s="99">
        <v>52600000</v>
      </c>
      <c r="M68" s="99">
        <v>58861250</v>
      </c>
      <c r="N68" s="99">
        <v>63864456</v>
      </c>
      <c r="O68" s="99">
        <v>21380159</v>
      </c>
      <c r="P68" s="99">
        <v>21380159</v>
      </c>
      <c r="Q68" s="99">
        <v>21380159</v>
      </c>
      <c r="R68" s="100">
        <v>0.42760318</v>
      </c>
      <c r="S68" t="inlineStr">
        <is>
          <t>Lo obligado está por debajo de lo programado en la vigencia</t>
        </is>
      </c>
      <c r="T68" s="101">
        <v>40553872</v>
      </c>
      <c r="U68" s="101">
        <v>26728872</v>
      </c>
      <c r="V68" s="101">
        <v>26728872</v>
      </c>
      <c r="W68" s="102">
        <v>0.508153460076046</v>
      </c>
      <c r="X68" t="inlineStr">
        <is>
          <t>Lo obligado está por debajo de lo programado en la vigencia</t>
        </is>
      </c>
    </row>
    <row r="69">
      <c r="A69" t="inlineStr">
        <is>
          <t>IP-64</t>
        </is>
      </c>
      <c r="B69" t="inlineStr">
        <is>
          <t>33</t>
        </is>
      </c>
      <c r="C69" t="inlineStr">
        <is>
          <t>Cultura</t>
        </is>
      </c>
      <c r="D69" t="inlineStr">
        <is>
          <t>3301</t>
        </is>
      </c>
      <c r="E69" t="inlineStr">
        <is>
          <t>Promoción y acceso efectivo a procesos culturales y artísticos</t>
        </is>
      </c>
      <c r="F69" t="inlineStr">
        <is>
          <t>3301087</t>
        </is>
      </c>
      <c r="G69" t="inlineStr">
        <is>
          <t>Servicio de educación informal en áreas artísticas y culturales</t>
        </is>
      </c>
      <c r="H69" t="inlineStr">
        <is>
          <t>Oferta educativa entregada  a la ciudadanía con el fin de fortalecer sus capacidades en diferentes disciplinas artísticas como la música, la danza, la lectura, entre otros.</t>
        </is>
      </c>
      <c r="I69" t="inlineStr">
        <is>
          <t>2024257850034</t>
        </is>
      </c>
      <c r="J69" s="99">
        <v>4283618873</v>
      </c>
      <c r="K69" s="99">
        <v>776947192</v>
      </c>
      <c r="L69" s="99">
        <v>1302966722</v>
      </c>
      <c r="M69" s="99">
        <v>1073567133</v>
      </c>
      <c r="N69" s="99">
        <v>1130137826</v>
      </c>
      <c r="O69" s="99">
        <v>473679568</v>
      </c>
      <c r="P69" s="99">
        <v>473679568</v>
      </c>
      <c r="Q69" s="99">
        <v>473679568</v>
      </c>
      <c r="R69" s="100">
        <v>0.609667649072345</v>
      </c>
      <c r="S69" t="inlineStr">
        <is>
          <t>Lo obligado está por debajo de lo programado en la vigencia</t>
        </is>
      </c>
      <c r="T69" s="101">
        <v>628897201</v>
      </c>
      <c r="U69" s="101">
        <v>628897201</v>
      </c>
      <c r="V69" s="101">
        <v>628897201</v>
      </c>
      <c r="W69" s="102">
        <v>0.482665589520712</v>
      </c>
      <c r="X69" t="inlineStr">
        <is>
          <t>Lo obligado está por debajo de lo programado en la vigencia</t>
        </is>
      </c>
    </row>
    <row r="70">
      <c r="A70" t="inlineStr">
        <is>
          <t>IP-65</t>
        </is>
      </c>
      <c r="B70" t="inlineStr">
        <is>
          <t>33</t>
        </is>
      </c>
      <c r="C70" t="inlineStr">
        <is>
          <t>Cultura</t>
        </is>
      </c>
      <c r="D70" t="inlineStr">
        <is>
          <t>3301</t>
        </is>
      </c>
      <c r="E70" t="inlineStr">
        <is>
          <t>Promoción y acceso efectivo a procesos culturales y artísticos</t>
        </is>
      </c>
      <c r="F70" t="inlineStr">
        <is>
          <t>3301053</t>
        </is>
      </c>
      <c r="G70" t="inlineStr">
        <is>
          <t>Servicio de promoción de actividades culturales</t>
        </is>
      </c>
      <c r="H70" t="inlineStr">
        <is>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is>
      </c>
      <c r="I70" t="inlineStr">
        <is>
          <t>2024257850034</t>
        </is>
      </c>
      <c r="J70" s="99">
        <v>1921999554</v>
      </c>
      <c r="K70" s="99">
        <v>357365000</v>
      </c>
      <c r="L70" s="99">
        <v>691980000</v>
      </c>
      <c r="M70" s="99">
        <v>420699012</v>
      </c>
      <c r="N70" s="99">
        <v>451955542</v>
      </c>
      <c r="O70" s="99">
        <v>518238534</v>
      </c>
      <c r="P70" s="99">
        <v>518238534</v>
      </c>
      <c r="Q70" s="99">
        <v>518238534</v>
      </c>
      <c r="R70" s="100">
        <v>1.45016589201517</v>
      </c>
      <c r="S70" t="inlineStr">
        <is>
          <t>Hubo ejecución por encima de lo programado en SisPT</t>
        </is>
      </c>
      <c r="T70" s="101">
        <v>271616667</v>
      </c>
      <c r="U70" s="101">
        <v>147616667</v>
      </c>
      <c r="V70" s="101">
        <v>147616667</v>
      </c>
      <c r="W70" s="102">
        <v>0.213325048411804</v>
      </c>
      <c r="X70" t="inlineStr">
        <is>
          <t>Lo obligado está por debajo de lo programado en la vigencia</t>
        </is>
      </c>
    </row>
    <row r="71">
      <c r="A71" t="inlineStr">
        <is>
          <t>IP-66</t>
        </is>
      </c>
      <c r="B71" t="inlineStr">
        <is>
          <t>33</t>
        </is>
      </c>
      <c r="C71" t="inlineStr">
        <is>
          <t>Cultura</t>
        </is>
      </c>
      <c r="D71" t="inlineStr">
        <is>
          <t>3301</t>
        </is>
      </c>
      <c r="E71" t="inlineStr">
        <is>
          <t>Promoción y acceso efectivo a procesos culturales y artísticos</t>
        </is>
      </c>
      <c r="F71" t="inlineStr">
        <is>
          <t>3301085</t>
        </is>
      </c>
      <c r="G71" t="inlineStr">
        <is>
          <t>Servicios bibliotecarios</t>
        </is>
      </c>
      <c r="H71" t="inlineStr">
        <is>
          <t>Conjunto de actividades desarrolladas en una biblioteca, con el fin de facilitar y promover la disponibilidad y el acceso a la información y a la cultura con estándares de calidad, pertinencia y oportunidad.   </t>
        </is>
      </c>
      <c r="I71" t="inlineStr">
        <is>
          <t>2024257850034</t>
        </is>
      </c>
      <c r="J71" s="99">
        <v>120959241</v>
      </c>
      <c r="K71" s="99">
        <v>25000000</v>
      </c>
      <c r="L71" s="99">
        <v>34597013</v>
      </c>
      <c r="M71" s="99">
        <v>29430000</v>
      </c>
      <c r="N71" s="99">
        <v>31932228</v>
      </c>
      <c r="O71" s="99">
        <v>18620722</v>
      </c>
      <c r="P71" s="99">
        <v>18620722</v>
      </c>
      <c r="Q71" s="99">
        <v>18620722</v>
      </c>
      <c r="R71" s="100">
        <v>0.74482888</v>
      </c>
      <c r="S71" t="inlineStr">
        <is>
          <t>Lo obligado está por debajo de lo programado en la vigencia</t>
        </is>
      </c>
      <c r="T71" s="101">
        <v>20643638</v>
      </c>
      <c r="U71" s="101">
        <v>20643638</v>
      </c>
      <c r="V71" s="101">
        <v>20643638</v>
      </c>
      <c r="W71" s="102">
        <v>0.596688448219504</v>
      </c>
      <c r="X71" t="inlineStr">
        <is>
          <t>Lo obligado está por debajo de lo programado en la vigencia</t>
        </is>
      </c>
    </row>
    <row r="72">
      <c r="A72" t="inlineStr">
        <is>
          <t>IP-67</t>
        </is>
      </c>
      <c r="B72" t="inlineStr">
        <is>
          <t>33</t>
        </is>
      </c>
      <c r="C72" t="inlineStr">
        <is>
          <t>Cultura</t>
        </is>
      </c>
      <c r="D72" t="inlineStr">
        <is>
          <t>3301</t>
        </is>
      </c>
      <c r="E72" t="inlineStr">
        <is>
          <t>Promoción y acceso efectivo a procesos culturales y artísticos</t>
        </is>
      </c>
      <c r="F72" t="inlineStr">
        <is>
          <t>3301093</t>
        </is>
      </c>
      <c r="G72" t="inlineStr">
        <is>
          <t>Centros culturales construidos y dotados</t>
        </is>
      </c>
      <c r="H72" t="inlineStr">
        <is>
          <t xml:space="preserve">Son todas aquellas infraestructuras culturales que se construyan en un predio o terreno donde no existen elementos o construcciones previstas. </t>
        </is>
      </c>
      <c r="I72" t="inlineStr">
        <is>
          <t/>
        </is>
      </c>
      <c r="J72" s="99">
        <v>301277289</v>
      </c>
      <c r="K72" s="99">
        <v>0</v>
      </c>
      <c r="L72" s="99">
        <v>0</v>
      </c>
      <c r="M72" s="99">
        <v>0</v>
      </c>
      <c r="N72" s="99">
        <v>301277289</v>
      </c>
      <c r="O72" s="99" t="inlineStr">
        <is>
          <t xml:space="preserve"> </t>
        </is>
      </c>
      <c r="P72" s="99" t="inlineStr">
        <is>
          <t xml:space="preserve"> </t>
        </is>
      </c>
      <c r="Q72" s="99" t="inlineStr">
        <is>
          <t xml:space="preserve"> </t>
        </is>
      </c>
      <c r="R72" s="100" t="inlineStr">
        <is>
          <t xml:space="preserve"> </t>
        </is>
      </c>
      <c r="S72" t="inlineStr">
        <is>
          <t>Por falta de código BPIN, no se encontró ejecución en CUIPO</t>
        </is>
      </c>
      <c r="T72" s="101" t="inlineStr">
        <is>
          <t xml:space="preserve"> </t>
        </is>
      </c>
      <c r="U72" s="101" t="inlineStr">
        <is>
          <t xml:space="preserve"> </t>
        </is>
      </c>
      <c r="V72" s="101" t="inlineStr">
        <is>
          <t xml:space="preserve"> </t>
        </is>
      </c>
      <c r="W72" s="102" t="inlineStr">
        <is>
          <t xml:space="preserve"> </t>
        </is>
      </c>
      <c r="X72" t="inlineStr">
        <is>
          <t>Por falta de código BPIN, no se encontró ejecución en CUIPO</t>
        </is>
      </c>
    </row>
    <row r="73">
      <c r="A73" t="inlineStr">
        <is>
          <t>IP-68</t>
        </is>
      </c>
      <c r="B73" t="inlineStr">
        <is>
          <t>33</t>
        </is>
      </c>
      <c r="C73" t="inlineStr">
        <is>
          <t>Cultura</t>
        </is>
      </c>
      <c r="D73" t="inlineStr">
        <is>
          <t>3301</t>
        </is>
      </c>
      <c r="E73" t="inlineStr">
        <is>
          <t>Promoción y acceso efectivo a procesos culturales y artísticos</t>
        </is>
      </c>
      <c r="F73" t="inlineStr">
        <is>
          <t>3301068</t>
        </is>
      </c>
      <c r="G73" t="inlineStr">
        <is>
          <t>Servicio de mantenimiento de infraestructura cultural</t>
        </is>
      </c>
      <c r="H73" t="inlineStr">
        <is>
          <t>Ajuste o adaptación de una Infraestructura Cultural en la cual ya se estén desarrollando prácticas culturales, se busca garantizar la permanencia del inmueble original con las especificaciones requeridas. Este proceso puede o no tener reforzamiento estructural.</t>
        </is>
      </c>
      <c r="I73" t="inlineStr">
        <is>
          <t>202500000044597</t>
        </is>
      </c>
      <c r="J73" s="99">
        <v>146136879</v>
      </c>
      <c r="K73" s="99">
        <v>0</v>
      </c>
      <c r="L73" s="99">
        <v>100892379</v>
      </c>
      <c r="M73" s="99">
        <v>21700000</v>
      </c>
      <c r="N73" s="99">
        <v>23544500</v>
      </c>
      <c r="O73" s="99" t="inlineStr">
        <is>
          <t xml:space="preserve"> </t>
        </is>
      </c>
      <c r="P73" s="99" t="inlineStr">
        <is>
          <t xml:space="preserve"> </t>
        </is>
      </c>
      <c r="Q73" s="99" t="inlineStr">
        <is>
          <t xml:space="preserve"> </t>
        </is>
      </c>
      <c r="R73" s="100" t="inlineStr">
        <is>
          <t xml:space="preserve"> </t>
        </is>
      </c>
      <c r="S73" t="inlineStr">
        <is>
          <t>No se encontró ejecución en CUIPO</t>
        </is>
      </c>
      <c r="T73" s="101" t="inlineStr">
        <is>
          <t xml:space="preserve"> </t>
        </is>
      </c>
      <c r="U73" s="101" t="inlineStr">
        <is>
          <t xml:space="preserve"> </t>
        </is>
      </c>
      <c r="V73" s="101" t="inlineStr">
        <is>
          <t xml:space="preserve"> </t>
        </is>
      </c>
      <c r="W73" s="102" t="inlineStr">
        <is>
          <t xml:space="preserve"> </t>
        </is>
      </c>
      <c r="X73" t="inlineStr">
        <is>
          <t>No se encontró ejecución en CUIPO</t>
        </is>
      </c>
    </row>
    <row r="74">
      <c r="A74" t="inlineStr">
        <is>
          <t>IP-69</t>
        </is>
      </c>
      <c r="B74" t="inlineStr">
        <is>
          <t>33</t>
        </is>
      </c>
      <c r="C74" t="inlineStr">
        <is>
          <t>Cultura</t>
        </is>
      </c>
      <c r="D74" t="inlineStr">
        <is>
          <t>3302</t>
        </is>
      </c>
      <c r="E74" t="inlineStr">
        <is>
          <t>Gestión, protección y salvaguardia del patrimonio cultural colombiano</t>
        </is>
      </c>
      <c r="F74" t="inlineStr">
        <is>
          <t>3302049</t>
        </is>
      </c>
      <c r="G74" t="inlineStr">
        <is>
          <t>Servicio de salvaguardia al patrimonio inmaterial</t>
        </is>
      </c>
      <c r="H74" t="inlineStr">
        <is>
          <t>Hace referencia a las estrategias orientadas a promover medidas efectivas para garantizar la viabilidad del patrimonio cultural inmaterial, comprendidas la identificación, documentación, investigación, recuperación, preservación, protección, promoción, valoración, transmisión y revitalización integral del mismo</t>
        </is>
      </c>
      <c r="I74" t="inlineStr">
        <is>
          <t>202500000045264</t>
        </is>
      </c>
      <c r="J74" s="99">
        <v>50000000</v>
      </c>
      <c r="K74" s="99">
        <v>0</v>
      </c>
      <c r="L74" s="99">
        <v>0</v>
      </c>
      <c r="M74" s="99">
        <v>50000000</v>
      </c>
      <c r="N74" s="99">
        <v>0</v>
      </c>
      <c r="O74" s="99" t="inlineStr">
        <is>
          <t xml:space="preserve"> </t>
        </is>
      </c>
      <c r="P74" s="99" t="inlineStr">
        <is>
          <t xml:space="preserve"> </t>
        </is>
      </c>
      <c r="Q74" s="99" t="inlineStr">
        <is>
          <t xml:space="preserve"> </t>
        </is>
      </c>
      <c r="R74" s="100" t="inlineStr">
        <is>
          <t xml:space="preserve"> </t>
        </is>
      </c>
      <c r="S74" t="inlineStr">
        <is>
          <t>No se encontró ejecución en CUIPO</t>
        </is>
      </c>
      <c r="T74" s="101" t="inlineStr">
        <is>
          <t xml:space="preserve"> </t>
        </is>
      </c>
      <c r="U74" s="101" t="inlineStr">
        <is>
          <t xml:space="preserve"> </t>
        </is>
      </c>
      <c r="V74" s="101" t="inlineStr">
        <is>
          <t xml:space="preserve"> </t>
        </is>
      </c>
      <c r="W74" s="102" t="inlineStr">
        <is>
          <t xml:space="preserve"> </t>
        </is>
      </c>
      <c r="X74" t="inlineStr">
        <is>
          <t>No se encontró ejecución en CUIPO</t>
        </is>
      </c>
    </row>
    <row r="75">
      <c r="A75" t="inlineStr">
        <is>
          <t>IP-70</t>
        </is>
      </c>
      <c r="B75" t="inlineStr">
        <is>
          <t>33</t>
        </is>
      </c>
      <c r="C75" t="inlineStr">
        <is>
          <t>Cultura</t>
        </is>
      </c>
      <c r="D75" t="inlineStr">
        <is>
          <t>3301</t>
        </is>
      </c>
      <c r="E75" t="inlineStr">
        <is>
          <t>Promoción y acceso efectivo a procesos culturales y artísticos</t>
        </is>
      </c>
      <c r="F75" t="inlineStr">
        <is>
          <t>3301054</t>
        </is>
      </c>
      <c r="G75" t="inlineStr">
        <is>
          <t>Servicio de apoyo financiero al sector artístico y cultural</t>
        </is>
      </c>
      <c r="H75"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75" t="inlineStr">
        <is>
          <t>2024257850034</t>
        </is>
      </c>
      <c r="J75" s="99">
        <v>46317141</v>
      </c>
      <c r="K75" s="99">
        <v>10000000</v>
      </c>
      <c r="L75" s="99">
        <v>11772000</v>
      </c>
      <c r="M75" s="99">
        <v>11772250</v>
      </c>
      <c r="N75" s="99">
        <v>12772891</v>
      </c>
      <c r="O75" s="99">
        <v>11000000</v>
      </c>
      <c r="P75" s="99">
        <v>11000000</v>
      </c>
      <c r="Q75" s="99">
        <v>11000000</v>
      </c>
      <c r="R75" s="100">
        <v>1.1</v>
      </c>
      <c r="S75" t="inlineStr">
        <is>
          <t>Hubo ejecución por encima de lo programado en SisPT</t>
        </is>
      </c>
      <c r="T75" s="101" t="inlineStr">
        <is>
          <t xml:space="preserve"> </t>
        </is>
      </c>
      <c r="U75" s="101" t="inlineStr">
        <is>
          <t xml:space="preserve"> </t>
        </is>
      </c>
      <c r="V75" s="101" t="inlineStr">
        <is>
          <t xml:space="preserve"> </t>
        </is>
      </c>
      <c r="W75" s="102" t="inlineStr">
        <is>
          <t xml:space="preserve"> </t>
        </is>
      </c>
      <c r="X75" t="inlineStr">
        <is>
          <t>No se encontró ejecución en CUIPO</t>
        </is>
      </c>
    </row>
    <row r="76">
      <c r="A76" t="inlineStr">
        <is>
          <t>IP-71</t>
        </is>
      </c>
      <c r="B76" t="inlineStr">
        <is>
          <t>43</t>
        </is>
      </c>
      <c r="C76" t="inlineStr">
        <is>
          <t>Deporte y Recreación</t>
        </is>
      </c>
      <c r="D76" t="inlineStr">
        <is>
          <t>4301</t>
        </is>
      </c>
      <c r="E76" t="inlineStr">
        <is>
          <t>Fomento a la recreación, la actividad física y el deporte para desarrollar entornos de convivencia y paz</t>
        </is>
      </c>
      <c r="F76" t="inlineStr">
        <is>
          <t>4301007</t>
        </is>
      </c>
      <c r="G76" t="inlineStr">
        <is>
          <t>Servicio de Escuelas Deportivas</t>
        </is>
      </c>
      <c r="H76" t="inlineStr">
        <is>
          <t>Corresponde a los procesos de iniciación, fundamentación y perfeccionamiento deportivos a partir de  las clases donde se practica la actividad física, la recreación y/o el deporte.</t>
        </is>
      </c>
      <c r="I76" t="inlineStr">
        <is>
          <t>2024257850044</t>
        </is>
      </c>
      <c r="J76" s="99">
        <v>1694758513</v>
      </c>
      <c r="K76" s="99">
        <v>282096257</v>
      </c>
      <c r="L76" s="99">
        <v>720253011</v>
      </c>
      <c r="M76" s="99">
        <v>332090765</v>
      </c>
      <c r="N76" s="99">
        <v>360318480</v>
      </c>
      <c r="O76" s="99">
        <v>257614791</v>
      </c>
      <c r="P76" s="99">
        <v>257614791</v>
      </c>
      <c r="Q76" s="99">
        <v>257614791</v>
      </c>
      <c r="R76" s="100">
        <v>0.91321591338945</v>
      </c>
      <c r="S76" t="inlineStr">
        <is>
          <t>Lo obligado está por debajo de lo programado en la vigencia</t>
        </is>
      </c>
      <c r="T76" s="101">
        <v>387950383</v>
      </c>
      <c r="U76" s="101">
        <v>387950383</v>
      </c>
      <c r="V76" s="101">
        <v>387950383</v>
      </c>
      <c r="W76" s="102">
        <v>0.538630699316854</v>
      </c>
      <c r="X76" t="inlineStr">
        <is>
          <t>Lo obligado está por debajo de lo programado en la vigencia</t>
        </is>
      </c>
    </row>
    <row r="77">
      <c r="A77" t="inlineStr">
        <is>
          <t>IP-72</t>
        </is>
      </c>
      <c r="B77" t="inlineStr">
        <is>
          <t>43</t>
        </is>
      </c>
      <c r="C77" t="inlineStr">
        <is>
          <t>Deporte y Recreación</t>
        </is>
      </c>
      <c r="D77" t="inlineStr">
        <is>
          <t>4301</t>
        </is>
      </c>
      <c r="E77" t="inlineStr">
        <is>
          <t>Fomento a la recreación, la actividad física y el deporte para desarrollar entornos de convivencia y paz</t>
        </is>
      </c>
      <c r="F77" t="inlineStr">
        <is>
          <t>4301004</t>
        </is>
      </c>
      <c r="G77" t="inlineStr">
        <is>
          <t>Servicio de mantenimiento a la infraestructura deportiva</t>
        </is>
      </c>
      <c r="H77" t="inlineStr">
        <is>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is>
      </c>
      <c r="I77" t="inlineStr">
        <is>
          <t>2024257850044</t>
        </is>
      </c>
      <c r="J77" s="99">
        <v>632027294</v>
      </c>
      <c r="K77" s="99">
        <v>15000000</v>
      </c>
      <c r="L77" s="99">
        <v>580209583</v>
      </c>
      <c r="M77" s="99">
        <v>17658375</v>
      </c>
      <c r="N77" s="99">
        <v>19159336</v>
      </c>
      <c r="O77" s="99">
        <v>33499271</v>
      </c>
      <c r="P77" s="99">
        <v>0</v>
      </c>
      <c r="Q77" s="99">
        <v>0</v>
      </c>
      <c r="R77" s="100">
        <v>0</v>
      </c>
      <c r="S77" t="inlineStr">
        <is>
          <t>No se ejecutó en la vigencia</t>
        </is>
      </c>
      <c r="T77" s="101" t="inlineStr">
        <is>
          <t xml:space="preserve"> </t>
        </is>
      </c>
      <c r="U77" s="101" t="inlineStr">
        <is>
          <t xml:space="preserve"> </t>
        </is>
      </c>
      <c r="V77" s="101" t="inlineStr">
        <is>
          <t xml:space="preserve"> </t>
        </is>
      </c>
      <c r="W77" s="102" t="inlineStr">
        <is>
          <t xml:space="preserve"> </t>
        </is>
      </c>
      <c r="X77" t="inlineStr">
        <is>
          <t>No se encontró ejecución en CUIPO</t>
        </is>
      </c>
    </row>
    <row r="78">
      <c r="A78" t="inlineStr">
        <is>
          <t>IP-73</t>
        </is>
      </c>
      <c r="B78" t="inlineStr">
        <is>
          <t>43</t>
        </is>
      </c>
      <c r="C78" t="inlineStr">
        <is>
          <t>Deporte y Recreación</t>
        </is>
      </c>
      <c r="D78" t="inlineStr">
        <is>
          <t>4301</t>
        </is>
      </c>
      <c r="E78" t="inlineStr">
        <is>
          <t>Fomento a la recreación, la actividad física y el deporte para desarrollar entornos de convivencia y paz</t>
        </is>
      </c>
      <c r="F78" t="inlineStr">
        <is>
          <t>4301012</t>
        </is>
      </c>
      <c r="G78" t="inlineStr">
        <is>
          <t>Parques recreativos mantenidos</t>
        </is>
      </c>
      <c r="H78" t="inlineStr">
        <is>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is>
      </c>
      <c r="I78" t="inlineStr">
        <is>
          <t>2024257850044</t>
        </is>
      </c>
      <c r="J78" s="99">
        <v>58544500</v>
      </c>
      <c r="K78" s="99">
        <v>10000000</v>
      </c>
      <c r="L78" s="99">
        <v>25000000</v>
      </c>
      <c r="M78" s="99">
        <v>11772250</v>
      </c>
      <c r="N78" s="99">
        <v>11772250</v>
      </c>
      <c r="O78" s="99">
        <v>10000000</v>
      </c>
      <c r="P78" s="99">
        <v>10000000</v>
      </c>
      <c r="Q78" s="99">
        <v>10000000</v>
      </c>
      <c r="R78" s="100">
        <v>1</v>
      </c>
      <c r="S78" t="inlineStr">
        <is>
          <t>Se ejecutó el 100% de lo programado en la vigencia</t>
        </is>
      </c>
      <c r="T78" s="101" t="inlineStr">
        <is>
          <t xml:space="preserve"> </t>
        </is>
      </c>
      <c r="U78" s="101" t="inlineStr">
        <is>
          <t xml:space="preserve"> </t>
        </is>
      </c>
      <c r="V78" s="101" t="inlineStr">
        <is>
          <t xml:space="preserve"> </t>
        </is>
      </c>
      <c r="W78" s="102" t="inlineStr">
        <is>
          <t xml:space="preserve"> </t>
        </is>
      </c>
      <c r="X78" t="inlineStr">
        <is>
          <t>No se encontró ejecución en CUIPO</t>
        </is>
      </c>
    </row>
    <row r="79">
      <c r="A79" t="inlineStr">
        <is>
          <t>IP-74</t>
        </is>
      </c>
      <c r="B79" t="inlineStr">
        <is>
          <t>43</t>
        </is>
      </c>
      <c r="C79" t="inlineStr">
        <is>
          <t>Deporte y Recreación</t>
        </is>
      </c>
      <c r="D79" t="inlineStr">
        <is>
          <t>4302</t>
        </is>
      </c>
      <c r="E79" t="inlineStr">
        <is>
          <t>Formación y preparación de deportistas</t>
        </is>
      </c>
      <c r="F79" t="inlineStr">
        <is>
          <t>4302004</t>
        </is>
      </c>
      <c r="G79" t="inlineStr">
        <is>
          <t>Servicio de organización de eventos deportivos de alto rendimiento</t>
        </is>
      </c>
      <c r="H79" t="inlineStr">
        <is>
          <t>Corresponde a la planeación, organización y realización de eventos deportivos con sede en Colombia</t>
        </is>
      </c>
      <c r="I79" t="inlineStr">
        <is>
          <t>202500000044469</t>
        </is>
      </c>
      <c r="J79" s="99">
        <v>174231137</v>
      </c>
      <c r="K79" s="99">
        <v>37500000</v>
      </c>
      <c r="L79" s="99">
        <v>45687500</v>
      </c>
      <c r="M79" s="99">
        <v>44145937</v>
      </c>
      <c r="N79" s="99">
        <v>46897700</v>
      </c>
      <c r="O79" s="99" t="inlineStr">
        <is>
          <t xml:space="preserve"> </t>
        </is>
      </c>
      <c r="P79" s="99" t="inlineStr">
        <is>
          <t xml:space="preserve"> </t>
        </is>
      </c>
      <c r="Q79" s="99" t="inlineStr">
        <is>
          <t xml:space="preserve"> </t>
        </is>
      </c>
      <c r="R79" s="100" t="inlineStr">
        <is>
          <t xml:space="preserve"> </t>
        </is>
      </c>
      <c r="S79" t="inlineStr">
        <is>
          <t>No se encontró ejecución en CUIPO</t>
        </is>
      </c>
      <c r="T79" s="101" t="inlineStr">
        <is>
          <t xml:space="preserve"> </t>
        </is>
      </c>
      <c r="U79" s="101" t="inlineStr">
        <is>
          <t xml:space="preserve"> </t>
        </is>
      </c>
      <c r="V79" s="101" t="inlineStr">
        <is>
          <t xml:space="preserve"> </t>
        </is>
      </c>
      <c r="W79" s="102" t="inlineStr">
        <is>
          <t xml:space="preserve"> </t>
        </is>
      </c>
      <c r="X79" t="inlineStr">
        <is>
          <t>No se encontró ejecución en CUIPO</t>
        </is>
      </c>
    </row>
    <row r="80">
      <c r="A80" t="inlineStr">
        <is>
          <t>IP-75</t>
        </is>
      </c>
      <c r="B80" t="inlineStr">
        <is>
          <t>43</t>
        </is>
      </c>
      <c r="C80" t="inlineStr">
        <is>
          <t>Deporte y Recreación</t>
        </is>
      </c>
      <c r="D80" t="inlineStr">
        <is>
          <t>4301</t>
        </is>
      </c>
      <c r="E80" t="inlineStr">
        <is>
          <t>Fomento a la recreación, la actividad física y el deporte para desarrollar entornos de convivencia y paz</t>
        </is>
      </c>
      <c r="F80" t="inlineStr">
        <is>
          <t>4301038</t>
        </is>
      </c>
      <c r="G80" t="inlineStr">
        <is>
          <t>Servicio de organización de eventos recreativos comunitarios</t>
        </is>
      </c>
      <c r="H80" t="inlineStr">
        <is>
          <t>Corresponde a la planeación, organización y realización de eventos recreativos y de esparcimiento del tiempo libre con la comunidad.</t>
        </is>
      </c>
      <c r="I80" t="inlineStr">
        <is>
          <t>2024257850044</t>
        </is>
      </c>
      <c r="J80" s="99">
        <v>58053301</v>
      </c>
      <c r="K80" s="99">
        <v>2500000</v>
      </c>
      <c r="L80" s="99">
        <v>49417017</v>
      </c>
      <c r="M80" s="99">
        <v>2943062</v>
      </c>
      <c r="N80" s="99">
        <v>3193222</v>
      </c>
      <c r="O80" s="99">
        <v>2500000</v>
      </c>
      <c r="P80" s="99">
        <v>2500000</v>
      </c>
      <c r="Q80" s="99">
        <v>2500000</v>
      </c>
      <c r="R80" s="100">
        <v>1</v>
      </c>
      <c r="S80" t="inlineStr">
        <is>
          <t>Se ejecutó el 100% de lo programado en la vigencia</t>
        </is>
      </c>
      <c r="T80" s="101" t="inlineStr">
        <is>
          <t xml:space="preserve"> </t>
        </is>
      </c>
      <c r="U80" s="101" t="inlineStr">
        <is>
          <t xml:space="preserve"> </t>
        </is>
      </c>
      <c r="V80" s="101" t="inlineStr">
        <is>
          <t xml:space="preserve"> </t>
        </is>
      </c>
      <c r="W80" s="102" t="inlineStr">
        <is>
          <t xml:space="preserve"> </t>
        </is>
      </c>
      <c r="X80" t="inlineStr">
        <is>
          <t>No se encontró ejecución en CUIPO</t>
        </is>
      </c>
    </row>
    <row r="81">
      <c r="A81" t="inlineStr">
        <is>
          <t>IP-76</t>
        </is>
      </c>
      <c r="B81" t="inlineStr">
        <is>
          <t>43</t>
        </is>
      </c>
      <c r="C81" t="inlineStr">
        <is>
          <t>Deporte y Recreación</t>
        </is>
      </c>
      <c r="D81" t="inlineStr">
        <is>
          <t>4302</t>
        </is>
      </c>
      <c r="E81" t="inlineStr">
        <is>
          <t>Formación y preparación de deportistas</t>
        </is>
      </c>
      <c r="F81" t="inlineStr">
        <is>
          <t>4302044</t>
        </is>
      </c>
      <c r="G81" t="inlineStr">
        <is>
          <t>Unideportivo construido</t>
        </is>
      </c>
      <c r="H81" t="inlineStr">
        <is>
          <t xml:space="preserve">Construcción de una instalación deportiva cubierta con capacidad inferior o igual a 5 personas acomodadas en graderías de carácter permanente, con Servicio anexos, en la cual se pueden realizar actividades de tipo deportivo. </t>
        </is>
      </c>
      <c r="I81" t="inlineStr">
        <is>
          <t>202500000044469</t>
        </is>
      </c>
      <c r="J81" s="99">
        <v>1000000</v>
      </c>
      <c r="K81" s="99">
        <v>0</v>
      </c>
      <c r="L81" s="99">
        <v>0</v>
      </c>
      <c r="M81" s="99">
        <v>1000000</v>
      </c>
      <c r="N81" s="99">
        <v>0</v>
      </c>
      <c r="O81" s="99" t="inlineStr">
        <is>
          <t xml:space="preserve"> </t>
        </is>
      </c>
      <c r="P81" s="99" t="inlineStr">
        <is>
          <t xml:space="preserve"> </t>
        </is>
      </c>
      <c r="Q81" s="99" t="inlineStr">
        <is>
          <t xml:space="preserve"> </t>
        </is>
      </c>
      <c r="R81" s="100" t="inlineStr">
        <is>
          <t xml:space="preserve"> </t>
        </is>
      </c>
      <c r="S81" t="inlineStr">
        <is>
          <t>No se encontró ejecución en CUIPO</t>
        </is>
      </c>
      <c r="T81" s="101" t="inlineStr">
        <is>
          <t xml:space="preserve"> </t>
        </is>
      </c>
      <c r="U81" s="101" t="inlineStr">
        <is>
          <t xml:space="preserve"> </t>
        </is>
      </c>
      <c r="V81" s="101" t="inlineStr">
        <is>
          <t xml:space="preserve"> </t>
        </is>
      </c>
      <c r="W81" s="102" t="inlineStr">
        <is>
          <t xml:space="preserve"> </t>
        </is>
      </c>
      <c r="X81" t="inlineStr">
        <is>
          <t>No se encontró ejecución en CUIPO</t>
        </is>
      </c>
    </row>
    <row r="82">
      <c r="A82" t="inlineStr">
        <is>
          <t>IP-77</t>
        </is>
      </c>
      <c r="B82" t="inlineStr">
        <is>
          <t>43</t>
        </is>
      </c>
      <c r="C82" t="inlineStr">
        <is>
          <t>Deporte y Recreación</t>
        </is>
      </c>
      <c r="D82" t="inlineStr">
        <is>
          <t>4301</t>
        </is>
      </c>
      <c r="E82" t="inlineStr">
        <is>
          <t>Fomento a la recreación, la actividad física y el deporte para desarrollar entornos de convivencia y paz</t>
        </is>
      </c>
      <c r="F82" t="inlineStr">
        <is>
          <t>4301030</t>
        </is>
      </c>
      <c r="G82" t="inlineStr">
        <is>
          <t>Parque recreo-deportivo construido y dotado</t>
        </is>
      </c>
      <c r="H82" t="inlineStr">
        <is>
          <t>Construcción y dotación de un parque recreo-deportivo que contiene zona de juegos infantiles, área de gimnasio, pista de trote, bebederos y demás equipamientos destinados a la recreación y el deporte al aire libre.</t>
        </is>
      </c>
      <c r="I82" t="inlineStr">
        <is>
          <t>2024257850044</t>
        </is>
      </c>
      <c r="J82" s="99">
        <v>51250000</v>
      </c>
      <c r="K82" s="99">
        <v>0</v>
      </c>
      <c r="L82" s="99">
        <v>50250000</v>
      </c>
      <c r="M82" s="99">
        <v>500000</v>
      </c>
      <c r="N82" s="99">
        <v>500000</v>
      </c>
      <c r="O82" s="99" t="inlineStr">
        <is>
          <t xml:space="preserve"> </t>
        </is>
      </c>
      <c r="P82" s="99" t="inlineStr">
        <is>
          <t xml:space="preserve"> </t>
        </is>
      </c>
      <c r="Q82" s="99" t="inlineStr">
        <is>
          <t xml:space="preserve"> </t>
        </is>
      </c>
      <c r="R82" s="100" t="inlineStr">
        <is>
          <t xml:space="preserve"> </t>
        </is>
      </c>
      <c r="S82" t="inlineStr">
        <is>
          <t>No se encontró ejecución en CUIPO</t>
        </is>
      </c>
      <c r="T82" s="101" t="inlineStr">
        <is>
          <t xml:space="preserve"> </t>
        </is>
      </c>
      <c r="U82" s="101" t="inlineStr">
        <is>
          <t xml:space="preserve"> </t>
        </is>
      </c>
      <c r="V82" s="101" t="inlineStr">
        <is>
          <t xml:space="preserve"> </t>
        </is>
      </c>
      <c r="W82" s="102" t="inlineStr">
        <is>
          <t xml:space="preserve"> </t>
        </is>
      </c>
      <c r="X82" t="inlineStr">
        <is>
          <t>No se encontró ejecución en CUIPO</t>
        </is>
      </c>
    </row>
    <row r="83">
      <c r="A83" t="inlineStr">
        <is>
          <t>IP-78</t>
        </is>
      </c>
      <c r="B83" t="inlineStr">
        <is>
          <t>43</t>
        </is>
      </c>
      <c r="C83" t="inlineStr">
        <is>
          <t>Deporte y Recreación</t>
        </is>
      </c>
      <c r="D83" t="inlineStr">
        <is>
          <t>4301</t>
        </is>
      </c>
      <c r="E83" t="inlineStr">
        <is>
          <t>Fomento a la recreación, la actividad física y el deporte para desarrollar entornos de convivencia y paz</t>
        </is>
      </c>
      <c r="F83" t="inlineStr">
        <is>
          <t>4301006</t>
        </is>
      </c>
      <c r="G83" t="inlineStr">
        <is>
          <t>Documentos normativos</t>
        </is>
      </c>
      <c r="H83" t="inlineStr">
        <is>
          <t>Corresponde a la formulación o reformulación de políticas públicas o normatividad concerniente a la práctica de la actividad física, de la recreación y el deporte.</t>
        </is>
      </c>
      <c r="I83" t="inlineStr">
        <is>
          <t>2024257850044</t>
        </is>
      </c>
      <c r="J83" s="99">
        <v>40000000</v>
      </c>
      <c r="K83" s="99">
        <v>0</v>
      </c>
      <c r="L83" s="99">
        <v>0</v>
      </c>
      <c r="M83" s="99">
        <v>40000000</v>
      </c>
      <c r="N83" s="99">
        <v>0</v>
      </c>
      <c r="O83" s="99" t="inlineStr">
        <is>
          <t xml:space="preserve"> </t>
        </is>
      </c>
      <c r="P83" s="99" t="inlineStr">
        <is>
          <t xml:space="preserve"> </t>
        </is>
      </c>
      <c r="Q83" s="99" t="inlineStr">
        <is>
          <t xml:space="preserve"> </t>
        </is>
      </c>
      <c r="R83" s="100" t="inlineStr">
        <is>
          <t xml:space="preserve"> </t>
        </is>
      </c>
      <c r="S83" t="inlineStr">
        <is>
          <t>No se encontró ejecución en CUIPO</t>
        </is>
      </c>
      <c r="T83" s="101" t="inlineStr">
        <is>
          <t xml:space="preserve"> </t>
        </is>
      </c>
      <c r="U83" s="101" t="inlineStr">
        <is>
          <t xml:space="preserve"> </t>
        </is>
      </c>
      <c r="V83" s="101" t="inlineStr">
        <is>
          <t xml:space="preserve"> </t>
        </is>
      </c>
      <c r="W83" s="102" t="inlineStr">
        <is>
          <t xml:space="preserve"> </t>
        </is>
      </c>
      <c r="X83" t="inlineStr">
        <is>
          <t>No se encontró ejecución en CUIPO</t>
        </is>
      </c>
    </row>
    <row r="84">
      <c r="A84" t="inlineStr">
        <is>
          <t>IP-79</t>
        </is>
      </c>
      <c r="B84" t="inlineStr">
        <is>
          <t>43</t>
        </is>
      </c>
      <c r="C84" t="inlineStr">
        <is>
          <t>Deporte y Recreación</t>
        </is>
      </c>
      <c r="D84" t="inlineStr">
        <is>
          <t>4301</t>
        </is>
      </c>
      <c r="E84" t="inlineStr">
        <is>
          <t>Fomento a la recreación, la actividad física y el deporte para desarrollar entornos de convivencia y paz</t>
        </is>
      </c>
      <c r="F84" t="inlineStr">
        <is>
          <t>4301037</t>
        </is>
      </c>
      <c r="G84" t="inlineStr">
        <is>
          <t>Servicio de promoción de la actividad física, la recreación y el deporte</t>
        </is>
      </c>
      <c r="H84"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84" t="inlineStr">
        <is>
          <t>2024257850044</t>
        </is>
      </c>
      <c r="J84" s="99">
        <v>1352989915</v>
      </c>
      <c r="K84" s="99">
        <v>356200000</v>
      </c>
      <c r="L84" s="99">
        <v>135000000</v>
      </c>
      <c r="M84" s="99">
        <v>419327545</v>
      </c>
      <c r="N84" s="99">
        <v>442462370</v>
      </c>
      <c r="O84" s="99">
        <v>96250000</v>
      </c>
      <c r="P84" s="99">
        <v>96250000</v>
      </c>
      <c r="Q84" s="99">
        <v>96250000</v>
      </c>
      <c r="R84" s="100">
        <v>0.270213363279057</v>
      </c>
      <c r="S84" t="inlineStr">
        <is>
          <t>Lo obligado está por debajo de lo programado en la vigencia</t>
        </is>
      </c>
      <c r="T84" s="101">
        <v>90000000</v>
      </c>
      <c r="U84" s="101">
        <v>90000000</v>
      </c>
      <c r="V84" s="101">
        <v>90000000</v>
      </c>
      <c r="W84" s="102">
        <v>0.666666666666667</v>
      </c>
      <c r="X84" t="inlineStr">
        <is>
          <t>Lo obligado está por debajo de lo programado en la vigencia</t>
        </is>
      </c>
    </row>
    <row r="85">
      <c r="A85" t="inlineStr">
        <is>
          <t>IP-80, IP-81</t>
        </is>
      </c>
      <c r="B85" t="inlineStr">
        <is>
          <t>32</t>
        </is>
      </c>
      <c r="C85" t="inlineStr">
        <is>
          <t>Ambiente y desarrollo sostenible</t>
        </is>
      </c>
      <c r="D85" t="inlineStr">
        <is>
          <t>3203</t>
        </is>
      </c>
      <c r="E85" t="inlineStr">
        <is>
          <t>Gestión integral del recurso hídrico</t>
        </is>
      </c>
      <c r="F85" t="inlineStr">
        <is>
          <t>3203050</t>
        </is>
      </c>
      <c r="G85" t="inlineStr">
        <is>
          <t>Servicio de protección del recurso hídrico</t>
        </is>
      </c>
      <c r="H85" t="inlineStr">
        <is>
          <t>Incluye acciones orientadas a la administración y manejo de áreas de reserva hídrica o zonas de reserva natural para la protección de las fuentes hídricas.</t>
        </is>
      </c>
      <c r="I85" t="inlineStr">
        <is>
          <t>2024257850021</t>
        </is>
      </c>
      <c r="J85" s="99">
        <v>1208459086</v>
      </c>
      <c r="K85" s="99">
        <v>243090000</v>
      </c>
      <c r="L85" s="99">
        <v>368701249</v>
      </c>
      <c r="M85" s="99">
        <v>286171625</v>
      </c>
      <c r="N85" s="99">
        <v>310496212</v>
      </c>
      <c r="O85" s="99">
        <v>21350000</v>
      </c>
      <c r="P85" s="99">
        <v>21350000</v>
      </c>
      <c r="Q85" s="99">
        <v>21350000</v>
      </c>
      <c r="R85" s="100">
        <v>0.0878275535809782</v>
      </c>
      <c r="S85" t="inlineStr">
        <is>
          <t>Lo obligado está por debajo de lo programado en la vigencia</t>
        </is>
      </c>
      <c r="T85" s="101">
        <v>65473333</v>
      </c>
      <c r="U85" s="101">
        <v>43853333</v>
      </c>
      <c r="V85" s="101">
        <v>43853333</v>
      </c>
      <c r="W85" s="102">
        <v>0.118940017477402</v>
      </c>
      <c r="X85" t="inlineStr">
        <is>
          <t>Lo obligado está por debajo de lo programado en la vigencia</t>
        </is>
      </c>
    </row>
    <row r="86">
      <c r="A86" t="inlineStr">
        <is>
          <t>IP-82</t>
        </is>
      </c>
      <c r="B86" t="inlineStr">
        <is>
          <t>32</t>
        </is>
      </c>
      <c r="C86" t="inlineStr">
        <is>
          <t>Ambiente y desarrollo sostenible</t>
        </is>
      </c>
      <c r="D86" t="inlineStr">
        <is>
          <t>3202</t>
        </is>
      </c>
      <c r="E86" t="inlineStr">
        <is>
          <t>Conservación de la biodiversidad y sus servicios ecosistémicos</t>
        </is>
      </c>
      <c r="F86" t="inlineStr">
        <is>
          <t>3202037</t>
        </is>
      </c>
      <c r="G86" t="inlineStr">
        <is>
          <t>Servicio de recuperación de cuerpos de agua lénticos y lóticos</t>
        </is>
      </c>
      <c r="H86" t="inlineStr">
        <is>
          <t xml:space="preserve">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t>
        </is>
      </c>
      <c r="I86" t="inlineStr">
        <is>
          <t>2024257850020</t>
        </is>
      </c>
      <c r="J86" s="99">
        <v>13454514</v>
      </c>
      <c r="K86" s="99">
        <v>1000000</v>
      </c>
      <c r="L86" s="99">
        <v>10000000</v>
      </c>
      <c r="M86" s="99">
        <v>1177225</v>
      </c>
      <c r="N86" s="99">
        <v>1277289</v>
      </c>
      <c r="O86" s="99">
        <v>1000000</v>
      </c>
      <c r="P86" s="99">
        <v>1000000</v>
      </c>
      <c r="Q86" s="99">
        <v>1000000</v>
      </c>
      <c r="R86" s="100">
        <v>1</v>
      </c>
      <c r="S86" t="inlineStr">
        <is>
          <t>Se ejecutó el 100% de lo programado en la vigencia</t>
        </is>
      </c>
      <c r="T86" s="101">
        <v>10000000</v>
      </c>
      <c r="U86" s="101">
        <v>10000000</v>
      </c>
      <c r="V86" s="101">
        <v>10000000</v>
      </c>
      <c r="W86" s="102">
        <v>1</v>
      </c>
      <c r="X86" t="inlineStr">
        <is>
          <t>Se ejecutó el 100% de lo programado en la vigencia</t>
        </is>
      </c>
    </row>
    <row r="87">
      <c r="A87" t="inlineStr">
        <is>
          <t>IP-83</t>
        </is>
      </c>
      <c r="B87" t="inlineStr">
        <is>
          <t>32</t>
        </is>
      </c>
      <c r="C87" t="inlineStr">
        <is>
          <t>Ambiente y desarrollo sostenible</t>
        </is>
      </c>
      <c r="D87" t="inlineStr">
        <is>
          <t>3202</t>
        </is>
      </c>
      <c r="E87" t="inlineStr">
        <is>
          <t>Conservación de la biodiversidad y sus servicios ecosistémicos</t>
        </is>
      </c>
      <c r="F87" t="inlineStr">
        <is>
          <t>3202028</t>
        </is>
      </c>
      <c r="G87" t="inlineStr">
        <is>
          <t>Centro de Atención e interpretación de la biodiversidad y sus servicios ecosistemicos adecuado</t>
        </is>
      </c>
      <c r="H87" t="inlineStr">
        <is>
          <t>Incluye la autorización para cambiar el uso de una edificación o parte de ella, garantizando a permanencia total o parcial del inmueble original destinado para la atención y servicios informativos acerca de la importancia de la biodiversidad en zonas de importancia ambiental.</t>
        </is>
      </c>
      <c r="I87" t="inlineStr">
        <is>
          <t>2024257850020</t>
        </is>
      </c>
      <c r="J87" s="99">
        <v>32872570</v>
      </c>
      <c r="K87" s="99">
        <v>5000000</v>
      </c>
      <c r="L87" s="99">
        <v>15600000</v>
      </c>
      <c r="M87" s="99">
        <v>5886125</v>
      </c>
      <c r="N87" s="99">
        <v>6386445</v>
      </c>
      <c r="O87" s="99" t="inlineStr">
        <is>
          <t xml:space="preserve"> </t>
        </is>
      </c>
      <c r="P87" s="99" t="inlineStr">
        <is>
          <t xml:space="preserve"> </t>
        </is>
      </c>
      <c r="Q87" s="99" t="inlineStr">
        <is>
          <t xml:space="preserve"> </t>
        </is>
      </c>
      <c r="R87" s="100" t="inlineStr">
        <is>
          <t xml:space="preserve"> </t>
        </is>
      </c>
      <c r="S87" t="inlineStr">
        <is>
          <t>No se encontró ejecución en CUIPO</t>
        </is>
      </c>
      <c r="T87" s="101">
        <v>15000000</v>
      </c>
      <c r="U87" s="101">
        <v>15000000</v>
      </c>
      <c r="V87" s="101">
        <v>15000000</v>
      </c>
      <c r="W87" s="102">
        <v>0.961538461538462</v>
      </c>
      <c r="X87" t="inlineStr">
        <is>
          <t>Lo obligado está por debajo de lo programado en la vigencia</t>
        </is>
      </c>
    </row>
    <row r="88">
      <c r="A88" t="inlineStr">
        <is>
          <t>IP-84</t>
        </is>
      </c>
      <c r="B88" t="inlineStr">
        <is>
          <t>32</t>
        </is>
      </c>
      <c r="C88" t="inlineStr">
        <is>
          <t>Ambiente y desarrollo sostenible</t>
        </is>
      </c>
      <c r="D88" t="inlineStr">
        <is>
          <t>3202</t>
        </is>
      </c>
      <c r="E88" t="inlineStr">
        <is>
          <t>Conservación de la biodiversidad y sus servicios ecosistémicos</t>
        </is>
      </c>
      <c r="F88" t="inlineStr">
        <is>
          <t>3202038</t>
        </is>
      </c>
      <c r="G88" t="inlineStr">
        <is>
          <t>Servicio de producción de plántulas en viveros</t>
        </is>
      </c>
      <c r="H88" t="inlineStr">
        <is>
          <t>Acciones orientadas a producir plántulas en viveros que serán utilizadas en la recuperación de ecosistemas degradados</t>
        </is>
      </c>
      <c r="I88" t="inlineStr">
        <is>
          <t>2024257850020</t>
        </is>
      </c>
      <c r="J88" s="99">
        <v>313111250</v>
      </c>
      <c r="K88" s="99">
        <v>0</v>
      </c>
      <c r="L88" s="99">
        <v>200000000</v>
      </c>
      <c r="M88" s="99">
        <v>54250000</v>
      </c>
      <c r="N88" s="99">
        <v>58861250</v>
      </c>
      <c r="O88" s="99" t="inlineStr">
        <is>
          <t xml:space="preserve"> </t>
        </is>
      </c>
      <c r="P88" s="99" t="inlineStr">
        <is>
          <t xml:space="preserve"> </t>
        </is>
      </c>
      <c r="Q88" s="99" t="inlineStr">
        <is>
          <t xml:space="preserve"> </t>
        </is>
      </c>
      <c r="R88" s="100" t="inlineStr">
        <is>
          <t xml:space="preserve"> </t>
        </is>
      </c>
      <c r="S88" t="inlineStr">
        <is>
          <t>No se encontró ejecución en CUIPO</t>
        </is>
      </c>
      <c r="T88" s="101" t="inlineStr">
        <is>
          <t xml:space="preserve"> </t>
        </is>
      </c>
      <c r="U88" s="101" t="inlineStr">
        <is>
          <t xml:space="preserve"> </t>
        </is>
      </c>
      <c r="V88" s="101" t="inlineStr">
        <is>
          <t xml:space="preserve"> </t>
        </is>
      </c>
      <c r="W88" s="102" t="inlineStr">
        <is>
          <t xml:space="preserve"> </t>
        </is>
      </c>
      <c r="X88" t="inlineStr">
        <is>
          <t>No se encontró ejecución en CUIPO</t>
        </is>
      </c>
    </row>
    <row r="89">
      <c r="A89" t="inlineStr">
        <is>
          <t>IP-85</t>
        </is>
      </c>
      <c r="B89" t="inlineStr">
        <is>
          <t>32</t>
        </is>
      </c>
      <c r="C89" t="inlineStr">
        <is>
          <t>Ambiente y desarrollo sostenible</t>
        </is>
      </c>
      <c r="D89" t="inlineStr">
        <is>
          <t>3206</t>
        </is>
      </c>
      <c r="E89" t="inlineStr">
        <is>
          <t>Gestión del cambio climático para un desarrollo bajo en carbono y resiliente al clima</t>
        </is>
      </c>
      <c r="F89" t="inlineStr">
        <is>
          <t>3206004</t>
        </is>
      </c>
      <c r="G89" t="inlineStr">
        <is>
          <t>Servicio de educación informal en gestión del cambio climático para un desarrollo bajo en carbono y resiliente al clima</t>
        </is>
      </c>
      <c r="H89" t="inlineStr">
        <is>
          <t xml:space="preserve">Incluye la realización de jornadas de educación, información, y sensibilización dirigidos a diferentes públicos. </t>
        </is>
      </c>
      <c r="I89" t="inlineStr">
        <is>
          <t>2024257850019</t>
        </is>
      </c>
      <c r="J89" s="99">
        <v>211725706</v>
      </c>
      <c r="K89" s="99">
        <v>50000000</v>
      </c>
      <c r="L89" s="99">
        <v>39000000</v>
      </c>
      <c r="M89" s="99">
        <v>58861250</v>
      </c>
      <c r="N89" s="99">
        <v>63864456</v>
      </c>
      <c r="O89" s="99">
        <v>46700105</v>
      </c>
      <c r="P89" s="99">
        <v>46700105</v>
      </c>
      <c r="Q89" s="99">
        <v>46700105</v>
      </c>
      <c r="R89" s="100">
        <v>0.9340021</v>
      </c>
      <c r="S89" t="inlineStr">
        <is>
          <t>Lo obligado está por debajo de lo programado en la vigencia</t>
        </is>
      </c>
      <c r="T89" s="101">
        <v>39000000</v>
      </c>
      <c r="U89" s="101">
        <v>26200000</v>
      </c>
      <c r="V89" s="101">
        <v>26200000</v>
      </c>
      <c r="W89" s="102">
        <v>0.671794871794872</v>
      </c>
      <c r="X89" t="inlineStr">
        <is>
          <t>Lo obligado está por debajo de lo programado en la vigencia</t>
        </is>
      </c>
    </row>
    <row r="90">
      <c r="A90" t="inlineStr">
        <is>
          <t>IP-86, IP-87</t>
        </is>
      </c>
      <c r="B90" t="inlineStr">
        <is>
          <t>32</t>
        </is>
      </c>
      <c r="C90" t="inlineStr">
        <is>
          <t>Ambiente y desarrollo sostenible</t>
        </is>
      </c>
      <c r="D90" t="inlineStr">
        <is>
          <t>3208</t>
        </is>
      </c>
      <c r="E90" t="inlineStr">
        <is>
          <t xml:space="preserve">Educación Ambiental </t>
        </is>
      </c>
      <c r="F90" t="inlineStr">
        <is>
          <t>3208008</t>
        </is>
      </c>
      <c r="G90" t="inlineStr">
        <is>
          <t>Servicio de divulgación de la información de la política nacional de educación ambiental y participación</t>
        </is>
      </c>
      <c r="H90" t="inlineStr">
        <is>
          <t xml:space="preserve">Acciones orientadas a difundir la información ambiental en el marco de la educación ambiental </t>
        </is>
      </c>
      <c r="I90" t="inlineStr">
        <is>
          <t>2024257850022</t>
        </is>
      </c>
      <c r="J90" s="99">
        <v>134484923</v>
      </c>
      <c r="K90" s="99">
        <v>30000000</v>
      </c>
      <c r="L90" s="99">
        <v>30850000</v>
      </c>
      <c r="M90" s="99">
        <v>35316250</v>
      </c>
      <c r="N90" s="99">
        <v>38318673</v>
      </c>
      <c r="O90" s="99">
        <v>16500000</v>
      </c>
      <c r="P90" s="99">
        <v>16500000</v>
      </c>
      <c r="Q90" s="99">
        <v>16500000</v>
      </c>
      <c r="R90" s="100">
        <v>0.55</v>
      </c>
      <c r="S90" t="inlineStr">
        <is>
          <t>Lo obligado está por debajo de lo programado en la vigencia</t>
        </is>
      </c>
      <c r="T90" s="101">
        <v>30850000</v>
      </c>
      <c r="U90" s="101">
        <v>29850000</v>
      </c>
      <c r="V90" s="101">
        <v>29850000</v>
      </c>
      <c r="W90" s="102">
        <v>0.967585089141005</v>
      </c>
      <c r="X90" t="inlineStr">
        <is>
          <t>Lo obligado está por debajo de lo programado en la vigencia</t>
        </is>
      </c>
    </row>
    <row r="91">
      <c r="A91" t="inlineStr">
        <is>
          <t>IP-88, IP-89</t>
        </is>
      </c>
      <c r="B91" t="inlineStr">
        <is>
          <t>45</t>
        </is>
      </c>
      <c r="C91" t="inlineStr">
        <is>
          <t>Gobierno Territorial</t>
        </is>
      </c>
      <c r="D91" t="inlineStr">
        <is>
          <t>4503</t>
        </is>
      </c>
      <c r="E91" t="inlineStr">
        <is>
          <t>Gestión del riesgo de desastres y emergencias</t>
        </is>
      </c>
      <c r="F91" t="inlineStr">
        <is>
          <t>4503023</t>
        </is>
      </c>
      <c r="G91" t="inlineStr">
        <is>
          <t>Documentos de planeación</t>
        </is>
      </c>
      <c r="H91" t="inlineStr">
        <is>
          <t>Documentos cuyo objetivo es plasmar una visión de futuro a nivel país, entidad territorial, comunidad, sector, región, entidad o cualquier nivel de desagregación que se requiera. Incluye objetivos, estrategias, metas e indicadores</t>
        </is>
      </c>
      <c r="I91" t="inlineStr">
        <is>
          <t>2024257850035</t>
        </is>
      </c>
      <c r="J91" s="99">
        <v>70450000</v>
      </c>
      <c r="K91" s="99">
        <v>0</v>
      </c>
      <c r="L91" s="99">
        <v>70450000</v>
      </c>
      <c r="M91" s="99">
        <v>0</v>
      </c>
      <c r="N91" s="99">
        <v>0</v>
      </c>
      <c r="O91" s="99" t="inlineStr">
        <is>
          <t xml:space="preserve"> </t>
        </is>
      </c>
      <c r="P91" s="99" t="inlineStr">
        <is>
          <t xml:space="preserve"> </t>
        </is>
      </c>
      <c r="Q91" s="99" t="inlineStr">
        <is>
          <t xml:space="preserve"> </t>
        </is>
      </c>
      <c r="R91" s="100" t="inlineStr">
        <is>
          <t xml:space="preserve"> </t>
        </is>
      </c>
      <c r="S91" t="inlineStr">
        <is>
          <t>No se encontró ejecución en CUIPO</t>
        </is>
      </c>
      <c r="T91" s="101">
        <v>70450000</v>
      </c>
      <c r="U91" s="101">
        <v>0</v>
      </c>
      <c r="V91" s="101">
        <v>0</v>
      </c>
      <c r="W91" s="102">
        <v>0</v>
      </c>
      <c r="X91" t="inlineStr">
        <is>
          <t>No se ejecutó en la vigencia</t>
        </is>
      </c>
    </row>
    <row r="92">
      <c r="A92" t="inlineStr">
        <is>
          <t>IP-90</t>
        </is>
      </c>
      <c r="B92" t="inlineStr">
        <is>
          <t>45</t>
        </is>
      </c>
      <c r="C92" t="inlineStr">
        <is>
          <t>Gobierno Territorial</t>
        </is>
      </c>
      <c r="D92" t="inlineStr">
        <is>
          <t>4503</t>
        </is>
      </c>
      <c r="E92" t="inlineStr">
        <is>
          <t>Gestión del riesgo de desastres y emergencias</t>
        </is>
      </c>
      <c r="F92" t="inlineStr">
        <is>
          <t>4503019</t>
        </is>
      </c>
      <c r="G92" t="inlineStr">
        <is>
          <t>"Servicios de información implementados"</t>
        </is>
      </c>
      <c r="H92" t="inlineStr">
        <is>
          <t>Corresponde al proceso que asegura la disposición de la información de manera accesible, confiable y oportuna.</t>
        </is>
      </c>
      <c r="I92" t="inlineStr">
        <is>
          <t>2024257850035</t>
        </is>
      </c>
      <c r="J92" s="99">
        <v>30000000</v>
      </c>
      <c r="K92" s="99">
        <v>0</v>
      </c>
      <c r="L92" s="99">
        <v>0</v>
      </c>
      <c r="M92" s="99">
        <v>30000000</v>
      </c>
      <c r="N92" s="99">
        <v>0</v>
      </c>
      <c r="O92" s="99" t="inlineStr">
        <is>
          <t xml:space="preserve"> </t>
        </is>
      </c>
      <c r="P92" s="99" t="inlineStr">
        <is>
          <t xml:space="preserve"> </t>
        </is>
      </c>
      <c r="Q92" s="99" t="inlineStr">
        <is>
          <t xml:space="preserve"> </t>
        </is>
      </c>
      <c r="R92" s="100" t="inlineStr">
        <is>
          <t xml:space="preserve"> </t>
        </is>
      </c>
      <c r="S92" t="inlineStr">
        <is>
          <t>No se encontró ejecución en CUIPO</t>
        </is>
      </c>
      <c r="T92" s="101" t="inlineStr">
        <is>
          <t xml:space="preserve"> </t>
        </is>
      </c>
      <c r="U92" s="101" t="inlineStr">
        <is>
          <t xml:space="preserve"> </t>
        </is>
      </c>
      <c r="V92" s="101" t="inlineStr">
        <is>
          <t xml:space="preserve"> </t>
        </is>
      </c>
      <c r="W92" s="102" t="inlineStr">
        <is>
          <t xml:space="preserve"> </t>
        </is>
      </c>
      <c r="X92" t="inlineStr">
        <is>
          <t>No se encontró ejecución en CUIPO</t>
        </is>
      </c>
    </row>
    <row r="93">
      <c r="A93" t="inlineStr">
        <is>
          <t>IP-92</t>
        </is>
      </c>
      <c r="B93" t="inlineStr">
        <is>
          <t>45</t>
        </is>
      </c>
      <c r="C93" t="inlineStr">
        <is>
          <t>Gobierno Territorial</t>
        </is>
      </c>
      <c r="D93" t="inlineStr">
        <is>
          <t>4503</t>
        </is>
      </c>
      <c r="E93" t="inlineStr">
        <is>
          <t>Gestión del riesgo de desastres y emergencias</t>
        </is>
      </c>
      <c r="F93" t="inlineStr">
        <is>
          <t>4503035</t>
        </is>
      </c>
      <c r="G93" t="inlineStr">
        <is>
          <t>Servicio prevención y control de incendios</t>
        </is>
      </c>
      <c r="H93" t="inlineStr">
        <is>
          <t xml:space="preserve">Incluye las acciones desarrolladas para la disposición de los cuerpos de bomberos en el desarrollo de las acciones orientadas a la gestión integral del riesgo contra incendio, los preparativos y atención de rescates en todas sus modalidades y la atención de incidentes con materiales peligrosos, las campañas preventivas, dotación, maquinaria, equipos y otros insumos. </t>
        </is>
      </c>
      <c r="I93" t="inlineStr">
        <is>
          <t>2024257850035</t>
        </is>
      </c>
      <c r="J93" s="99">
        <v>797591220</v>
      </c>
      <c r="K93" s="99">
        <v>158010000</v>
      </c>
      <c r="L93" s="99">
        <v>255245868</v>
      </c>
      <c r="M93" s="99">
        <v>186013232</v>
      </c>
      <c r="N93" s="99">
        <v>198322120</v>
      </c>
      <c r="O93" s="99">
        <v>120000000</v>
      </c>
      <c r="P93" s="99">
        <v>79999998</v>
      </c>
      <c r="Q93" s="99">
        <v>79999998</v>
      </c>
      <c r="R93" s="100">
        <v>0.506297057148282</v>
      </c>
      <c r="S93" t="inlineStr">
        <is>
          <t>Lo obligado está por debajo de lo programado en la vigencia</t>
        </is>
      </c>
      <c r="T93" s="101">
        <v>220000000</v>
      </c>
      <c r="U93" s="101">
        <v>132000000</v>
      </c>
      <c r="V93" s="101">
        <v>132000000</v>
      </c>
      <c r="W93" s="102">
        <v>0.517148430391046</v>
      </c>
      <c r="X93" t="inlineStr">
        <is>
          <t>Lo obligado está por debajo de lo programado en la vigencia</t>
        </is>
      </c>
    </row>
    <row r="94">
      <c r="A94" t="inlineStr">
        <is>
          <t>IP-93</t>
        </is>
      </c>
      <c r="B94" t="inlineStr">
        <is>
          <t>45</t>
        </is>
      </c>
      <c r="C94" t="inlineStr">
        <is>
          <t>Gobierno Territorial</t>
        </is>
      </c>
      <c r="D94" t="inlineStr">
        <is>
          <t>4503</t>
        </is>
      </c>
      <c r="E94" t="inlineStr">
        <is>
          <t>Gestión del riesgo de desastres y emergencias</t>
        </is>
      </c>
      <c r="F94" t="inlineStr">
        <is>
          <t>4503016</t>
        </is>
      </c>
      <c r="G94" t="inlineStr">
        <is>
          <t>Servicio de fortalecimiento a las salas de crisis territorial</t>
        </is>
      </c>
      <c r="H94" t="inlineStr">
        <is>
          <t>Incluye la dotación de los organismos que componen la sala de crisis de los Consejos territoriales de Gestión de Riesgo con vehículos, equipos de protección personal y equipos, herramientas y accesorios para la atención de emergencias, así como el aseguramiento del personal misional.</t>
        </is>
      </c>
      <c r="I94" t="inlineStr">
        <is>
          <t>2024257850035</t>
        </is>
      </c>
      <c r="J94" s="99">
        <v>52150000</v>
      </c>
      <c r="K94" s="99">
        <v>0</v>
      </c>
      <c r="L94" s="99">
        <v>12150000</v>
      </c>
      <c r="M94" s="99">
        <v>40000000</v>
      </c>
      <c r="N94" s="99">
        <v>0</v>
      </c>
      <c r="O94" s="99" t="inlineStr">
        <is>
          <t xml:space="preserve"> </t>
        </is>
      </c>
      <c r="P94" s="99" t="inlineStr">
        <is>
          <t xml:space="preserve"> </t>
        </is>
      </c>
      <c r="Q94" s="99" t="inlineStr">
        <is>
          <t xml:space="preserve"> </t>
        </is>
      </c>
      <c r="R94" s="100" t="inlineStr">
        <is>
          <t xml:space="preserve"> </t>
        </is>
      </c>
      <c r="S94" t="inlineStr">
        <is>
          <t>No se encontró ejecución en CUIPO</t>
        </is>
      </c>
      <c r="T94" s="101" t="inlineStr">
        <is>
          <t xml:space="preserve"> </t>
        </is>
      </c>
      <c r="U94" s="101" t="inlineStr">
        <is>
          <t xml:space="preserve"> </t>
        </is>
      </c>
      <c r="V94" s="101" t="inlineStr">
        <is>
          <t xml:space="preserve"> </t>
        </is>
      </c>
      <c r="W94" s="102" t="inlineStr">
        <is>
          <t xml:space="preserve"> </t>
        </is>
      </c>
      <c r="X94" t="inlineStr">
        <is>
          <t>No se encontró ejecución en CUIPO</t>
        </is>
      </c>
    </row>
    <row r="95">
      <c r="A95" t="inlineStr">
        <is>
          <t>IP-94</t>
        </is>
      </c>
      <c r="B95" t="inlineStr">
        <is>
          <t>45</t>
        </is>
      </c>
      <c r="C95" t="inlineStr">
        <is>
          <t>Gobierno Territorial</t>
        </is>
      </c>
      <c r="D95" t="inlineStr">
        <is>
          <t>4503</t>
        </is>
      </c>
      <c r="E95" t="inlineStr">
        <is>
          <t>Gestión del riesgo de desastres y emergencias</t>
        </is>
      </c>
      <c r="F95" t="inlineStr">
        <is>
          <t>4503022</t>
        </is>
      </c>
      <c r="G95" t="inlineStr">
        <is>
          <t>Obras de infraestructura para la reducción del riesgo de desastres</t>
        </is>
      </c>
      <c r="H95" t="inlineStr">
        <is>
          <t>Intervenciones que buscan reducir el nivel de riesgo existente en un determinado sitio, mediante acciones de carácter estructural – físicas que conlleven a corregir o reducir las condiciones de amenaza, cuando esto sea posible, y/o la vulnerabilidad de los elementos expuestos.</t>
        </is>
      </c>
      <c r="I95" t="inlineStr">
        <is>
          <t>2024257850035</t>
        </is>
      </c>
      <c r="J95" s="99">
        <v>282778125</v>
      </c>
      <c r="K95" s="99">
        <v>0</v>
      </c>
      <c r="L95" s="99">
        <v>0</v>
      </c>
      <c r="M95" s="99">
        <v>135625000</v>
      </c>
      <c r="N95" s="99">
        <v>147153125</v>
      </c>
      <c r="O95" s="99" t="inlineStr">
        <is>
          <t xml:space="preserve"> </t>
        </is>
      </c>
      <c r="P95" s="99" t="inlineStr">
        <is>
          <t xml:space="preserve"> </t>
        </is>
      </c>
      <c r="Q95" s="99" t="inlineStr">
        <is>
          <t xml:space="preserve"> </t>
        </is>
      </c>
      <c r="R95" s="100" t="inlineStr">
        <is>
          <t xml:space="preserve"> </t>
        </is>
      </c>
      <c r="S95" t="inlineStr">
        <is>
          <t>No se encontró ejecución en CUIPO</t>
        </is>
      </c>
      <c r="T95" s="101" t="inlineStr">
        <is>
          <t xml:space="preserve"> </t>
        </is>
      </c>
      <c r="U95" s="101" t="inlineStr">
        <is>
          <t xml:space="preserve"> </t>
        </is>
      </c>
      <c r="V95" s="101" t="inlineStr">
        <is>
          <t xml:space="preserve"> </t>
        </is>
      </c>
      <c r="W95" s="102" t="inlineStr">
        <is>
          <t xml:space="preserve"> </t>
        </is>
      </c>
      <c r="X95" t="inlineStr">
        <is>
          <t>No se encontró ejecución en CUIPO</t>
        </is>
      </c>
    </row>
    <row r="96">
      <c r="A96" t="inlineStr">
        <is>
          <t>IP-95</t>
        </is>
      </c>
      <c r="B96" t="inlineStr">
        <is>
          <t>17</t>
        </is>
      </c>
      <c r="C96" t="inlineStr">
        <is>
          <t xml:space="preserve">Agricultura y desarrollo rural
</t>
        </is>
      </c>
      <c r="D96" t="inlineStr">
        <is>
          <t>1702</t>
        </is>
      </c>
      <c r="E96" t="inlineStr">
        <is>
          <t>Inclusión productiva de pequeños productores rurales</t>
        </is>
      </c>
      <c r="F96" t="inlineStr">
        <is>
          <t>1702010</t>
        </is>
      </c>
      <c r="G96" t="inlineStr">
        <is>
          <t>Servicio de asistencia técnica agropecuaria dirigida a pequeños productores</t>
        </is>
      </c>
      <c r="H96" t="inlineStr">
        <is>
          <t>Atención integral a productores agrícolas, pecuarios, forestales y acuícolas o pesqueros en: Aptitud de suelos; Tecnologías y recursos para actividad productiva; Procedimientos para acceder al financiamiento; Mercadeo; organización de productores y Dotación de infraestructura productiva. Pequeño Productor:se dedica a actividad agropecuaria, pesquera, acuícola cuyos activos NO superen los 200 SMMLV</t>
        </is>
      </c>
      <c r="I96" t="inlineStr">
        <is>
          <t>2024257850025</t>
        </is>
      </c>
      <c r="J96" s="99">
        <v>412024672</v>
      </c>
      <c r="K96" s="99">
        <v>83000000</v>
      </c>
      <c r="L96" s="99">
        <v>125300000</v>
      </c>
      <c r="M96" s="99">
        <v>97709675</v>
      </c>
      <c r="N96" s="99">
        <v>106014997</v>
      </c>
      <c r="O96" s="99">
        <v>64408232</v>
      </c>
      <c r="P96" s="99">
        <v>64408232</v>
      </c>
      <c r="Q96" s="99">
        <v>64408232</v>
      </c>
      <c r="R96" s="100">
        <v>0.776002795180723</v>
      </c>
      <c r="S96" t="inlineStr">
        <is>
          <t>Lo obligado está por debajo de lo programado en la vigencia</t>
        </is>
      </c>
      <c r="T96" s="101">
        <v>89426574</v>
      </c>
      <c r="U96" s="101">
        <v>86012574</v>
      </c>
      <c r="V96" s="101">
        <v>80460574</v>
      </c>
      <c r="W96" s="102">
        <v>0.686453104549082</v>
      </c>
      <c r="X96" t="inlineStr">
        <is>
          <t>Lo obligado está por debajo de lo programado en la vigencia</t>
        </is>
      </c>
    </row>
    <row r="97">
      <c r="A97" t="inlineStr">
        <is>
          <t>IP-98</t>
        </is>
      </c>
      <c r="B97" t="inlineStr">
        <is>
          <t>17</t>
        </is>
      </c>
      <c r="C97" t="inlineStr">
        <is>
          <t xml:space="preserve">Agricultura y desarrollo rural
</t>
        </is>
      </c>
      <c r="D97" t="inlineStr">
        <is>
          <t>1709</t>
        </is>
      </c>
      <c r="E97" t="inlineStr">
        <is>
          <t>Infraestructura productiva y comercialización</t>
        </is>
      </c>
      <c r="F97" t="inlineStr">
        <is>
          <t>1709114</t>
        </is>
      </c>
      <c r="G97" t="inlineStr">
        <is>
          <t>Bancos de maquinaria y equipos para la producción agropecuaria dotado</t>
        </is>
      </c>
      <c r="H97" t="inlineStr">
        <is>
          <t>Contempla la conformación y/o dotación de bancos de maquinaria y equipos por medio de adquisiciones para el acceso de los productores agropecuarios.</t>
        </is>
      </c>
      <c r="I97" t="inlineStr">
        <is>
          <t>2024257850024</t>
        </is>
      </c>
      <c r="J97" s="99">
        <v>45545141</v>
      </c>
      <c r="K97" s="99">
        <v>10000000</v>
      </c>
      <c r="L97" s="99">
        <v>11000000</v>
      </c>
      <c r="M97" s="99">
        <v>11772250</v>
      </c>
      <c r="N97" s="99">
        <v>12772891</v>
      </c>
      <c r="O97" s="99">
        <v>4349800</v>
      </c>
      <c r="P97" s="99">
        <v>4349800</v>
      </c>
      <c r="Q97" s="99">
        <v>4349800</v>
      </c>
      <c r="R97" s="100">
        <v>0.43498</v>
      </c>
      <c r="S97" t="inlineStr">
        <is>
          <t>Lo obligado está por debajo de lo programado en la vigencia</t>
        </is>
      </c>
      <c r="T97" s="101">
        <v>11000000</v>
      </c>
      <c r="U97" s="101">
        <v>11000000</v>
      </c>
      <c r="V97" s="101">
        <v>0</v>
      </c>
      <c r="W97" s="102">
        <v>1</v>
      </c>
      <c r="X97" t="inlineStr">
        <is>
          <t>Se ejecutó el 100% de lo programado en la vigencia</t>
        </is>
      </c>
    </row>
    <row r="98">
      <c r="A98" t="inlineStr">
        <is>
          <t>IP-99</t>
        </is>
      </c>
      <c r="B98" t="inlineStr">
        <is>
          <t>17</t>
        </is>
      </c>
      <c r="C98" t="inlineStr">
        <is>
          <t xml:space="preserve">Agricultura y desarrollo rural
</t>
        </is>
      </c>
      <c r="D98" t="inlineStr">
        <is>
          <t>1709</t>
        </is>
      </c>
      <c r="E98" t="inlineStr">
        <is>
          <t>Infraestructura productiva y comercialización</t>
        </is>
      </c>
      <c r="F98" t="inlineStr">
        <is>
          <t>1709065</t>
        </is>
      </c>
      <c r="G98" t="inlineStr">
        <is>
          <t>Plantas de beneficio animal adecuadas</t>
        </is>
      </c>
      <c r="H98" t="inlineStr">
        <is>
          <t>Todo establecimiento en donde se benefician las especies de animales que han sido declarados como aptas para el consumo humano y que ha sido registrado y autorizado para este fin.</t>
        </is>
      </c>
      <c r="I98" t="inlineStr">
        <is>
          <t>2024257850024</t>
        </is>
      </c>
      <c r="J98" s="99">
        <v>139995141</v>
      </c>
      <c r="K98" s="99">
        <v>10000000</v>
      </c>
      <c r="L98" s="99">
        <v>0</v>
      </c>
      <c r="M98" s="99">
        <v>117222250</v>
      </c>
      <c r="N98" s="99">
        <v>12772891</v>
      </c>
      <c r="O98" s="99" t="inlineStr">
        <is>
          <t xml:space="preserve"> </t>
        </is>
      </c>
      <c r="P98" s="99" t="inlineStr">
        <is>
          <t xml:space="preserve"> </t>
        </is>
      </c>
      <c r="Q98" s="99" t="inlineStr">
        <is>
          <t xml:space="preserve"> </t>
        </is>
      </c>
      <c r="R98" s="100" t="inlineStr">
        <is>
          <t xml:space="preserve"> </t>
        </is>
      </c>
      <c r="S98" t="inlineStr">
        <is>
          <t>No se encontró ejecución en CUIPO</t>
        </is>
      </c>
      <c r="T98" s="101" t="inlineStr">
        <is>
          <t xml:space="preserve"> </t>
        </is>
      </c>
      <c r="U98" s="101" t="inlineStr">
        <is>
          <t xml:space="preserve"> </t>
        </is>
      </c>
      <c r="V98" s="101" t="inlineStr">
        <is>
          <t xml:space="preserve"> </t>
        </is>
      </c>
      <c r="W98" s="102" t="inlineStr">
        <is>
          <t xml:space="preserve"> </t>
        </is>
      </c>
      <c r="X98" t="inlineStr">
        <is>
          <t>No se encontró ejecución en CUIPO</t>
        </is>
      </c>
    </row>
    <row r="99">
      <c r="A99" t="inlineStr">
        <is>
          <t>IP-100</t>
        </is>
      </c>
      <c r="B99" t="inlineStr">
        <is>
          <t>17</t>
        </is>
      </c>
      <c r="C99" t="inlineStr">
        <is>
          <t xml:space="preserve">Agricultura y desarrollo rural
</t>
        </is>
      </c>
      <c r="D99" t="inlineStr">
        <is>
          <t>1706</t>
        </is>
      </c>
      <c r="E99" t="inlineStr">
        <is>
          <t>Aprovechamiento de mercados externos</t>
        </is>
      </c>
      <c r="F99" t="inlineStr">
        <is>
          <t>1706008</t>
        </is>
      </c>
      <c r="G99" t="inlineStr">
        <is>
          <t>Servicio de apoyo financiero para la organización de ferias nacionales e internacionales</t>
        </is>
      </c>
      <c r="H99" t="inlineStr">
        <is>
          <t/>
        </is>
      </c>
      <c r="I99" t="inlineStr">
        <is>
          <t>2024257850023</t>
        </is>
      </c>
      <c r="J99" s="99">
        <v>18454514</v>
      </c>
      <c r="K99" s="99">
        <v>1000000</v>
      </c>
      <c r="L99" s="99">
        <v>15000000</v>
      </c>
      <c r="M99" s="99">
        <v>1177225</v>
      </c>
      <c r="N99" s="99">
        <v>1277289</v>
      </c>
      <c r="O99" s="99">
        <v>15000000</v>
      </c>
      <c r="P99" s="99">
        <v>15000000</v>
      </c>
      <c r="Q99" s="99">
        <v>15000000</v>
      </c>
      <c r="R99" s="100">
        <v>15</v>
      </c>
      <c r="S99" t="inlineStr">
        <is>
          <t>Hubo ejecución por encima de lo programado en SisPT</t>
        </is>
      </c>
      <c r="T99" s="101" t="inlineStr">
        <is>
          <t xml:space="preserve"> </t>
        </is>
      </c>
      <c r="U99" s="101" t="inlineStr">
        <is>
          <t xml:space="preserve"> </t>
        </is>
      </c>
      <c r="V99" s="101" t="inlineStr">
        <is>
          <t xml:space="preserve"> </t>
        </is>
      </c>
      <c r="W99" s="102" t="inlineStr">
        <is>
          <t xml:space="preserve"> </t>
        </is>
      </c>
      <c r="X99" t="inlineStr">
        <is>
          <t>No se encontró ejecución en CUIPO</t>
        </is>
      </c>
    </row>
    <row r="100">
      <c r="A100" t="inlineStr">
        <is>
          <t>IP-101</t>
        </is>
      </c>
      <c r="B100" t="inlineStr">
        <is>
          <t>17</t>
        </is>
      </c>
      <c r="C100" t="inlineStr">
        <is>
          <t xml:space="preserve">Agricultura y desarrollo rural
</t>
        </is>
      </c>
      <c r="D100" t="inlineStr">
        <is>
          <t>1702</t>
        </is>
      </c>
      <c r="E100" t="inlineStr">
        <is>
          <t>Inclusión productiva de pequeños productores rurales</t>
        </is>
      </c>
      <c r="F100" t="inlineStr">
        <is>
          <t>1702038</t>
        </is>
      </c>
      <c r="G100" t="inlineStr">
        <is>
          <t>Servicio de apoyo a la comercialización</t>
        </is>
      </c>
      <c r="H100" t="inlineStr">
        <is>
          <t>Consiste en el acompañamiento para la  identificación de apoyos específicos, la adquisición de competencias comerciales y  en casos requeridos, la inserción o consolidación en  encadenamientos comerciales.</t>
        </is>
      </c>
      <c r="I100" t="inlineStr">
        <is>
          <t>2024257850025</t>
        </is>
      </c>
      <c r="J100" s="99">
        <v>77772570</v>
      </c>
      <c r="K100" s="99">
        <v>50000000</v>
      </c>
      <c r="L100" s="99">
        <v>15500000</v>
      </c>
      <c r="M100" s="99">
        <v>5886125</v>
      </c>
      <c r="N100" s="99">
        <v>6386445</v>
      </c>
      <c r="O100" s="99">
        <v>5000000</v>
      </c>
      <c r="P100" s="99">
        <v>5000000</v>
      </c>
      <c r="Q100" s="99">
        <v>5000000</v>
      </c>
      <c r="R100" s="100">
        <v>0.1</v>
      </c>
      <c r="S100" t="inlineStr">
        <is>
          <t>Lo obligado está por debajo de lo programado en la vigencia</t>
        </is>
      </c>
      <c r="T100" s="101">
        <v>5500000</v>
      </c>
      <c r="U100" s="101">
        <v>5500000</v>
      </c>
      <c r="V100" s="101">
        <v>5500000</v>
      </c>
      <c r="W100" s="102">
        <v>0.354838709677419</v>
      </c>
      <c r="X100" t="inlineStr">
        <is>
          <t>Lo obligado está por debajo de lo programado en la vigencia</t>
        </is>
      </c>
    </row>
    <row r="101">
      <c r="A101" t="inlineStr">
        <is>
          <t>IP-102</t>
        </is>
      </c>
      <c r="B101" t="inlineStr">
        <is>
          <t>32</t>
        </is>
      </c>
      <c r="C101" t="inlineStr">
        <is>
          <t>Ambiente y desarrollo sostenible</t>
        </is>
      </c>
      <c r="D101" t="inlineStr">
        <is>
          <t>3203</t>
        </is>
      </c>
      <c r="E101" t="inlineStr">
        <is>
          <t>Gestión integral del recurso hídrico</t>
        </is>
      </c>
      <c r="F101" t="inlineStr">
        <is>
          <t>3203048</t>
        </is>
      </c>
      <c r="G101" t="inlineStr">
        <is>
          <t>Servicio de almacenamiento de agua</t>
        </is>
      </c>
      <c r="H101" t="inlineStr">
        <is>
          <t>Contempla elementos estructurales para el almacenamiento de agua de escorrentía; orientado a mantener la oferta del recurso hídrico, la sostenibilidad del recurso hídrico y la conservación de los ecosistemas que regulan la oferta hídrica en el país, considerando el agua como factor de desarrollo económico y de bienestar social.
Acción incluida dentro de la Implementación del Plan de Ordenación y Manejo de Cuencas, Plan de Ordenamiento del Recurso Hídrico, Plan de Desarrollo Departamental PDD y Plan de Acción Institucional - PAI.</t>
        </is>
      </c>
      <c r="I101" t="inlineStr">
        <is>
          <t>2024257850021</t>
        </is>
      </c>
      <c r="J101" s="99">
        <v>40000000</v>
      </c>
      <c r="K101" s="99">
        <v>0</v>
      </c>
      <c r="L101" s="99">
        <v>40000000</v>
      </c>
      <c r="M101" s="99">
        <v>0</v>
      </c>
      <c r="N101" s="99">
        <v>0</v>
      </c>
      <c r="O101" s="99" t="inlineStr">
        <is>
          <t xml:space="preserve"> </t>
        </is>
      </c>
      <c r="P101" s="99" t="inlineStr">
        <is>
          <t xml:space="preserve"> </t>
        </is>
      </c>
      <c r="Q101" s="99" t="inlineStr">
        <is>
          <t xml:space="preserve"> </t>
        </is>
      </c>
      <c r="R101" s="100" t="inlineStr">
        <is>
          <t xml:space="preserve"> </t>
        </is>
      </c>
      <c r="S101" t="inlineStr">
        <is>
          <t>No se encontró ejecución en CUIPO</t>
        </is>
      </c>
      <c r="T101" s="101" t="inlineStr">
        <is>
          <t xml:space="preserve"> </t>
        </is>
      </c>
      <c r="U101" s="101" t="inlineStr">
        <is>
          <t xml:space="preserve"> </t>
        </is>
      </c>
      <c r="V101" s="101" t="inlineStr">
        <is>
          <t xml:space="preserve"> </t>
        </is>
      </c>
      <c r="W101" s="102" t="inlineStr">
        <is>
          <t xml:space="preserve"> </t>
        </is>
      </c>
      <c r="X101" t="inlineStr">
        <is>
          <t>No se encontró ejecución en CUIPO</t>
        </is>
      </c>
    </row>
    <row r="102">
      <c r="A102" t="inlineStr">
        <is>
          <t>IP-103</t>
        </is>
      </c>
      <c r="B102" t="inlineStr">
        <is>
          <t>45</t>
        </is>
      </c>
      <c r="C102" t="inlineStr">
        <is>
          <t>Gobierno Territorial</t>
        </is>
      </c>
      <c r="D102" t="inlineStr">
        <is>
          <t>4501</t>
        </is>
      </c>
      <c r="E102" t="inlineStr">
        <is>
          <t>Fortalecimiento de la convivencia y la seguridad ciudadana</t>
        </is>
      </c>
      <c r="F102" t="inlineStr">
        <is>
          <t>4501063</t>
        </is>
      </c>
      <c r="G102" t="inlineStr">
        <is>
          <t>Servicio de apoyo financiero para la atención integral de animales</t>
        </is>
      </c>
      <c r="H102" t="inlineStr">
        <is>
          <t>Corresponde al apoyo financiero entregado para el desarrollo de las labores de refugios o fundaciones que reciban animales vulnerables</t>
        </is>
      </c>
      <c r="I102" t="inlineStr">
        <is>
          <t>2024257850026</t>
        </is>
      </c>
      <c r="J102" s="99">
        <v>86817711</v>
      </c>
      <c r="K102" s="99">
        <v>15000000</v>
      </c>
      <c r="L102" s="99">
        <v>35000000</v>
      </c>
      <c r="M102" s="99">
        <v>17658375</v>
      </c>
      <c r="N102" s="99">
        <v>19159336</v>
      </c>
      <c r="O102" s="99">
        <v>14293427</v>
      </c>
      <c r="P102" s="99">
        <v>14293427</v>
      </c>
      <c r="Q102" s="99">
        <v>14293427</v>
      </c>
      <c r="R102" s="100">
        <v>0.952895133333333</v>
      </c>
      <c r="S102" t="inlineStr">
        <is>
          <t>Lo obligado está por debajo de lo programado en la vigencia</t>
        </is>
      </c>
      <c r="T102" s="101">
        <v>34399637</v>
      </c>
      <c r="U102" s="101">
        <v>34399637</v>
      </c>
      <c r="V102" s="101">
        <v>34399637</v>
      </c>
      <c r="W102" s="102">
        <v>0.982846771428571</v>
      </c>
      <c r="X102" t="inlineStr">
        <is>
          <t>Lo obligado está por debajo de lo programado en la vigencia</t>
        </is>
      </c>
    </row>
    <row r="103">
      <c r="A103" t="inlineStr">
        <is>
          <t>IP-104</t>
        </is>
      </c>
      <c r="B103" t="inlineStr">
        <is>
          <t>45</t>
        </is>
      </c>
      <c r="C103" t="inlineStr">
        <is>
          <t>Gobierno Territorial</t>
        </is>
      </c>
      <c r="D103" t="inlineStr">
        <is>
          <t>4501</t>
        </is>
      </c>
      <c r="E103" t="inlineStr">
        <is>
          <t>Fortalecimiento de la convivencia y la seguridad ciudadana</t>
        </is>
      </c>
      <c r="F103" t="inlineStr">
        <is>
          <t>4501061</t>
        </is>
      </c>
      <c r="G103" t="inlineStr">
        <is>
          <t>Servicio de atención integral a la fauna</t>
        </is>
      </c>
      <c r="H103" t="inlineStr">
        <is>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is>
      </c>
      <c r="I103" t="inlineStr">
        <is>
          <t>2024257850026</t>
        </is>
      </c>
      <c r="J103" s="99">
        <v>255813918</v>
      </c>
      <c r="K103" s="99">
        <v>47000000</v>
      </c>
      <c r="L103" s="99">
        <v>93451755</v>
      </c>
      <c r="M103" s="99">
        <v>55329575</v>
      </c>
      <c r="N103" s="99">
        <v>60032588</v>
      </c>
      <c r="O103" s="99">
        <v>19200000</v>
      </c>
      <c r="P103" s="99">
        <v>19200000</v>
      </c>
      <c r="Q103" s="99">
        <v>19200000</v>
      </c>
      <c r="R103" s="100">
        <v>0.408510638297872</v>
      </c>
      <c r="S103" t="inlineStr">
        <is>
          <t>Lo obligado está por debajo de lo programado en la vigencia</t>
        </is>
      </c>
      <c r="T103" s="101">
        <v>49000000</v>
      </c>
      <c r="U103" s="101">
        <v>21436500</v>
      </c>
      <c r="V103" s="101">
        <v>21436500</v>
      </c>
      <c r="W103" s="102">
        <v>0.229385740267799</v>
      </c>
      <c r="X103" t="inlineStr">
        <is>
          <t>Lo obligado está por debajo de lo programado en la vigencia</t>
        </is>
      </c>
    </row>
    <row r="104">
      <c r="A104" t="inlineStr">
        <is>
          <t>IP-105</t>
        </is>
      </c>
      <c r="B104" t="inlineStr">
        <is>
          <t>40</t>
        </is>
      </c>
      <c r="C104" t="inlineStr">
        <is>
          <t>Vivienda, ciudad y territorio</t>
        </is>
      </c>
      <c r="D104" t="inlineStr">
        <is>
          <t>4003</t>
        </is>
      </c>
      <c r="E104" t="inlineStr">
        <is>
          <t>Acceso de la población a los servicios de agua potable y saneamiento básico</t>
        </is>
      </c>
      <c r="F104" t="inlineStr">
        <is>
          <t>4003022</t>
        </is>
      </c>
      <c r="G104" t="inlineStr">
        <is>
          <t>Servicios de implementación del Plan de Gestión Integral de Residuos Solidos PGIRS</t>
        </is>
      </c>
      <c r="H104" t="inlineStr">
        <is>
          <t>Contempla acciones realizadas para implementar el Plan de Gestión Integral de Residuos Solidos </t>
        </is>
      </c>
      <c r="I104" t="inlineStr">
        <is>
          <t>2024257850003</t>
        </is>
      </c>
      <c r="J104" s="99">
        <v>145337853</v>
      </c>
      <c r="K104" s="99">
        <v>25000000</v>
      </c>
      <c r="L104" s="99">
        <v>58975000</v>
      </c>
      <c r="M104" s="99">
        <v>29430625</v>
      </c>
      <c r="N104" s="99">
        <v>31932228</v>
      </c>
      <c r="O104" s="99">
        <v>29968000</v>
      </c>
      <c r="P104" s="99">
        <v>29968000</v>
      </c>
      <c r="Q104" s="99">
        <v>29968000</v>
      </c>
      <c r="R104" s="100">
        <v>1.19872</v>
      </c>
      <c r="S104" t="inlineStr">
        <is>
          <t>Hubo ejecución por encima de lo programado en SisPT</t>
        </is>
      </c>
      <c r="T104" s="101">
        <v>58975000</v>
      </c>
      <c r="U104" s="101">
        <v>43975000</v>
      </c>
      <c r="V104" s="101">
        <v>43975000</v>
      </c>
      <c r="W104" s="102">
        <v>0.745654938533277</v>
      </c>
      <c r="X104" t="inlineStr">
        <is>
          <t>Lo obligado está por debajo de lo programado en la vigencia</t>
        </is>
      </c>
    </row>
    <row r="105">
      <c r="A105" t="inlineStr">
        <is>
          <t>IP-106</t>
        </is>
      </c>
      <c r="B105" t="inlineStr">
        <is>
          <t>40</t>
        </is>
      </c>
      <c r="C105" t="inlineStr">
        <is>
          <t>Vivienda, ciudad y territorio</t>
        </is>
      </c>
      <c r="D105" t="inlineStr">
        <is>
          <t>4003</t>
        </is>
      </c>
      <c r="E105" t="inlineStr">
        <is>
          <t>Acceso de la población a los servicios de agua potable y saneamiento básico</t>
        </is>
      </c>
      <c r="F105" t="inlineStr">
        <is>
          <t>4003023</t>
        </is>
      </c>
      <c r="G105" t="inlineStr">
        <is>
          <t>Servicios de seguimiento al Plan de Gestión Integral de Residuos Solidos PGIRS</t>
        </is>
      </c>
      <c r="H105" t="inlineStr">
        <is>
          <t/>
        </is>
      </c>
      <c r="I105" t="inlineStr">
        <is>
          <t>2024257850003</t>
        </is>
      </c>
      <c r="J105" s="99">
        <v>37072570</v>
      </c>
      <c r="K105" s="99">
        <v>5000000</v>
      </c>
      <c r="L105" s="99">
        <v>19800000</v>
      </c>
      <c r="M105" s="99">
        <v>5886125</v>
      </c>
      <c r="N105" s="99">
        <v>6386445</v>
      </c>
      <c r="O105" s="99" t="inlineStr">
        <is>
          <t xml:space="preserve"> </t>
        </is>
      </c>
      <c r="P105" s="99" t="inlineStr">
        <is>
          <t xml:space="preserve"> </t>
        </is>
      </c>
      <c r="Q105" s="99" t="inlineStr">
        <is>
          <t xml:space="preserve"> </t>
        </is>
      </c>
      <c r="R105" s="100" t="inlineStr">
        <is>
          <t xml:space="preserve"> </t>
        </is>
      </c>
      <c r="S105" t="inlineStr">
        <is>
          <t>No se encontró ejecución en CUIPO</t>
        </is>
      </c>
      <c r="T105" s="101">
        <v>15000000</v>
      </c>
      <c r="U105" s="101">
        <v>8106000</v>
      </c>
      <c r="V105" s="101">
        <v>8106000</v>
      </c>
      <c r="W105" s="102">
        <v>0.409393939393939</v>
      </c>
      <c r="X105" t="inlineStr">
        <is>
          <t>Lo obligado está por debajo de lo programado en la vigencia</t>
        </is>
      </c>
    </row>
    <row r="106">
      <c r="A106" t="inlineStr">
        <is>
          <t>IP-107, IP-109</t>
        </is>
      </c>
      <c r="B106" t="inlineStr">
        <is>
          <t>40</t>
        </is>
      </c>
      <c r="C106" t="inlineStr">
        <is>
          <t>Vivienda, ciudad y territorio</t>
        </is>
      </c>
      <c r="D106" t="inlineStr">
        <is>
          <t>4003</t>
        </is>
      </c>
      <c r="E106" t="inlineStr">
        <is>
          <t>Acceso de la población a los servicios de agua potable y saneamiento básico</t>
        </is>
      </c>
      <c r="F106" t="inlineStr">
        <is>
          <t>4003020</t>
        </is>
      </c>
      <c r="G106" t="inlineStr">
        <is>
          <t>Alcantarillados optimizados</t>
        </is>
      </c>
      <c r="H106" t="inlineStr">
        <is>
          <t>Conjunto de acciones encaminadas a mejorar la capacidad, eficiencia y eficacia de la infraestructura componente del sistema de alcantarillado mediante su intervención parcial o total.</t>
        </is>
      </c>
      <c r="I106" t="inlineStr">
        <is>
          <t>2024257850003</t>
        </is>
      </c>
      <c r="J106" s="99">
        <v>251986517</v>
      </c>
      <c r="K106" s="99">
        <v>40000000</v>
      </c>
      <c r="L106" s="99">
        <v>113805953</v>
      </c>
      <c r="M106" s="99">
        <v>47089000</v>
      </c>
      <c r="N106" s="99">
        <v>51091564</v>
      </c>
      <c r="O106" s="99">
        <v>10000000</v>
      </c>
      <c r="P106" s="99">
        <v>10000000</v>
      </c>
      <c r="Q106" s="99">
        <v>10000000</v>
      </c>
      <c r="R106" s="100">
        <v>0.25</v>
      </c>
      <c r="S106" t="inlineStr">
        <is>
          <t>Lo obligado está por debajo de lo programado en la vigencia</t>
        </is>
      </c>
      <c r="T106" s="101">
        <v>78805953</v>
      </c>
      <c r="U106" s="101">
        <v>78805953</v>
      </c>
      <c r="V106" s="101">
        <v>78805953</v>
      </c>
      <c r="W106" s="102">
        <v>0.692458970050539</v>
      </c>
      <c r="X106" t="inlineStr">
        <is>
          <t>Lo obligado está por debajo de lo programado en la vigencia</t>
        </is>
      </c>
    </row>
    <row r="107">
      <c r="A107" t="inlineStr">
        <is>
          <t>IP-108</t>
        </is>
      </c>
      <c r="B107" t="inlineStr">
        <is>
          <t>40</t>
        </is>
      </c>
      <c r="C107" t="inlineStr">
        <is>
          <t>Vivienda, ciudad y territorio</t>
        </is>
      </c>
      <c r="D107" t="inlineStr">
        <is>
          <t>4003</t>
        </is>
      </c>
      <c r="E107" t="inlineStr">
        <is>
          <t>Acceso de la población a los servicios de agua potable y saneamiento básico</t>
        </is>
      </c>
      <c r="F107" t="inlineStr">
        <is>
          <t>4003019</t>
        </is>
      </c>
      <c r="G107" t="inlineStr">
        <is>
          <t>Alcantarillados ampliados</t>
        </is>
      </c>
      <c r="H107" t="inlineStr">
        <is>
          <t>Conjunto de acciones y obras requeridas para aumentar la capacidad del alcantarillado en una misma área de cobertura.</t>
        </is>
      </c>
      <c r="I107" t="inlineStr">
        <is>
          <t>2024257850003</t>
        </is>
      </c>
      <c r="J107" s="99">
        <v>614090282</v>
      </c>
      <c r="K107" s="99">
        <v>20000000</v>
      </c>
      <c r="L107" s="99">
        <v>545000000</v>
      </c>
      <c r="M107" s="99">
        <v>23544500</v>
      </c>
      <c r="N107" s="99">
        <v>25545782</v>
      </c>
      <c r="O107" s="99">
        <v>125298175</v>
      </c>
      <c r="P107" s="99">
        <v>125298175</v>
      </c>
      <c r="Q107" s="99">
        <v>125298175</v>
      </c>
      <c r="R107" s="100">
        <v>6.26490875</v>
      </c>
      <c r="S107" t="inlineStr">
        <is>
          <t>Hubo ejecución por encima de lo programado en SisPT</t>
        </is>
      </c>
      <c r="T107" s="101">
        <v>110000000</v>
      </c>
      <c r="U107" s="101">
        <v>110000000</v>
      </c>
      <c r="V107" s="101">
        <v>110000000</v>
      </c>
      <c r="W107" s="102">
        <v>0.201834862385321</v>
      </c>
      <c r="X107" t="inlineStr">
        <is>
          <t>Lo obligado está por debajo de lo programado en la vigencia</t>
        </is>
      </c>
    </row>
    <row r="108">
      <c r="A108" t="inlineStr">
        <is>
          <t>IP-110, IP-111</t>
        </is>
      </c>
      <c r="B108" t="inlineStr">
        <is>
          <t>40</t>
        </is>
      </c>
      <c r="C108" t="inlineStr">
        <is>
          <t>Vivienda, ciudad y territorio</t>
        </is>
      </c>
      <c r="D108" t="inlineStr">
        <is>
          <t>4003</t>
        </is>
      </c>
      <c r="E108" t="inlineStr">
        <is>
          <t>Acceso de la población a los servicios de agua potable y saneamiento básico</t>
        </is>
      </c>
      <c r="F108" t="inlineStr">
        <is>
          <t>4003017</t>
        </is>
      </c>
      <c r="G108" t="inlineStr">
        <is>
          <t>Acueductos optimizados</t>
        </is>
      </c>
      <c r="H108" t="inlineStr">
        <is>
          <t>Conjunto de acciones encaminadas a mejorar la capacidad, eficiencia y eficacia de la infraestructura componente del sistema de acueducto mediante su intervención parcial o total.</t>
        </is>
      </c>
      <c r="I108" t="inlineStr">
        <is>
          <t>2024257850003</t>
        </is>
      </c>
      <c r="J108" s="99">
        <v>380530067</v>
      </c>
      <c r="K108" s="99">
        <v>31500000</v>
      </c>
      <c r="L108" s="99">
        <v>271712873</v>
      </c>
      <c r="M108" s="99">
        <v>37082587</v>
      </c>
      <c r="N108" s="99">
        <v>40234607</v>
      </c>
      <c r="O108" s="99">
        <v>22500000</v>
      </c>
      <c r="P108" s="99">
        <v>22500000</v>
      </c>
      <c r="Q108" s="99">
        <v>22500000</v>
      </c>
      <c r="R108" s="100">
        <v>0.714285714285714</v>
      </c>
      <c r="S108" t="inlineStr">
        <is>
          <t>Lo obligado está por debajo de lo programado en la vigencia</t>
        </is>
      </c>
      <c r="T108" s="101">
        <v>2180210</v>
      </c>
      <c r="U108" s="101">
        <v>0</v>
      </c>
      <c r="V108" s="101">
        <v>0</v>
      </c>
      <c r="W108" s="102">
        <v>0</v>
      </c>
      <c r="X108" t="inlineStr">
        <is>
          <t>No se ejecutó en la vigencia</t>
        </is>
      </c>
    </row>
    <row r="109">
      <c r="A109" t="inlineStr">
        <is>
          <t>IP-112</t>
        </is>
      </c>
      <c r="B109" t="inlineStr">
        <is>
          <t>40</t>
        </is>
      </c>
      <c r="C109" t="inlineStr">
        <is>
          <t>Vivienda, ciudad y territorio</t>
        </is>
      </c>
      <c r="D109" t="inlineStr">
        <is>
          <t>4003</t>
        </is>
      </c>
      <c r="E109" t="inlineStr">
        <is>
          <t>Acceso de la población a los servicios de agua potable y saneamiento básico</t>
        </is>
      </c>
      <c r="F109" t="inlineStr">
        <is>
          <t>4003015</t>
        </is>
      </c>
      <c r="G109" t="inlineStr">
        <is>
          <t>Acueductos construidos</t>
        </is>
      </c>
      <c r="H109" t="inlineStr">
        <is>
          <t>Conjunto de acciones y obras para la implementación de sistemas de acueducto nuevos.</t>
        </is>
      </c>
      <c r="I109" t="inlineStr">
        <is>
          <t>2024257850003</t>
        </is>
      </c>
      <c r="J109" s="99">
        <v>134221712</v>
      </c>
      <c r="K109" s="99">
        <v>21819790</v>
      </c>
      <c r="L109" s="99">
        <v>58844940</v>
      </c>
      <c r="M109" s="99">
        <v>25686802</v>
      </c>
      <c r="N109" s="99">
        <v>27870180</v>
      </c>
      <c r="O109" s="99">
        <v>22819788</v>
      </c>
      <c r="P109" s="99">
        <v>22819788</v>
      </c>
      <c r="Q109" s="99">
        <v>22819788</v>
      </c>
      <c r="R109" s="100">
        <v>1.0458298636238</v>
      </c>
      <c r="S109" t="inlineStr">
        <is>
          <t>Hubo ejecución por encima de lo programado en SisPT</t>
        </is>
      </c>
      <c r="T109" s="101">
        <v>58844940</v>
      </c>
      <c r="U109" s="101">
        <v>0</v>
      </c>
      <c r="V109" s="101">
        <v>0</v>
      </c>
      <c r="W109" s="102">
        <v>0</v>
      </c>
      <c r="X109" t="inlineStr">
        <is>
          <t>No se ejecutó en la vigencia</t>
        </is>
      </c>
    </row>
    <row r="110">
      <c r="A110" t="inlineStr">
        <is>
          <t>IP-113</t>
        </is>
      </c>
      <c r="B110" t="inlineStr">
        <is>
          <t>40</t>
        </is>
      </c>
      <c r="C110" t="inlineStr">
        <is>
          <t>Vivienda, ciudad y territorio</t>
        </is>
      </c>
      <c r="D110" t="inlineStr">
        <is>
          <t>4003</t>
        </is>
      </c>
      <c r="E110" t="inlineStr">
        <is>
          <t>Acceso de la población a los servicios de agua potable y saneamiento básico</t>
        </is>
      </c>
      <c r="F110" t="inlineStr">
        <is>
          <t>4003026</t>
        </is>
      </c>
      <c r="G110" t="inlineStr">
        <is>
          <t>Servicios de apoyo financiero para la ejecución de proyectos de acueductos y de manejo de aguas residuales</t>
        </is>
      </c>
      <c r="H110" t="inlineStr">
        <is>
          <t/>
        </is>
      </c>
      <c r="I110" t="inlineStr">
        <is>
          <t>2024257850003</t>
        </is>
      </c>
      <c r="J110" s="99">
        <v>107999655</v>
      </c>
      <c r="K110" s="99">
        <v>11000000</v>
      </c>
      <c r="L110" s="99">
        <v>70000000</v>
      </c>
      <c r="M110" s="99">
        <v>12949475</v>
      </c>
      <c r="N110" s="99">
        <v>14050180</v>
      </c>
      <c r="O110" s="99">
        <v>10000000</v>
      </c>
      <c r="P110" s="99">
        <v>10000000</v>
      </c>
      <c r="Q110" s="99">
        <v>10000000</v>
      </c>
      <c r="R110" s="100">
        <v>0.909090909090909</v>
      </c>
      <c r="S110" t="inlineStr">
        <is>
          <t>Lo obligado está por debajo de lo programado en la vigencia</t>
        </is>
      </c>
      <c r="T110" s="101">
        <v>28845013</v>
      </c>
      <c r="U110" s="101">
        <v>28845013</v>
      </c>
      <c r="V110" s="101">
        <v>28845013</v>
      </c>
      <c r="W110" s="102">
        <v>0.412071614285714</v>
      </c>
      <c r="X110" t="inlineStr">
        <is>
          <t>Lo obligado está por debajo de lo programado en la vigencia</t>
        </is>
      </c>
    </row>
    <row r="111">
      <c r="A111" t="inlineStr">
        <is>
          <t>IP-114, IP-115, IP-116</t>
        </is>
      </c>
      <c r="B111" t="inlineStr">
        <is>
          <t>40</t>
        </is>
      </c>
      <c r="C111" t="inlineStr">
        <is>
          <t>Vivienda, ciudad y territorio</t>
        </is>
      </c>
      <c r="D111" t="inlineStr">
        <is>
          <t>4003</t>
        </is>
      </c>
      <c r="E111" t="inlineStr">
        <is>
          <t>Acceso de la población a los servicios de agua potable y saneamiento básico</t>
        </is>
      </c>
      <c r="F111" t="inlineStr">
        <is>
          <t>4003047</t>
        </is>
      </c>
      <c r="G111" t="inlineStr">
        <is>
          <t>Servicio de apoyo financiero para subsidios al consumo en los servicios públicos domiciliarios</t>
        </is>
      </c>
      <c r="H111" t="inlineStr">
        <is>
          <t>Los subsidios al consumo están destinados a satisfacer necesidades básicas de los usuarios de los estratos 1, 2 y 3 en el servicio público domiciliario de acueducto, alcantarillado y aseo.</t>
        </is>
      </c>
      <c r="I111" t="inlineStr">
        <is>
          <t>2024257850003</t>
        </is>
      </c>
      <c r="J111" s="99">
        <v>2324982767</v>
      </c>
      <c r="K111" s="99">
        <v>550000000</v>
      </c>
      <c r="L111" s="99">
        <v>425000000</v>
      </c>
      <c r="M111" s="99">
        <v>647473750</v>
      </c>
      <c r="N111" s="99">
        <v>702509017</v>
      </c>
      <c r="O111" s="99">
        <v>38032703</v>
      </c>
      <c r="P111" s="99">
        <v>38032703</v>
      </c>
      <c r="Q111" s="99">
        <v>38032703</v>
      </c>
      <c r="R111" s="100">
        <v>0.0691503690909091</v>
      </c>
      <c r="S111" t="inlineStr">
        <is>
          <t>Lo obligado está por debajo de lo programado en la vigencia</t>
        </is>
      </c>
      <c r="T111" s="101">
        <v>128359124</v>
      </c>
      <c r="U111" s="101">
        <v>128359124</v>
      </c>
      <c r="V111" s="101">
        <v>128359124</v>
      </c>
      <c r="W111" s="102">
        <v>0.302021468235294</v>
      </c>
      <c r="X111" t="inlineStr">
        <is>
          <t>Lo obligado está por debajo de lo programado en la vigencia</t>
        </is>
      </c>
    </row>
    <row r="112">
      <c r="A112" t="inlineStr">
        <is>
          <t>IP-117</t>
        </is>
      </c>
      <c r="B112" t="inlineStr">
        <is>
          <t>40</t>
        </is>
      </c>
      <c r="C112" t="inlineStr">
        <is>
          <t>Vivienda, ciudad y territorio</t>
        </is>
      </c>
      <c r="D112" t="inlineStr">
        <is>
          <t>4003</t>
        </is>
      </c>
      <c r="E112" t="inlineStr">
        <is>
          <t>Acceso de la población a los servicios de agua potable y saneamiento básico</t>
        </is>
      </c>
      <c r="F112" t="inlineStr">
        <is>
          <t>4003025</t>
        </is>
      </c>
      <c r="G112" t="inlineStr">
        <is>
          <t>Servicios de apoyo financiero para la ejecución de proyectos de acueductos y alcantarillado</t>
        </is>
      </c>
      <c r="H112" t="inlineStr">
        <is>
          <t/>
        </is>
      </c>
      <c r="I112" t="inlineStr">
        <is>
          <t>2024257850003</t>
        </is>
      </c>
      <c r="J112" s="99">
        <v>2569497682</v>
      </c>
      <c r="K112" s="99">
        <v>515034447</v>
      </c>
      <c r="L112" s="99">
        <v>643033064</v>
      </c>
      <c r="M112" s="99">
        <v>676944926</v>
      </c>
      <c r="N112" s="99">
        <v>734485245</v>
      </c>
      <c r="O112" s="99">
        <v>459227271</v>
      </c>
      <c r="P112" s="99">
        <v>459227271</v>
      </c>
      <c r="Q112" s="99">
        <v>459227271</v>
      </c>
      <c r="R112" s="100">
        <v>0.891643799118547</v>
      </c>
      <c r="S112" t="inlineStr">
        <is>
          <t>Lo obligado está por debajo de lo programado en la vigencia</t>
        </is>
      </c>
      <c r="T112" s="101">
        <v>534153035</v>
      </c>
      <c r="U112" s="101">
        <v>354867277</v>
      </c>
      <c r="V112" s="101">
        <v>354867277</v>
      </c>
      <c r="W112" s="102">
        <v>0.55186474361449</v>
      </c>
      <c r="X112" t="inlineStr">
        <is>
          <t>Lo obligado está por debajo de lo programado en la vigencia</t>
        </is>
      </c>
    </row>
    <row r="113">
      <c r="A113" t="inlineStr">
        <is>
          <t>IP-118, IP-119</t>
        </is>
      </c>
      <c r="B113" t="inlineStr">
        <is>
          <t>24</t>
        </is>
      </c>
      <c r="C113" t="inlineStr">
        <is>
          <t>Transporte</t>
        </is>
      </c>
      <c r="D113" t="inlineStr">
        <is>
          <t>2402</t>
        </is>
      </c>
      <c r="E113" t="inlineStr">
        <is>
          <t>Infraestructura red vial regional</t>
        </is>
      </c>
      <c r="F113" t="inlineStr">
        <is>
          <t>2402041</t>
        </is>
      </c>
      <c r="G113" t="inlineStr">
        <is>
          <t>Vía terciaria mejorada</t>
        </is>
      </c>
      <c r="H113" t="inlineStr">
        <is>
          <t>Incluye la construcción de obras de infraestructura vial en vías de la red vial terciaria que mejoren la prestación del servicio, así como los cambios en una infraestructura de transporte con el propósito de mejorar sus especificaciones técnicas iniciales</t>
        </is>
      </c>
      <c r="I113" t="inlineStr">
        <is>
          <t>2024257850032</t>
        </is>
      </c>
      <c r="J113" s="99">
        <v>8622875724</v>
      </c>
      <c r="K113" s="99">
        <v>2439013441</v>
      </c>
      <c r="L113" s="99">
        <v>4491883618</v>
      </c>
      <c r="M113" s="99">
        <v>811500559</v>
      </c>
      <c r="N113" s="99">
        <v>880478106</v>
      </c>
      <c r="O113" s="99">
        <v>543500863</v>
      </c>
      <c r="P113" s="99">
        <v>514965799</v>
      </c>
      <c r="Q113" s="99">
        <v>514965799</v>
      </c>
      <c r="R113" s="100">
        <v>0.211136925423774</v>
      </c>
      <c r="S113" t="inlineStr">
        <is>
          <t>Lo obligado está por debajo de lo programado en la vigencia</t>
        </is>
      </c>
      <c r="T113" s="101">
        <v>3663177430</v>
      </c>
      <c r="U113" s="101">
        <v>1016644965</v>
      </c>
      <c r="V113" s="101">
        <v>1016644965</v>
      </c>
      <c r="W113" s="102">
        <v>0.226329320048737</v>
      </c>
      <c r="X113" t="inlineStr">
        <is>
          <t>Lo obligado está por debajo de lo programado en la vigencia</t>
        </is>
      </c>
    </row>
    <row r="114">
      <c r="A114" t="inlineStr">
        <is>
          <t>IP-120</t>
        </is>
      </c>
      <c r="B114" t="inlineStr">
        <is>
          <t>24</t>
        </is>
      </c>
      <c r="C114" t="inlineStr">
        <is>
          <t>Transporte</t>
        </is>
      </c>
      <c r="D114" t="inlineStr">
        <is>
          <t>2402</t>
        </is>
      </c>
      <c r="E114" t="inlineStr">
        <is>
          <t>Infraestructura red vial regional</t>
        </is>
      </c>
      <c r="F114" t="inlineStr">
        <is>
          <t>2402121</t>
        </is>
      </c>
      <c r="G114" t="inlineStr">
        <is>
          <t>Andén construido</t>
        </is>
      </c>
      <c r="H114" t="inlineStr">
        <is>
          <t>Incluye la construcción de franja longitudinal de la vía urbana, destinada exclusivamente a la circulación de peatones, ubicada a los costados de ésta.</t>
        </is>
      </c>
      <c r="I114" t="inlineStr">
        <is>
          <t>2024257850032</t>
        </is>
      </c>
      <c r="J114" s="99">
        <v>136445450</v>
      </c>
      <c r="K114" s="99">
        <v>100000</v>
      </c>
      <c r="L114" s="99">
        <v>136100000</v>
      </c>
      <c r="M114" s="99">
        <v>117722</v>
      </c>
      <c r="N114" s="99">
        <v>127728</v>
      </c>
      <c r="O114" s="99" t="inlineStr">
        <is>
          <t xml:space="preserve"> </t>
        </is>
      </c>
      <c r="P114" s="99" t="inlineStr">
        <is>
          <t xml:space="preserve"> </t>
        </is>
      </c>
      <c r="Q114" s="99" t="inlineStr">
        <is>
          <t xml:space="preserve"> </t>
        </is>
      </c>
      <c r="R114" s="100" t="inlineStr">
        <is>
          <t xml:space="preserve"> </t>
        </is>
      </c>
      <c r="S114" t="inlineStr">
        <is>
          <t>No se encontró ejecución en CUIPO</t>
        </is>
      </c>
      <c r="T114" s="101">
        <v>130465720</v>
      </c>
      <c r="U114" s="101">
        <v>115942596</v>
      </c>
      <c r="V114" s="101">
        <v>115942596</v>
      </c>
      <c r="W114" s="102">
        <v>0.851892696546657</v>
      </c>
      <c r="X114" t="inlineStr">
        <is>
          <t>Lo obligado está por debajo de lo programado en la vigencia</t>
        </is>
      </c>
    </row>
    <row r="115">
      <c r="A115" t="inlineStr">
        <is>
          <t>IP-121</t>
        </is>
      </c>
      <c r="B115" t="inlineStr">
        <is>
          <t>24</t>
        </is>
      </c>
      <c r="C115" t="inlineStr">
        <is>
          <t>Transporte</t>
        </is>
      </c>
      <c r="D115" t="inlineStr">
        <is>
          <t>2402</t>
        </is>
      </c>
      <c r="E115" t="inlineStr">
        <is>
          <t>Infraestructura red vial regional</t>
        </is>
      </c>
      <c r="F115" t="inlineStr">
        <is>
          <t>2402114</t>
        </is>
      </c>
      <c r="G115" t="inlineStr">
        <is>
          <t>Vía urbana mejorada</t>
        </is>
      </c>
      <c r="H115" t="inlineStr">
        <is>
          <t>Incluye la construcción de obras de infraestructura vial en vías urbanas que mejoren la prestación del servicio, así como los cambios en una infraestructura de transporte con el propósito de mejorar sus especificaciones técnicas iniciales.</t>
        </is>
      </c>
      <c r="I115" t="inlineStr">
        <is>
          <t>2024257850032</t>
        </is>
      </c>
      <c r="J115" s="99">
        <v>7971727256</v>
      </c>
      <c r="K115" s="99">
        <v>2800500000</v>
      </c>
      <c r="L115" s="99">
        <v>5170000000</v>
      </c>
      <c r="M115" s="99">
        <v>588612</v>
      </c>
      <c r="N115" s="99">
        <v>638644</v>
      </c>
      <c r="O115" s="99" t="inlineStr">
        <is>
          <t xml:space="preserve"> </t>
        </is>
      </c>
      <c r="P115" s="99" t="inlineStr">
        <is>
          <t xml:space="preserve"> </t>
        </is>
      </c>
      <c r="Q115" s="99" t="inlineStr">
        <is>
          <t xml:space="preserve"> </t>
        </is>
      </c>
      <c r="R115" s="100" t="inlineStr">
        <is>
          <t xml:space="preserve"> </t>
        </is>
      </c>
      <c r="S115" t="inlineStr">
        <is>
          <t>No se encontró ejecución en CUIPO</t>
        </is>
      </c>
      <c r="T115" s="101">
        <v>333066666</v>
      </c>
      <c r="U115" s="101">
        <v>23920000</v>
      </c>
      <c r="V115" s="101">
        <v>23920000</v>
      </c>
      <c r="W115" s="102">
        <v>0.00462669245647969</v>
      </c>
      <c r="X115" t="inlineStr">
        <is>
          <t>Lo obligado está por debajo de lo programado en la vigencia</t>
        </is>
      </c>
    </row>
    <row r="116">
      <c r="A116" t="inlineStr">
        <is>
          <t>IP-122</t>
        </is>
      </c>
      <c r="B116" t="inlineStr">
        <is>
          <t>24</t>
        </is>
      </c>
      <c r="C116" t="inlineStr">
        <is>
          <t>Transporte</t>
        </is>
      </c>
      <c r="D116" t="inlineStr">
        <is>
          <t>2402</t>
        </is>
      </c>
      <c r="E116" t="inlineStr">
        <is>
          <t>Infraestructura red vial regional</t>
        </is>
      </c>
      <c r="F116" t="inlineStr">
        <is>
          <t>2402128</t>
        </is>
      </c>
      <c r="G116" t="inlineStr">
        <is>
          <t>Andén de la red urbana mejorado</t>
        </is>
      </c>
      <c r="H116" t="inlineStr">
        <is>
          <t>Incluye las intervenciones en andenes que mejoren la prestación del servicio, así como los cambios realizados con el propósito de mejorar sus especificaciones técnicas iniciales.</t>
        </is>
      </c>
      <c r="I116" t="inlineStr">
        <is>
          <t>202500000044549</t>
        </is>
      </c>
      <c r="J116" s="99">
        <v>426727256</v>
      </c>
      <c r="K116" s="99">
        <v>0</v>
      </c>
      <c r="L116" s="99">
        <v>425500000</v>
      </c>
      <c r="M116" s="99">
        <v>588612</v>
      </c>
      <c r="N116" s="99">
        <v>638644</v>
      </c>
      <c r="O116" s="99" t="inlineStr">
        <is>
          <t xml:space="preserve"> </t>
        </is>
      </c>
      <c r="P116" s="99" t="inlineStr">
        <is>
          <t xml:space="preserve"> </t>
        </is>
      </c>
      <c r="Q116" s="99" t="inlineStr">
        <is>
          <t xml:space="preserve"> </t>
        </is>
      </c>
      <c r="R116" s="100" t="inlineStr">
        <is>
          <t xml:space="preserve"> </t>
        </is>
      </c>
      <c r="S116" t="inlineStr">
        <is>
          <t>No se encontró ejecución en CUIPO</t>
        </is>
      </c>
      <c r="T116" s="101" t="inlineStr">
        <is>
          <t xml:space="preserve"> </t>
        </is>
      </c>
      <c r="U116" s="101" t="inlineStr">
        <is>
          <t xml:space="preserve"> </t>
        </is>
      </c>
      <c r="V116" s="101" t="inlineStr">
        <is>
          <t xml:space="preserve"> </t>
        </is>
      </c>
      <c r="W116" s="102" t="inlineStr">
        <is>
          <t xml:space="preserve"> </t>
        </is>
      </c>
      <c r="X116" t="inlineStr">
        <is>
          <t>No se encontró ejecución en CUIPO</t>
        </is>
      </c>
    </row>
    <row r="117">
      <c r="A117" t="inlineStr">
        <is>
          <t>IP-123</t>
        </is>
      </c>
      <c r="B117" t="inlineStr">
        <is>
          <t>24</t>
        </is>
      </c>
      <c r="C117" t="inlineStr">
        <is>
          <t>Transporte</t>
        </is>
      </c>
      <c r="D117" t="inlineStr">
        <is>
          <t>2402</t>
        </is>
      </c>
      <c r="E117" t="inlineStr">
        <is>
          <t>Infraestructura red vial regional</t>
        </is>
      </c>
      <c r="F117" t="inlineStr">
        <is>
          <t>2402104</t>
        </is>
      </c>
      <c r="G117" t="inlineStr">
        <is>
          <t>Documentos de planeación</t>
        </is>
      </c>
      <c r="H117" t="inlineStr">
        <is>
          <t>Documentos cuyo objetivo es plasmar una visión de futuro a nivel país, entidad territorial, comunidad, sector, región, entidad o cualquier nivel de desagregación que se requiera. Incluye objetivos, estrategias, metas e indicadores</t>
        </is>
      </c>
      <c r="I117" t="inlineStr">
        <is>
          <t>202500000044549</t>
        </is>
      </c>
      <c r="J117" s="99">
        <v>36000000</v>
      </c>
      <c r="K117" s="99">
        <v>0</v>
      </c>
      <c r="L117" s="99">
        <v>0</v>
      </c>
      <c r="M117" s="99">
        <v>36000000</v>
      </c>
      <c r="N117" s="99">
        <v>0</v>
      </c>
      <c r="O117" s="99" t="inlineStr">
        <is>
          <t xml:space="preserve"> </t>
        </is>
      </c>
      <c r="P117" s="99" t="inlineStr">
        <is>
          <t xml:space="preserve"> </t>
        </is>
      </c>
      <c r="Q117" s="99" t="inlineStr">
        <is>
          <t xml:space="preserve"> </t>
        </is>
      </c>
      <c r="R117" s="100" t="inlineStr">
        <is>
          <t xml:space="preserve"> </t>
        </is>
      </c>
      <c r="S117" t="inlineStr">
        <is>
          <t>No se encontró ejecución en CUIPO</t>
        </is>
      </c>
      <c r="T117" s="101" t="inlineStr">
        <is>
          <t xml:space="preserve"> </t>
        </is>
      </c>
      <c r="U117" s="101" t="inlineStr">
        <is>
          <t xml:space="preserve"> </t>
        </is>
      </c>
      <c r="V117" s="101" t="inlineStr">
        <is>
          <t xml:space="preserve"> </t>
        </is>
      </c>
      <c r="W117" s="102" t="inlineStr">
        <is>
          <t xml:space="preserve"> </t>
        </is>
      </c>
      <c r="X117" t="inlineStr">
        <is>
          <t>No se encontró ejecución en CUIPO</t>
        </is>
      </c>
    </row>
    <row r="118">
      <c r="A118" t="inlineStr">
        <is>
          <t>IP-124</t>
        </is>
      </c>
      <c r="B118" t="inlineStr">
        <is>
          <t>24</t>
        </is>
      </c>
      <c r="C118" t="inlineStr">
        <is>
          <t>Transporte</t>
        </is>
      </c>
      <c r="D118" t="inlineStr">
        <is>
          <t>2409</t>
        </is>
      </c>
      <c r="E118" t="inlineStr">
        <is>
          <t>Seguridad de transporte</t>
        </is>
      </c>
      <c r="F118" t="inlineStr">
        <is>
          <t>2409058</t>
        </is>
      </c>
      <c r="G118" t="inlineStr">
        <is>
          <t>Cicloinfraestructura construida</t>
        </is>
      </c>
      <c r="H118" t="inlineStr">
        <is>
          <t>Incluye la construcción de vías o secciones de la calzada destinada al tránsito por medios no motorizados.</t>
        </is>
      </c>
      <c r="I118" t="inlineStr">
        <is>
          <t/>
        </is>
      </c>
      <c r="J118" s="99">
        <v>588612</v>
      </c>
      <c r="K118" s="99">
        <v>0</v>
      </c>
      <c r="L118" s="99">
        <v>0</v>
      </c>
      <c r="M118" s="99">
        <v>588612</v>
      </c>
      <c r="N118" s="99">
        <v>0</v>
      </c>
      <c r="O118" s="99" t="inlineStr">
        <is>
          <t xml:space="preserve"> </t>
        </is>
      </c>
      <c r="P118" s="99" t="inlineStr">
        <is>
          <t xml:space="preserve"> </t>
        </is>
      </c>
      <c r="Q118" s="99" t="inlineStr">
        <is>
          <t xml:space="preserve"> </t>
        </is>
      </c>
      <c r="R118" s="100" t="inlineStr">
        <is>
          <t xml:space="preserve"> </t>
        </is>
      </c>
      <c r="S118" t="inlineStr">
        <is>
          <t>Por falta de código BPIN, no se encontró ejecución en CUIPO</t>
        </is>
      </c>
      <c r="T118" s="101" t="inlineStr">
        <is>
          <t xml:space="preserve"> </t>
        </is>
      </c>
      <c r="U118" s="101" t="inlineStr">
        <is>
          <t xml:space="preserve"> </t>
        </is>
      </c>
      <c r="V118" s="101" t="inlineStr">
        <is>
          <t xml:space="preserve"> </t>
        </is>
      </c>
      <c r="W118" s="102" t="inlineStr">
        <is>
          <t xml:space="preserve"> </t>
        </is>
      </c>
      <c r="X118" t="inlineStr">
        <is>
          <t>Por falta de código BPIN, no se encontró ejecución en CUIPO</t>
        </is>
      </c>
    </row>
    <row r="119">
      <c r="A119" t="inlineStr">
        <is>
          <t>IP-125</t>
        </is>
      </c>
      <c r="B119" t="inlineStr">
        <is>
          <t>40</t>
        </is>
      </c>
      <c r="C119" t="inlineStr">
        <is>
          <t>Vivienda, ciudad y territorio</t>
        </is>
      </c>
      <c r="D119" t="inlineStr">
        <is>
          <t>4001</t>
        </is>
      </c>
      <c r="E119" t="inlineStr">
        <is>
          <t>Acceso a soluciones de vivienda</t>
        </is>
      </c>
      <c r="F119" t="inlineStr">
        <is>
          <t>4001032</t>
        </is>
      </c>
      <c r="G119" t="inlineStr">
        <is>
          <t>Servicio de apoyo financiero para mejoramiento de vivienda</t>
        </is>
      </c>
      <c r="H119" t="inlineStr">
        <is>
          <t>Corresponde al apoyo financiero a través de la asignación de un subsidio familiar de vivienda de interés social para mejoramiento, reparación y/o reconstrucción.</t>
        </is>
      </c>
      <c r="I119" t="inlineStr">
        <is>
          <t>202500000024615</t>
        </is>
      </c>
      <c r="J119" s="99">
        <v>101769756</v>
      </c>
      <c r="K119" s="99">
        <v>0</v>
      </c>
      <c r="L119" s="99">
        <v>100542500</v>
      </c>
      <c r="M119" s="99">
        <v>588612</v>
      </c>
      <c r="N119" s="99">
        <v>638644</v>
      </c>
      <c r="O119" s="99" t="inlineStr">
        <is>
          <t xml:space="preserve"> </t>
        </is>
      </c>
      <c r="P119" s="99" t="inlineStr">
        <is>
          <t xml:space="preserve"> </t>
        </is>
      </c>
      <c r="Q119" s="99" t="inlineStr">
        <is>
          <t xml:space="preserve"> </t>
        </is>
      </c>
      <c r="R119" s="100" t="inlineStr">
        <is>
          <t xml:space="preserve"> </t>
        </is>
      </c>
      <c r="S119" t="inlineStr">
        <is>
          <t>No se encontró ejecución en CUIPO</t>
        </is>
      </c>
      <c r="T119" s="101" t="inlineStr">
        <is>
          <t xml:space="preserve"> </t>
        </is>
      </c>
      <c r="U119" s="101" t="inlineStr">
        <is>
          <t xml:space="preserve"> </t>
        </is>
      </c>
      <c r="V119" s="101" t="inlineStr">
        <is>
          <t xml:space="preserve"> </t>
        </is>
      </c>
      <c r="W119" s="102" t="inlineStr">
        <is>
          <t xml:space="preserve"> </t>
        </is>
      </c>
      <c r="X119" t="inlineStr">
        <is>
          <t>No se encontró ejecución en CUIPO</t>
        </is>
      </c>
    </row>
    <row r="120">
      <c r="A120" t="inlineStr">
        <is>
          <t>IP-126</t>
        </is>
      </c>
      <c r="B120" t="inlineStr">
        <is>
          <t>40</t>
        </is>
      </c>
      <c r="C120" t="inlineStr">
        <is>
          <t>Vivienda, ciudad y territorio</t>
        </is>
      </c>
      <c r="D120" t="inlineStr">
        <is>
          <t>4001</t>
        </is>
      </c>
      <c r="E120" t="inlineStr">
        <is>
          <t>Acceso a soluciones de vivienda</t>
        </is>
      </c>
      <c r="F120" t="inlineStr">
        <is>
          <t>4001034</t>
        </is>
      </c>
      <c r="G120" t="inlineStr">
        <is>
          <t>Servicio de apoyo financiero para construcción de vivienda en sitio propio</t>
        </is>
      </c>
      <c r="H120" t="inlineStr">
        <is>
          <t>Corresponde al apoyo financiero a través de la asignación de un subsidio familiar de vivienda de interés  social o interés prioritario para construcción  en sitio propio.</t>
        </is>
      </c>
      <c r="I120" t="inlineStr">
        <is>
          <t/>
        </is>
      </c>
      <c r="J120" s="99">
        <v>1227256</v>
      </c>
      <c r="K120" s="99">
        <v>0</v>
      </c>
      <c r="L120" s="99">
        <v>0</v>
      </c>
      <c r="M120" s="99">
        <v>588612</v>
      </c>
      <c r="N120" s="99">
        <v>638644</v>
      </c>
      <c r="O120" s="99" t="inlineStr">
        <is>
          <t xml:space="preserve"> </t>
        </is>
      </c>
      <c r="P120" s="99" t="inlineStr">
        <is>
          <t xml:space="preserve"> </t>
        </is>
      </c>
      <c r="Q120" s="99" t="inlineStr">
        <is>
          <t xml:space="preserve"> </t>
        </is>
      </c>
      <c r="R120" s="100" t="inlineStr">
        <is>
          <t xml:space="preserve"> </t>
        </is>
      </c>
      <c r="S120" t="inlineStr">
        <is>
          <t>Por falta de código BPIN, no se encontró ejecución en CUIPO</t>
        </is>
      </c>
      <c r="T120" s="101" t="inlineStr">
        <is>
          <t xml:space="preserve"> </t>
        </is>
      </c>
      <c r="U120" s="101" t="inlineStr">
        <is>
          <t xml:space="preserve"> </t>
        </is>
      </c>
      <c r="V120" s="101" t="inlineStr">
        <is>
          <t xml:space="preserve"> </t>
        </is>
      </c>
      <c r="W120" s="102" t="inlineStr">
        <is>
          <t xml:space="preserve"> </t>
        </is>
      </c>
      <c r="X120" t="inlineStr">
        <is>
          <t>Por falta de código BPIN, no se encontró ejecución en CUIPO</t>
        </is>
      </c>
    </row>
    <row r="121">
      <c r="A121" t="inlineStr">
        <is>
          <t>IP-127</t>
        </is>
      </c>
      <c r="B121" t="inlineStr">
        <is>
          <t>45</t>
        </is>
      </c>
      <c r="C121" t="inlineStr">
        <is>
          <t>Gobierno Territorial</t>
        </is>
      </c>
      <c r="D121" t="inlineStr">
        <is>
          <t>4599</t>
        </is>
      </c>
      <c r="E121" t="inlineStr">
        <is>
          <t>Fortalecimiento a la gestión y dirección de la administración pública territorial</t>
        </is>
      </c>
      <c r="F121" t="inlineStr">
        <is>
          <t>4599009</t>
        </is>
      </c>
      <c r="G121" t="inlineStr">
        <is>
          <t>Sedes construidas</t>
        </is>
      </c>
      <c r="H121" t="inlineStr">
        <is>
          <t>Corresponde a un inmueble resultado de obras de edificación en terrenos no construidos o cuya área esté libre por autorización de demolición total. No incluye la dotación del inmueble. (Corresponde a la licencia de construcción por obra nueva)</t>
        </is>
      </c>
      <c r="I121" t="inlineStr">
        <is>
          <t/>
        </is>
      </c>
      <c r="J121" s="99">
        <v>2317373875</v>
      </c>
      <c r="K121" s="99">
        <v>2315442763</v>
      </c>
      <c r="L121" s="99">
        <v>800000</v>
      </c>
      <c r="M121" s="99">
        <v>542500</v>
      </c>
      <c r="N121" s="99">
        <v>588612</v>
      </c>
      <c r="O121" s="99" t="inlineStr">
        <is>
          <t xml:space="preserve"> </t>
        </is>
      </c>
      <c r="P121" s="99" t="inlineStr">
        <is>
          <t xml:space="preserve"> </t>
        </is>
      </c>
      <c r="Q121" s="99" t="inlineStr">
        <is>
          <t xml:space="preserve"> </t>
        </is>
      </c>
      <c r="R121" s="100" t="inlineStr">
        <is>
          <t xml:space="preserve"> </t>
        </is>
      </c>
      <c r="S121" t="inlineStr">
        <is>
          <t>Por falta de código BPIN, no se encontró ejecución en CUIPO</t>
        </is>
      </c>
      <c r="T121" s="101" t="inlineStr">
        <is>
          <t xml:space="preserve"> </t>
        </is>
      </c>
      <c r="U121" s="101" t="inlineStr">
        <is>
          <t xml:space="preserve"> </t>
        </is>
      </c>
      <c r="V121" s="101" t="inlineStr">
        <is>
          <t xml:space="preserve"> </t>
        </is>
      </c>
      <c r="W121" s="102" t="inlineStr">
        <is>
          <t xml:space="preserve"> </t>
        </is>
      </c>
      <c r="X121" t="inlineStr">
        <is>
          <t>Por falta de código BPIN, no se encontró ejecución en CUIPO</t>
        </is>
      </c>
    </row>
    <row r="122">
      <c r="A122" t="inlineStr">
        <is>
          <t>IP-128</t>
        </is>
      </c>
      <c r="B122" t="inlineStr">
        <is>
          <t>45</t>
        </is>
      </c>
      <c r="C122" t="inlineStr">
        <is>
          <t>Gobierno Territorial</t>
        </is>
      </c>
      <c r="D122" t="inlineStr">
        <is>
          <t>4599</t>
        </is>
      </c>
      <c r="E122" t="inlineStr">
        <is>
          <t>Fortalecimiento a la gestión y dirección de la administración pública territorial</t>
        </is>
      </c>
      <c r="F122" t="inlineStr">
        <is>
          <t>4599016</t>
        </is>
      </c>
      <c r="G122" t="inlineStr">
        <is>
          <t>Sedes mantenidas</t>
        </is>
      </c>
      <c r="H122" t="inlineStr">
        <is>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is>
      </c>
      <c r="I122" t="inlineStr">
        <is>
          <t>2024257850028</t>
        </is>
      </c>
      <c r="J122" s="99">
        <v>241558683</v>
      </c>
      <c r="K122" s="99">
        <v>13000000</v>
      </c>
      <c r="L122" s="99">
        <v>196700000</v>
      </c>
      <c r="M122" s="99">
        <v>15303925</v>
      </c>
      <c r="N122" s="99">
        <v>16554758</v>
      </c>
      <c r="O122" s="99">
        <v>32598700</v>
      </c>
      <c r="P122" s="99">
        <v>19569236</v>
      </c>
      <c r="Q122" s="99">
        <v>19569236</v>
      </c>
      <c r="R122" s="100">
        <v>1.50532584615385</v>
      </c>
      <c r="S122" t="inlineStr">
        <is>
          <t>Hubo ejecución por encima de lo programado en SisPT</t>
        </is>
      </c>
      <c r="T122" s="101">
        <v>140659960</v>
      </c>
      <c r="U122" s="101">
        <v>60370230</v>
      </c>
      <c r="V122" s="101">
        <v>60370230</v>
      </c>
      <c r="W122" s="102">
        <v>0.306915251652262</v>
      </c>
      <c r="X122" t="inlineStr">
        <is>
          <t>Lo obligado está por debajo de lo programado en la vigencia</t>
        </is>
      </c>
    </row>
    <row r="123">
      <c r="A123" t="inlineStr">
        <is>
          <t>IP-129</t>
        </is>
      </c>
      <c r="B123" t="inlineStr">
        <is>
          <t>40</t>
        </is>
      </c>
      <c r="C123" t="inlineStr">
        <is>
          <t>Vivienda, ciudad y territorio</t>
        </is>
      </c>
      <c r="D123" t="inlineStr">
        <is>
          <t>4002</t>
        </is>
      </c>
      <c r="E123" t="inlineStr">
        <is>
          <t>Ordenamiento territorial y desarrollo urbano</t>
        </is>
      </c>
      <c r="F123" t="inlineStr">
        <is>
          <t>4002020</t>
        </is>
      </c>
      <c r="G123" t="inlineStr">
        <is>
          <t>Espacio publico adecuado</t>
        </is>
      </c>
      <c r="H123" t="inlineStr">
        <is>
          <t>Mejoramiento, ampliación y/o mantenimiento de los elementos constitutivos y complementarios del espacio público contenidos en el Decreto 1504 de 1998</t>
        </is>
      </c>
      <c r="I123" t="inlineStr">
        <is>
          <t>2024257850055</t>
        </is>
      </c>
      <c r="J123" s="99">
        <v>1596433745</v>
      </c>
      <c r="K123" s="99">
        <v>100500000</v>
      </c>
      <c r="L123" s="99">
        <v>1494706489</v>
      </c>
      <c r="M123" s="99">
        <v>588612</v>
      </c>
      <c r="N123" s="99">
        <v>638644</v>
      </c>
      <c r="O123" s="99" t="inlineStr">
        <is>
          <t xml:space="preserve"> </t>
        </is>
      </c>
      <c r="P123" s="99" t="inlineStr">
        <is>
          <t xml:space="preserve"> </t>
        </is>
      </c>
      <c r="Q123" s="99" t="inlineStr">
        <is>
          <t xml:space="preserve"> </t>
        </is>
      </c>
      <c r="R123" s="100" t="inlineStr">
        <is>
          <t xml:space="preserve"> </t>
        </is>
      </c>
      <c r="S123" t="inlineStr">
        <is>
          <t>No se encontró ejecución en CUIPO</t>
        </is>
      </c>
      <c r="T123" s="101">
        <v>239220913</v>
      </c>
      <c r="U123" s="101">
        <v>103682694</v>
      </c>
      <c r="V123" s="101">
        <v>103682694</v>
      </c>
      <c r="W123" s="102">
        <v>0.0693665912090651</v>
      </c>
      <c r="X123" t="inlineStr">
        <is>
          <t>Lo obligado está por debajo de lo programado en la vigencia</t>
        </is>
      </c>
    </row>
    <row r="124">
      <c r="A124" t="inlineStr">
        <is>
          <t>IP-130</t>
        </is>
      </c>
      <c r="B124" t="inlineStr">
        <is>
          <t>45</t>
        </is>
      </c>
      <c r="C124" t="inlineStr">
        <is>
          <t>Gobierno Territorial</t>
        </is>
      </c>
      <c r="D124" t="inlineStr">
        <is>
          <t>4599</t>
        </is>
      </c>
      <c r="E124" t="inlineStr">
        <is>
          <t>Fortalecimiento a la gestión y dirección de la administración pública territorial</t>
        </is>
      </c>
      <c r="F124" t="inlineStr">
        <is>
          <t>4599011</t>
        </is>
      </c>
      <c r="G124" t="inlineStr">
        <is>
          <t>Sedes adecuadas</t>
        </is>
      </c>
      <c r="H124" t="inlineStr">
        <is>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is>
      </c>
      <c r="I124" t="inlineStr">
        <is>
          <t>2024257850028</t>
        </is>
      </c>
      <c r="J124" s="99">
        <v>563362853</v>
      </c>
      <c r="K124" s="99">
        <v>25000000</v>
      </c>
      <c r="L124" s="99">
        <v>477000000</v>
      </c>
      <c r="M124" s="99">
        <v>29430625</v>
      </c>
      <c r="N124" s="99">
        <v>31932228</v>
      </c>
      <c r="O124" s="99" t="inlineStr">
        <is>
          <t xml:space="preserve"> </t>
        </is>
      </c>
      <c r="P124" s="99" t="inlineStr">
        <is>
          <t xml:space="preserve"> </t>
        </is>
      </c>
      <c r="Q124" s="99" t="inlineStr">
        <is>
          <t xml:space="preserve"> </t>
        </is>
      </c>
      <c r="R124" s="100" t="inlineStr">
        <is>
          <t xml:space="preserve"> </t>
        </is>
      </c>
      <c r="S124" t="inlineStr">
        <is>
          <t>No se encontró ejecución en CUIPO</t>
        </is>
      </c>
      <c r="T124" s="101">
        <v>76600000</v>
      </c>
      <c r="U124" s="101">
        <v>3100000</v>
      </c>
      <c r="V124" s="101">
        <v>3100000</v>
      </c>
      <c r="W124" s="102">
        <v>0.00649895178197065</v>
      </c>
      <c r="X124" t="inlineStr">
        <is>
          <t>Lo obligado está por debajo de lo programado en la vigencia</t>
        </is>
      </c>
    </row>
    <row r="125">
      <c r="A125" t="inlineStr">
        <is>
          <t>IP-131</t>
        </is>
      </c>
      <c r="B125" t="inlineStr">
        <is>
          <t>21</t>
        </is>
      </c>
      <c r="C125" t="inlineStr">
        <is>
          <t>Minas y Energía</t>
        </is>
      </c>
      <c r="D125" t="inlineStr">
        <is>
          <t>2102</t>
        </is>
      </c>
      <c r="E125" t="inlineStr">
        <is>
          <t>Consolidación productiva del sector de energía eléctrica</t>
        </is>
      </c>
      <c r="F125" t="inlineStr">
        <is>
          <t>2102010</t>
        </is>
      </c>
      <c r="G125" t="inlineStr">
        <is>
          <t>Redes de alumbrado público ampliadas</t>
        </is>
      </c>
      <c r="H125" t="inlineStr">
        <is>
          <t>Ampliación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is>
      </c>
      <c r="I125" t="inlineStr">
        <is>
          <t>2024257850027</t>
        </is>
      </c>
      <c r="J125" s="99">
        <v>2269756</v>
      </c>
      <c r="K125" s="99">
        <v>500000</v>
      </c>
      <c r="L125" s="99">
        <v>542500</v>
      </c>
      <c r="M125" s="99">
        <v>588612</v>
      </c>
      <c r="N125" s="99">
        <v>638644</v>
      </c>
      <c r="O125" s="99" t="inlineStr">
        <is>
          <t xml:space="preserve"> </t>
        </is>
      </c>
      <c r="P125" s="99" t="inlineStr">
        <is>
          <t xml:space="preserve"> </t>
        </is>
      </c>
      <c r="Q125" s="99" t="inlineStr">
        <is>
          <t xml:space="preserve"> </t>
        </is>
      </c>
      <c r="R125" s="100" t="inlineStr">
        <is>
          <t xml:space="preserve"> </t>
        </is>
      </c>
      <c r="S125" t="inlineStr">
        <is>
          <t>No se encontró ejecución en CUIPO</t>
        </is>
      </c>
      <c r="T125" s="101" t="inlineStr">
        <is>
          <t xml:space="preserve"> </t>
        </is>
      </c>
      <c r="U125" s="101" t="inlineStr">
        <is>
          <t xml:space="preserve"> </t>
        </is>
      </c>
      <c r="V125" s="101" t="inlineStr">
        <is>
          <t xml:space="preserve"> </t>
        </is>
      </c>
      <c r="W125" s="102" t="inlineStr">
        <is>
          <t xml:space="preserve"> </t>
        </is>
      </c>
      <c r="X125" t="inlineStr">
        <is>
          <t>No se encontró ejecución en CUIPO</t>
        </is>
      </c>
    </row>
    <row r="126">
      <c r="A126" t="inlineStr">
        <is>
          <t>IP-132</t>
        </is>
      </c>
      <c r="B126" t="inlineStr">
        <is>
          <t>21</t>
        </is>
      </c>
      <c r="C126" t="inlineStr">
        <is>
          <t>Minas y Energía</t>
        </is>
      </c>
      <c r="D126" t="inlineStr">
        <is>
          <t>2102</t>
        </is>
      </c>
      <c r="E126" t="inlineStr">
        <is>
          <t>Consolidación productiva del sector de energía eléctrica</t>
        </is>
      </c>
      <c r="F126" t="inlineStr">
        <is>
          <t>2102069</t>
        </is>
      </c>
      <c r="G126" t="inlineStr">
        <is>
          <t>Servicio de alumbrado público</t>
        </is>
      </c>
      <c r="H126" t="inlineStr">
        <is>
          <t>Corresponde a la prestación del servicio público no domiciliario de iluminación, inherente al servicio de energía eléctrica, que se presta con el fin de dar visibilidad al espacio público, bienes de uso público y demás espacios de libre circulación, con tránsito vehicular o peatonal, dentro del perímetro urbano y rural de un municipio o distrito, para el normal desarrollo de las actividades. El servicio de alumbrado público comprende las actividades de suministro de energía eléctrica al sistema de alumbrado público, la administración y operación de dicho sistema.</t>
        </is>
      </c>
      <c r="I126" t="inlineStr">
        <is>
          <t>2024257850027</t>
        </is>
      </c>
      <c r="J126" s="99">
        <v>6063103263</v>
      </c>
      <c r="K126" s="99">
        <v>1200000000</v>
      </c>
      <c r="L126" s="99">
        <v>1920187917</v>
      </c>
      <c r="M126" s="99">
        <v>1412670000</v>
      </c>
      <c r="N126" s="99">
        <v>1530245346</v>
      </c>
      <c r="O126" s="99">
        <v>1095985078</v>
      </c>
      <c r="P126" s="99">
        <v>1095985078</v>
      </c>
      <c r="Q126" s="99">
        <v>1095985078</v>
      </c>
      <c r="R126" s="100">
        <v>0.913320898333333</v>
      </c>
      <c r="S126" t="inlineStr">
        <is>
          <t>Lo obligado está por debajo de lo programado en la vigencia</t>
        </is>
      </c>
      <c r="T126" s="101">
        <v>650769763</v>
      </c>
      <c r="U126" s="101">
        <v>650769763</v>
      </c>
      <c r="V126" s="101">
        <v>650769763</v>
      </c>
      <c r="W126" s="102">
        <v>0.338909414666419</v>
      </c>
      <c r="X126" t="inlineStr">
        <is>
          <t>Lo obligado está por debajo de lo programado en la vigencia</t>
        </is>
      </c>
    </row>
    <row r="127">
      <c r="A127" t="inlineStr">
        <is>
          <t>IP-133</t>
        </is>
      </c>
      <c r="B127" t="inlineStr">
        <is>
          <t>23</t>
        </is>
      </c>
      <c r="C127" t="inlineStr">
        <is>
          <t>Tecnologías de la información y las comunicaciones</t>
        </is>
      </c>
      <c r="D127" t="inlineStr">
        <is>
          <t>2301</t>
        </is>
      </c>
      <c r="E127" t="inlineStr">
        <is>
          <t>Facilitar el acceso y uso de las Tecnologías de la Información y las Comunicaciones (TIC) en todo el territorio nacional</t>
        </is>
      </c>
      <c r="F127" t="inlineStr">
        <is>
          <t>2301079</t>
        </is>
      </c>
      <c r="G127" t="inlineStr">
        <is>
          <t xml:space="preserve"> Servicio de acceso zonas digitales</t>
        </is>
      </c>
      <c r="H127" t="inlineStr">
        <is>
          <t>Corresponde al montaje y puesta en servicio de la zona digital (wifi), medido a través de la cantidad de usuarios (dispositivos a la zona) y la asistencia personalizada y virtual a los mismos.</t>
        </is>
      </c>
      <c r="I127" t="inlineStr">
        <is>
          <t>2024257850037</t>
        </is>
      </c>
      <c r="J127" s="99">
        <v>100790282</v>
      </c>
      <c r="K127" s="99">
        <v>20000000</v>
      </c>
      <c r="L127" s="99">
        <v>31700000</v>
      </c>
      <c r="M127" s="99">
        <v>23544500</v>
      </c>
      <c r="N127" s="99">
        <v>25545782</v>
      </c>
      <c r="O127" s="99">
        <v>5361627</v>
      </c>
      <c r="P127" s="99">
        <v>5361627</v>
      </c>
      <c r="Q127" s="99">
        <v>5361627</v>
      </c>
      <c r="R127" s="100">
        <v>0.26808135</v>
      </c>
      <c r="S127" t="inlineStr">
        <is>
          <t>Lo obligado está por debajo de lo programado en la vigencia</t>
        </is>
      </c>
      <c r="T127" s="101" t="inlineStr">
        <is>
          <t xml:space="preserve"> </t>
        </is>
      </c>
      <c r="U127" s="101" t="inlineStr">
        <is>
          <t xml:space="preserve"> </t>
        </is>
      </c>
      <c r="V127" s="101" t="inlineStr">
        <is>
          <t xml:space="preserve"> </t>
        </is>
      </c>
      <c r="W127" s="102" t="inlineStr">
        <is>
          <t xml:space="preserve"> </t>
        </is>
      </c>
      <c r="X127" t="inlineStr">
        <is>
          <t>No se encontró ejecución en CUIPO</t>
        </is>
      </c>
    </row>
    <row r="128">
      <c r="A128" t="inlineStr">
        <is>
          <t>IP-134</t>
        </is>
      </c>
      <c r="B128" t="inlineStr">
        <is>
          <t>23</t>
        </is>
      </c>
      <c r="C128" t="inlineStr">
        <is>
          <t>Tecnologías de la información y las comunicaciones</t>
        </is>
      </c>
      <c r="D128" t="inlineStr">
        <is>
          <t>2301</t>
        </is>
      </c>
      <c r="E128" t="inlineStr">
        <is>
          <t>Facilitar el acceso y uso de las Tecnologías de la Información y las Comunicaciones (TIC) en todo el territorio nacional</t>
        </is>
      </c>
      <c r="F128" t="inlineStr">
        <is>
          <t>2301062</t>
        </is>
      </c>
      <c r="G128" t="inlineStr">
        <is>
          <t>Servicio de apoyo en tecnologías de la información y las comunicaciones para la educación básica, primaria y secundaria</t>
        </is>
      </c>
      <c r="H128" t="inlineStr">
        <is>
          <t>Corresponde a la prestación del servicio a sedes educativas oficiales, bibliotecas y casas de la cultura municipales en cuanto al acceso de la comunidad educativa a terminales de cómputo, tecnologías emergentes y contenidos digitales para la mejora de la calidad de la educación. Adicionalmente, incorpora estrategias de apropiación pedagógica de estas tecnologías para fortalecer los procesos educativos en la educación básica, primaria y secundaria</t>
        </is>
      </c>
      <c r="I128" t="inlineStr">
        <is>
          <t>2024257850037</t>
        </is>
      </c>
      <c r="J128" s="99">
        <v>69474169</v>
      </c>
      <c r="K128" s="99">
        <v>12000000</v>
      </c>
      <c r="L128" s="99">
        <v>28020000</v>
      </c>
      <c r="M128" s="99">
        <v>14126700</v>
      </c>
      <c r="N128" s="99">
        <v>15327469</v>
      </c>
      <c r="O128" s="99">
        <v>5482438</v>
      </c>
      <c r="P128" s="99">
        <v>5482438</v>
      </c>
      <c r="Q128" s="99">
        <v>5482438</v>
      </c>
      <c r="R128" s="100">
        <v>0.456869833333333</v>
      </c>
      <c r="S128" t="inlineStr">
        <is>
          <t>Lo obligado está por debajo de lo programado en la vigencia</t>
        </is>
      </c>
      <c r="T128" s="101">
        <v>25485000</v>
      </c>
      <c r="U128" s="101">
        <v>16800000</v>
      </c>
      <c r="V128" s="101">
        <v>16800000</v>
      </c>
      <c r="W128" s="102">
        <v>0.599571734475375</v>
      </c>
      <c r="X128" t="inlineStr">
        <is>
          <t>Lo obligado está por debajo de lo programado en la vigencia</t>
        </is>
      </c>
    </row>
    <row r="129">
      <c r="A129" t="inlineStr">
        <is>
          <t>IP-135</t>
        </is>
      </c>
      <c r="B129" t="inlineStr">
        <is>
          <t>23</t>
        </is>
      </c>
      <c r="C129" t="inlineStr">
        <is>
          <t>Tecnologías de la información y las comunicaciones</t>
        </is>
      </c>
      <c r="D129" t="inlineStr">
        <is>
          <t>2301</t>
        </is>
      </c>
      <c r="E129" t="inlineStr">
        <is>
          <t>Facilitar el acceso y uso de las Tecnologías de la Información y las Comunicaciones (TIC) en todo el territorio nacional</t>
        </is>
      </c>
      <c r="F129" t="inlineStr">
        <is>
          <t>2301029</t>
        </is>
      </c>
      <c r="G129" t="inlineStr">
        <is>
          <t>Servicio de divulgación de la regulación en materia de Tecnologías de la Información y las comunicaciones, y en materia postal</t>
        </is>
      </c>
      <c r="H129" t="inlineStr">
        <is>
          <t xml:space="preserve">Este producto incluye los eventos que se realizan en el marco de la promoción y diivulgación que realizan las entidades del sector de las Tecnologías de la Informacion y las Comunicaciones </t>
        </is>
      </c>
      <c r="I129" t="inlineStr">
        <is>
          <t>2024257850037</t>
        </is>
      </c>
      <c r="J129" s="99">
        <v>68092711</v>
      </c>
      <c r="K129" s="99">
        <v>15000000</v>
      </c>
      <c r="L129" s="99">
        <v>16275000</v>
      </c>
      <c r="M129" s="99">
        <v>17658375</v>
      </c>
      <c r="N129" s="99">
        <v>19159336</v>
      </c>
      <c r="O129" s="99" t="inlineStr">
        <is>
          <t xml:space="preserve"> </t>
        </is>
      </c>
      <c r="P129" s="99" t="inlineStr">
        <is>
          <t xml:space="preserve"> </t>
        </is>
      </c>
      <c r="Q129" s="99" t="inlineStr">
        <is>
          <t xml:space="preserve"> </t>
        </is>
      </c>
      <c r="R129" s="100" t="inlineStr">
        <is>
          <t xml:space="preserve"> </t>
        </is>
      </c>
      <c r="S129" t="inlineStr">
        <is>
          <t>No se encontró ejecución en CUIPO</t>
        </is>
      </c>
      <c r="T129" s="101" t="inlineStr">
        <is>
          <t xml:space="preserve"> </t>
        </is>
      </c>
      <c r="U129" s="101" t="inlineStr">
        <is>
          <t xml:space="preserve"> </t>
        </is>
      </c>
      <c r="V129" s="101" t="inlineStr">
        <is>
          <t xml:space="preserve"> </t>
        </is>
      </c>
      <c r="W129" s="102" t="inlineStr">
        <is>
          <t xml:space="preserve"> </t>
        </is>
      </c>
      <c r="X129" t="inlineStr">
        <is>
          <t>No se encontró ejecución en CUIPO</t>
        </is>
      </c>
    </row>
    <row r="130">
      <c r="A130" t="inlineStr">
        <is>
          <t>IP-136</t>
        </is>
      </c>
      <c r="B130" t="inlineStr">
        <is>
          <t>23</t>
        </is>
      </c>
      <c r="C130" t="inlineStr">
        <is>
          <t>Tecnologías de la información y las comunicaciones</t>
        </is>
      </c>
      <c r="D130" t="inlineStr">
        <is>
          <t>2302</t>
        </is>
      </c>
      <c r="E130" t="inlineStr">
        <is>
          <t>Fomento del desarrollo de aplicaciones, software y contenidos para impulsar la apropiación de las Tecnologías de la Información y las Comunicaciones (TIC)</t>
        </is>
      </c>
      <c r="F130" t="inlineStr">
        <is>
          <t>2302024</t>
        </is>
      </c>
      <c r="G130" t="inlineStr">
        <is>
          <t>Servicio de asistencia técnica para la implementación de la Estrategia de Gobierno digital</t>
        </is>
      </c>
      <c r="H130" t="inlineStr">
        <is>
          <t>Corresponde a las actividades de gestión y acompañamiento a las entidades del orden nacional y territorial para la implementación del Gobierno digital. Así como aquellas actividades que promueven el uso de tecnología en los servicios del Estado que no están en línea y que son los más importantes en la vida de las personas y el desarrollo de las empresas (salud, empleo, identificación, educación, impuestos, entre otros temas).</t>
        </is>
      </c>
      <c r="I130" t="inlineStr">
        <is>
          <t>2024257850037</t>
        </is>
      </c>
      <c r="J130" s="99">
        <v>77348424</v>
      </c>
      <c r="K130" s="99">
        <v>16500000</v>
      </c>
      <c r="L130" s="99">
        <v>22000000</v>
      </c>
      <c r="M130" s="99">
        <v>19424212</v>
      </c>
      <c r="N130" s="99">
        <v>19424212</v>
      </c>
      <c r="O130" s="99" t="inlineStr">
        <is>
          <t xml:space="preserve"> </t>
        </is>
      </c>
      <c r="P130" s="99" t="inlineStr">
        <is>
          <t xml:space="preserve"> </t>
        </is>
      </c>
      <c r="Q130" s="99" t="inlineStr">
        <is>
          <t xml:space="preserve"> </t>
        </is>
      </c>
      <c r="R130" s="100" t="inlineStr">
        <is>
          <t xml:space="preserve"> </t>
        </is>
      </c>
      <c r="S130" t="inlineStr">
        <is>
          <t>No se encontró ejecución en CUIPO</t>
        </is>
      </c>
      <c r="T130" s="101" t="inlineStr">
        <is>
          <t xml:space="preserve"> </t>
        </is>
      </c>
      <c r="U130" s="101" t="inlineStr">
        <is>
          <t xml:space="preserve"> </t>
        </is>
      </c>
      <c r="V130" s="101" t="inlineStr">
        <is>
          <t xml:space="preserve"> </t>
        </is>
      </c>
      <c r="W130" s="102" t="inlineStr">
        <is>
          <t xml:space="preserve"> </t>
        </is>
      </c>
      <c r="X130" t="inlineStr">
        <is>
          <t>No se encontró ejecución en CUIPO</t>
        </is>
      </c>
    </row>
    <row r="131">
      <c r="A131" t="inlineStr">
        <is>
          <t>IP-137</t>
        </is>
      </c>
      <c r="B131" t="inlineStr">
        <is>
          <t>23</t>
        </is>
      </c>
      <c r="C131" t="inlineStr">
        <is>
          <t>Tecnologías de la información y las comunicaciones</t>
        </is>
      </c>
      <c r="D131" t="inlineStr">
        <is>
          <t>2301</t>
        </is>
      </c>
      <c r="E131" t="inlineStr">
        <is>
          <t>Facilitar el acceso y uso de las Tecnologías de la Información y las Comunicaciones (TIC) en todo el territorio nacional</t>
        </is>
      </c>
      <c r="F131" t="inlineStr">
        <is>
          <t>2301076</t>
        </is>
      </c>
      <c r="G131" t="inlineStr">
        <is>
          <t>Servicio de acceso y promoción a las tecnologías de la información y las comunicaciones</t>
        </is>
      </c>
      <c r="H131" t="inlineStr">
        <is>
          <t xml:space="preserve">Se refiere a la habilitación de espacios públicos con la tecnología que propicie el acceso de las TIC en áreas urbanas de la comunidad. Implica las labores que tienen que ver con la puesta en servicio de los mencionados espacios y la promoción para que los usuarios los aprovechen. </t>
        </is>
      </c>
      <c r="I131" t="inlineStr">
        <is>
          <t>2024257850037</t>
        </is>
      </c>
      <c r="J131" s="99">
        <v>54454169</v>
      </c>
      <c r="K131" s="99">
        <v>12000000</v>
      </c>
      <c r="L131" s="99">
        <v>13000000</v>
      </c>
      <c r="M131" s="99">
        <v>14126700</v>
      </c>
      <c r="N131" s="99">
        <v>15327469</v>
      </c>
      <c r="O131" s="99" t="inlineStr">
        <is>
          <t xml:space="preserve"> </t>
        </is>
      </c>
      <c r="P131" s="99" t="inlineStr">
        <is>
          <t xml:space="preserve"> </t>
        </is>
      </c>
      <c r="Q131" s="99" t="inlineStr">
        <is>
          <t xml:space="preserve"> </t>
        </is>
      </c>
      <c r="R131" s="100" t="inlineStr">
        <is>
          <t xml:space="preserve"> </t>
        </is>
      </c>
      <c r="S131" t="inlineStr">
        <is>
          <t>No se encontró ejecución en CUIPO</t>
        </is>
      </c>
      <c r="T131" s="101" t="inlineStr">
        <is>
          <t xml:space="preserve"> </t>
        </is>
      </c>
      <c r="U131" s="101" t="inlineStr">
        <is>
          <t xml:space="preserve"> </t>
        </is>
      </c>
      <c r="V131" s="101" t="inlineStr">
        <is>
          <t xml:space="preserve"> </t>
        </is>
      </c>
      <c r="W131" s="102" t="inlineStr">
        <is>
          <t xml:space="preserve"> </t>
        </is>
      </c>
      <c r="X131" t="inlineStr">
        <is>
          <t>No se encontró ejecución en CUIPO</t>
        </is>
      </c>
    </row>
    <row r="132">
      <c r="A132" t="inlineStr">
        <is>
          <t>IP-138</t>
        </is>
      </c>
      <c r="B132" t="inlineStr">
        <is>
          <t>23</t>
        </is>
      </c>
      <c r="C132" t="inlineStr">
        <is>
          <t>Tecnologías de la información y las comunicaciones</t>
        </is>
      </c>
      <c r="D132" t="inlineStr">
        <is>
          <t>2302</t>
        </is>
      </c>
      <c r="E132" t="inlineStr">
        <is>
          <t>Fomento del desarrollo de aplicaciones, software y contenidos para impulsar la apropiación de las Tecnologías de la Información y las Comunicaciones (TIC)</t>
        </is>
      </c>
      <c r="F132" t="inlineStr">
        <is>
          <t>2302024</t>
        </is>
      </c>
      <c r="G132" t="inlineStr">
        <is>
          <t>Servicio de asistencia técnica para la implementación de la Estrategia de Gobierno digital</t>
        </is>
      </c>
      <c r="H132" t="inlineStr">
        <is>
          <t>Corresponde a las actividades de gestión y acompañamiento a las entidades del orden nacional y territorial para la implementación del Gobierno digital. Así como aquellas actividades que promueven el uso de tecnología en los servicios del Estado que no están en línea y que son los más importantes en la vida de las personas y el desarrollo de las empresas (salud, empleo, identificación, educación, impuestos, entre otros temas).</t>
        </is>
      </c>
      <c r="I132" t="inlineStr">
        <is>
          <t>2024257850036</t>
        </is>
      </c>
      <c r="J132" s="99">
        <v>404813706</v>
      </c>
      <c r="K132" s="99">
        <v>70000000</v>
      </c>
      <c r="L132" s="99">
        <v>165000000</v>
      </c>
      <c r="M132" s="99">
        <v>82405250</v>
      </c>
      <c r="N132" s="99">
        <v>87408456</v>
      </c>
      <c r="O132" s="99">
        <v>44992150</v>
      </c>
      <c r="P132" s="99">
        <v>44992150</v>
      </c>
      <c r="Q132" s="99">
        <v>44992150</v>
      </c>
      <c r="R132" s="100">
        <v>0.642745</v>
      </c>
      <c r="S132" t="inlineStr">
        <is>
          <t>Lo obligado está por debajo de lo programado en la vigencia</t>
        </is>
      </c>
      <c r="T132" s="101">
        <v>92418495</v>
      </c>
      <c r="U132" s="101">
        <v>56948328</v>
      </c>
      <c r="V132" s="101">
        <v>56948328</v>
      </c>
      <c r="W132" s="102">
        <v>0.345141381818182</v>
      </c>
      <c r="X132" t="inlineStr">
        <is>
          <t>Lo obligado está por debajo de lo programado en la vigencia</t>
        </is>
      </c>
    </row>
    <row r="133">
      <c r="A133" t="inlineStr">
        <is>
          <t>IP-139, IP-140</t>
        </is>
      </c>
      <c r="B133" t="inlineStr">
        <is>
          <t>35</t>
        </is>
      </c>
      <c r="C133" t="inlineStr">
        <is>
          <t>Comercio, industria y turismo</t>
        </is>
      </c>
      <c r="D133" t="inlineStr">
        <is>
          <t>3502</t>
        </is>
      </c>
      <c r="E133" t="inlineStr">
        <is>
          <t>Productividad y competitividad de las empresas colombianas</t>
        </is>
      </c>
      <c r="F133" t="inlineStr">
        <is>
          <t>3502012</t>
        </is>
      </c>
      <c r="G133" t="inlineStr">
        <is>
          <t>Servicio de apoyo para la modernización y fomento de la innovación empresarial</t>
        </is>
      </c>
      <c r="H133" t="inlineStr">
        <is>
          <t>Comprende instrumentos financieros y no financieros, de programas, proyectos y actividades para la innovación, el fomento y promoción empresarial. Los no financieros incluyen formación de capacidades, de transferencia de tecnología, de mentalidad y cultura, de profundización de redes y generación de información para el ecosistema de innovación y emprendimiento en Colombia.</t>
        </is>
      </c>
      <c r="I133" t="inlineStr">
        <is>
          <t>2024257850039</t>
        </is>
      </c>
      <c r="J133" s="99">
        <v>384278976.25</v>
      </c>
      <c r="K133" s="99">
        <v>73000000</v>
      </c>
      <c r="L133" s="99">
        <v>139204000</v>
      </c>
      <c r="M133" s="99">
        <v>85937424</v>
      </c>
      <c r="N133" s="99">
        <v>86137552.25</v>
      </c>
      <c r="O133" s="99">
        <v>69336020</v>
      </c>
      <c r="P133" s="99">
        <v>69336020</v>
      </c>
      <c r="Q133" s="99">
        <v>69336020</v>
      </c>
      <c r="R133" s="100">
        <v>0.949808493150685</v>
      </c>
      <c r="S133" t="inlineStr">
        <is>
          <t>Lo obligado está por debajo de lo programado en la vigencia</t>
        </is>
      </c>
      <c r="T133" s="101">
        <v>29370000</v>
      </c>
      <c r="U133" s="101">
        <v>15541625</v>
      </c>
      <c r="V133" s="101">
        <v>15541625</v>
      </c>
      <c r="W133" s="102">
        <v>0.111646396655269</v>
      </c>
      <c r="X133" t="inlineStr">
        <is>
          <t>Lo obligado está por debajo de lo programado en la vigencia</t>
        </is>
      </c>
    </row>
    <row r="134">
      <c r="A134" t="inlineStr">
        <is>
          <t>IP-141</t>
        </is>
      </c>
      <c r="B134" t="inlineStr">
        <is>
          <t>35</t>
        </is>
      </c>
      <c r="C134" t="inlineStr">
        <is>
          <t>Comercio, industria y turismo</t>
        </is>
      </c>
      <c r="D134" t="inlineStr">
        <is>
          <t>3502</t>
        </is>
      </c>
      <c r="E134" t="inlineStr">
        <is>
          <t>Productividad y competitividad de las empresas colombianas</t>
        </is>
      </c>
      <c r="F134" t="inlineStr">
        <is>
          <t>3502003</t>
        </is>
      </c>
      <c r="G134" t="inlineStr">
        <is>
          <t>Servicio de asistencia técnica para el fortalecimiento de capacidades gerenciales</t>
        </is>
      </c>
      <c r="H134" t="inlineStr">
        <is>
          <t>Acompañamiento técnico a las empresas para el desarrollo de capacidades gerenciales a través de programas de gestión empresarial, planes gerenciales, entre otros.</t>
        </is>
      </c>
      <c r="I134" t="inlineStr">
        <is>
          <t>2024257850039</t>
        </is>
      </c>
      <c r="J134" s="99">
        <v>90599241</v>
      </c>
      <c r="K134" s="99">
        <v>24200000</v>
      </c>
      <c r="L134" s="99">
        <v>7000000</v>
      </c>
      <c r="M134" s="99">
        <v>28488845</v>
      </c>
      <c r="N134" s="99">
        <v>30910396</v>
      </c>
      <c r="O134" s="99" t="inlineStr">
        <is>
          <t xml:space="preserve"> </t>
        </is>
      </c>
      <c r="P134" s="99" t="inlineStr">
        <is>
          <t xml:space="preserve"> </t>
        </is>
      </c>
      <c r="Q134" s="99" t="inlineStr">
        <is>
          <t xml:space="preserve"> </t>
        </is>
      </c>
      <c r="R134" s="100" t="inlineStr">
        <is>
          <t xml:space="preserve"> </t>
        </is>
      </c>
      <c r="S134" t="inlineStr">
        <is>
          <t>No se encontró ejecución en CUIPO</t>
        </is>
      </c>
      <c r="T134" s="101" t="inlineStr">
        <is>
          <t xml:space="preserve"> </t>
        </is>
      </c>
      <c r="U134" s="101" t="inlineStr">
        <is>
          <t xml:space="preserve"> </t>
        </is>
      </c>
      <c r="V134" s="101" t="inlineStr">
        <is>
          <t xml:space="preserve"> </t>
        </is>
      </c>
      <c r="W134" s="102" t="inlineStr">
        <is>
          <t xml:space="preserve"> </t>
        </is>
      </c>
      <c r="X134" t="inlineStr">
        <is>
          <t>No se encontró ejecución en CUIPO</t>
        </is>
      </c>
    </row>
    <row r="135">
      <c r="A135" t="inlineStr">
        <is>
          <t>IP-142</t>
        </is>
      </c>
      <c r="B135" t="inlineStr">
        <is>
          <t>36</t>
        </is>
      </c>
      <c r="C135" t="inlineStr">
        <is>
          <t>Trabajo</t>
        </is>
      </c>
      <c r="D135" t="inlineStr">
        <is>
          <t>3602</t>
        </is>
      </c>
      <c r="E135" t="inlineStr">
        <is>
          <t>Generación y formalización del empleo</t>
        </is>
      </c>
      <c r="F135" t="inlineStr">
        <is>
          <t>3602029</t>
        </is>
      </c>
      <c r="G135" t="inlineStr">
        <is>
          <t>Servicio de asistencia técnica para la generación y formalización del empleo</t>
        </is>
      </c>
      <c r="H135" t="inlineStr">
        <is>
          <t>Se tratan de jornadas en la que se pretende fortalecer el monitoreo y seguimiento del mercado de trabajo. Es el servicio de asistencia técnica orientado al seguimiento de los empleos formales generados como resultado de la puesta en marcha, creación y fortalecimiento de las empresas.</t>
        </is>
      </c>
      <c r="I135" t="inlineStr">
        <is>
          <t/>
        </is>
      </c>
      <c r="J135" s="99">
        <v>106678581</v>
      </c>
      <c r="K135" s="99">
        <v>23500000</v>
      </c>
      <c r="L135" s="99">
        <v>25497500</v>
      </c>
      <c r="M135" s="99">
        <v>27664787</v>
      </c>
      <c r="N135" s="99">
        <v>30016294</v>
      </c>
      <c r="O135" s="99" t="inlineStr">
        <is>
          <t xml:space="preserve"> </t>
        </is>
      </c>
      <c r="P135" s="99" t="inlineStr">
        <is>
          <t xml:space="preserve"> </t>
        </is>
      </c>
      <c r="Q135" s="99" t="inlineStr">
        <is>
          <t xml:space="preserve"> </t>
        </is>
      </c>
      <c r="R135" s="100" t="inlineStr">
        <is>
          <t xml:space="preserve"> </t>
        </is>
      </c>
      <c r="S135" t="inlineStr">
        <is>
          <t>Por falta de código BPIN, no se encontró ejecución en CUIPO</t>
        </is>
      </c>
      <c r="T135" s="101" t="inlineStr">
        <is>
          <t xml:space="preserve"> </t>
        </is>
      </c>
      <c r="U135" s="101" t="inlineStr">
        <is>
          <t xml:space="preserve"> </t>
        </is>
      </c>
      <c r="V135" s="101" t="inlineStr">
        <is>
          <t xml:space="preserve"> </t>
        </is>
      </c>
      <c r="W135" s="102" t="inlineStr">
        <is>
          <t xml:space="preserve"> </t>
        </is>
      </c>
      <c r="X135" t="inlineStr">
        <is>
          <t>Por falta de código BPIN, no se encontró ejecución en CUIPO</t>
        </is>
      </c>
    </row>
    <row r="136">
      <c r="A136" t="inlineStr">
        <is>
          <t>IP-143</t>
        </is>
      </c>
      <c r="B136" t="inlineStr">
        <is>
          <t>35</t>
        </is>
      </c>
      <c r="C136" t="inlineStr">
        <is>
          <t>Comercio, industria y turismo</t>
        </is>
      </c>
      <c r="D136" t="inlineStr">
        <is>
          <t>3502</t>
        </is>
      </c>
      <c r="E136" t="inlineStr">
        <is>
          <t>Productividad y competitividad de las empresas colombianas</t>
        </is>
      </c>
      <c r="F136" t="inlineStr">
        <is>
          <t>3502059</t>
        </is>
      </c>
      <c r="G136" t="inlineStr">
        <is>
          <t>Señalización turística construida</t>
        </is>
      </c>
      <c r="H136" t="inlineStr">
        <is>
          <t>Corresponde a la señalización de espacios turísticos que lo requieran.</t>
        </is>
      </c>
      <c r="I136" t="inlineStr">
        <is>
          <t>2024257850039</t>
        </is>
      </c>
      <c r="J136" s="99">
        <v>50000000</v>
      </c>
      <c r="K136" s="99">
        <v>0</v>
      </c>
      <c r="L136" s="99">
        <v>0</v>
      </c>
      <c r="M136" s="99">
        <v>50000000</v>
      </c>
      <c r="N136" s="99">
        <v>0</v>
      </c>
      <c r="O136" s="99" t="inlineStr">
        <is>
          <t xml:space="preserve"> </t>
        </is>
      </c>
      <c r="P136" s="99" t="inlineStr">
        <is>
          <t xml:space="preserve"> </t>
        </is>
      </c>
      <c r="Q136" s="99" t="inlineStr">
        <is>
          <t xml:space="preserve"> </t>
        </is>
      </c>
      <c r="R136" s="100" t="inlineStr">
        <is>
          <t xml:space="preserve"> </t>
        </is>
      </c>
      <c r="S136" t="inlineStr">
        <is>
          <t>No se encontró ejecución en CUIPO</t>
        </is>
      </c>
      <c r="T136" s="101" t="inlineStr">
        <is>
          <t xml:space="preserve"> </t>
        </is>
      </c>
      <c r="U136" s="101" t="inlineStr">
        <is>
          <t xml:space="preserve"> </t>
        </is>
      </c>
      <c r="V136" s="101" t="inlineStr">
        <is>
          <t xml:space="preserve"> </t>
        </is>
      </c>
      <c r="W136" s="102" t="inlineStr">
        <is>
          <t xml:space="preserve"> </t>
        </is>
      </c>
      <c r="X136" t="inlineStr">
        <is>
          <t>No se encontró ejecución en CUIPO</t>
        </is>
      </c>
    </row>
    <row r="137">
      <c r="A137" t="inlineStr">
        <is>
          <t>IP-144</t>
        </is>
      </c>
      <c r="B137" t="inlineStr">
        <is>
          <t>35</t>
        </is>
      </c>
      <c r="C137" t="inlineStr">
        <is>
          <t>Comercio, industria y turismo</t>
        </is>
      </c>
      <c r="D137" t="inlineStr">
        <is>
          <t>3502</t>
        </is>
      </c>
      <c r="E137" t="inlineStr">
        <is>
          <t>Productividad y competitividad de las empresas colombianas</t>
        </is>
      </c>
      <c r="F137" t="inlineStr">
        <is>
          <t>3502055</t>
        </is>
      </c>
      <c r="G137" t="inlineStr">
        <is>
          <t>Centro turístico mantenido</t>
        </is>
      </c>
      <c r="H137" t="inlineStr">
        <is>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is>
      </c>
      <c r="I137" t="inlineStr">
        <is>
          <t>2024257850039</t>
        </is>
      </c>
      <c r="J137" s="99">
        <v>130620282</v>
      </c>
      <c r="K137" s="99">
        <v>20000000</v>
      </c>
      <c r="L137" s="99">
        <v>61530000</v>
      </c>
      <c r="M137" s="99">
        <v>23544500</v>
      </c>
      <c r="N137" s="99">
        <v>25545782</v>
      </c>
      <c r="O137" s="99" t="inlineStr">
        <is>
          <t xml:space="preserve"> </t>
        </is>
      </c>
      <c r="P137" s="99" t="inlineStr">
        <is>
          <t xml:space="preserve"> </t>
        </is>
      </c>
      <c r="Q137" s="99" t="inlineStr">
        <is>
          <t xml:space="preserve"> </t>
        </is>
      </c>
      <c r="R137" s="100" t="inlineStr">
        <is>
          <t xml:space="preserve"> </t>
        </is>
      </c>
      <c r="S137" t="inlineStr">
        <is>
          <t>No se encontró ejecución en CUIPO</t>
        </is>
      </c>
      <c r="T137" s="101">
        <v>68000000</v>
      </c>
      <c r="U137" s="101">
        <v>0</v>
      </c>
      <c r="V137" s="101">
        <v>0</v>
      </c>
      <c r="W137" s="102">
        <v>0</v>
      </c>
      <c r="X137" t="inlineStr">
        <is>
          <t>No se ejecutó en la vigencia</t>
        </is>
      </c>
    </row>
    <row r="138">
      <c r="A138" t="inlineStr">
        <is>
          <t>IP-145</t>
        </is>
      </c>
      <c r="B138" t="inlineStr">
        <is>
          <t>35</t>
        </is>
      </c>
      <c r="C138" t="inlineStr">
        <is>
          <t>Comercio, industria y turismo</t>
        </is>
      </c>
      <c r="D138" t="inlineStr">
        <is>
          <t>3502</t>
        </is>
      </c>
      <c r="E138" t="inlineStr">
        <is>
          <t>Productividad y competitividad de las empresas colombianas</t>
        </is>
      </c>
      <c r="F138" t="inlineStr">
        <is>
          <t>3502004</t>
        </is>
      </c>
      <c r="G138" t="inlineStr">
        <is>
          <t>Servicio de apoyo financiero para el mejoramiento de productos o procesos</t>
        </is>
      </c>
      <c r="H138" t="inlineStr">
        <is>
          <t>Con este servicio se busca financiar iniciativas de mejoramiento en la calidad de los productos y Servicio, así como en el mejoramiento de procesos productivos de las empresas nacionales.</t>
        </is>
      </c>
      <c r="I138" t="inlineStr">
        <is>
          <t>2024257850039</t>
        </is>
      </c>
      <c r="J138" s="99">
        <v>960067194</v>
      </c>
      <c r="K138" s="99">
        <v>176600000</v>
      </c>
      <c r="L138" s="99">
        <v>350000000</v>
      </c>
      <c r="M138" s="99">
        <v>207897935</v>
      </c>
      <c r="N138" s="99">
        <v>225569259</v>
      </c>
      <c r="O138" s="99">
        <v>108508718</v>
      </c>
      <c r="P138" s="99">
        <v>88717149</v>
      </c>
      <c r="Q138" s="99">
        <v>88717149</v>
      </c>
      <c r="R138" s="100">
        <v>0.50236211211778</v>
      </c>
      <c r="S138" t="inlineStr">
        <is>
          <t>Lo obligado está por debajo de lo programado en la vigencia</t>
        </is>
      </c>
      <c r="T138" s="101">
        <v>266560667</v>
      </c>
      <c r="U138" s="101">
        <v>182317200</v>
      </c>
      <c r="V138" s="101">
        <v>182317200</v>
      </c>
      <c r="W138" s="102">
        <v>0.520906285714286</v>
      </c>
      <c r="X138" t="inlineStr">
        <is>
          <t>Lo obligado está por debajo de lo programado en la vigencia</t>
        </is>
      </c>
    </row>
    <row r="139">
      <c r="A139" t="inlineStr">
        <is>
          <t>IP-146, IP-147</t>
        </is>
      </c>
      <c r="B139" t="inlineStr">
        <is>
          <t>35</t>
        </is>
      </c>
      <c r="C139" t="inlineStr">
        <is>
          <t>Comercio, industria y turismo</t>
        </is>
      </c>
      <c r="D139" t="inlineStr">
        <is>
          <t>3502</t>
        </is>
      </c>
      <c r="E139" t="inlineStr">
        <is>
          <t>Productividad y competitividad de las empresas colombianas</t>
        </is>
      </c>
      <c r="F139" t="inlineStr">
        <is>
          <t>3502046</t>
        </is>
      </c>
      <c r="G139" t="inlineStr">
        <is>
          <t>Servicio de promoción turística</t>
        </is>
      </c>
      <c r="H139" t="inlineStr">
        <is>
          <t>Corresponde a campañas de divulgación y promoción de los atractivos turísticos de la zonas, así como las actividades para el posicionamiento de las regiones, departamentos y municipios como destinos turísticos.</t>
        </is>
      </c>
      <c r="I139" t="inlineStr">
        <is>
          <t>2024257850039</t>
        </is>
      </c>
      <c r="J139" s="99">
        <v>229886811</v>
      </c>
      <c r="K139" s="99">
        <v>29200000</v>
      </c>
      <c r="L139" s="99">
        <v>129015000</v>
      </c>
      <c r="M139" s="99">
        <v>34374970</v>
      </c>
      <c r="N139" s="99">
        <v>37296841</v>
      </c>
      <c r="O139" s="99">
        <v>16777742</v>
      </c>
      <c r="P139" s="99">
        <v>16777742</v>
      </c>
      <c r="Q139" s="99">
        <v>16777742</v>
      </c>
      <c r="R139" s="100">
        <v>0.574580205479452</v>
      </c>
      <c r="S139" t="inlineStr">
        <is>
          <t>Lo obligado está por debajo de lo programado en la vigencia</t>
        </is>
      </c>
      <c r="T139" s="101">
        <v>96134000</v>
      </c>
      <c r="U139" s="101">
        <v>34884000</v>
      </c>
      <c r="V139" s="101">
        <v>34884000</v>
      </c>
      <c r="W139" s="102">
        <v>0.270387164283223</v>
      </c>
      <c r="X139" t="inlineStr">
        <is>
          <t>Lo obligado está por debajo de lo programado en la vigencia</t>
        </is>
      </c>
    </row>
    <row r="140">
      <c r="A140" t="inlineStr">
        <is>
          <t>IP-148</t>
        </is>
      </c>
      <c r="B140" t="inlineStr">
        <is>
          <t>35</t>
        </is>
      </c>
      <c r="C140" t="inlineStr">
        <is>
          <t>Comercio, industria y turismo</t>
        </is>
      </c>
      <c r="D140" t="inlineStr">
        <is>
          <t>3502</t>
        </is>
      </c>
      <c r="E140" t="inlineStr">
        <is>
          <t>Productividad y competitividad de las empresas colombianas</t>
        </is>
      </c>
      <c r="F140" t="inlineStr">
        <is>
          <t>3502047</t>
        </is>
      </c>
      <c r="G140" t="inlineStr">
        <is>
          <t>Documentos de planeación</t>
        </is>
      </c>
      <c r="H140" t="inlineStr">
        <is>
          <t>Consiste en la formulación de documentos cuyo objetivo es plasmar una visión de futuro a nivel país, entidad territorial, comunidad, sector, región, entidad o cualquier nivel de desagregación que se requiera, plasmando elementos como políticas públicas, planes objetivos, estrategias, metas e indicadores</t>
        </is>
      </c>
      <c r="I140" t="inlineStr">
        <is>
          <t>2024257850039, 202500000045229</t>
        </is>
      </c>
      <c r="J140" s="99">
        <v>47000000</v>
      </c>
      <c r="K140" s="99">
        <v>0</v>
      </c>
      <c r="L140" s="99">
        <v>0</v>
      </c>
      <c r="M140" s="99">
        <v>47000000</v>
      </c>
      <c r="N140" s="99">
        <v>0</v>
      </c>
      <c r="O140" s="99" t="inlineStr">
        <is>
          <t xml:space="preserve"> </t>
        </is>
      </c>
      <c r="P140" s="99" t="inlineStr">
        <is>
          <t xml:space="preserve"> </t>
        </is>
      </c>
      <c r="Q140" s="99" t="inlineStr">
        <is>
          <t xml:space="preserve"> </t>
        </is>
      </c>
      <c r="R140" s="100" t="inlineStr">
        <is>
          <t xml:space="preserve"> </t>
        </is>
      </c>
      <c r="S140" t="inlineStr">
        <is>
          <t>No se encontró ejecución en CUIPO</t>
        </is>
      </c>
      <c r="T140" s="101" t="inlineStr">
        <is>
          <t xml:space="preserve"> </t>
        </is>
      </c>
      <c r="U140" s="101" t="inlineStr">
        <is>
          <t xml:space="preserve"> </t>
        </is>
      </c>
      <c r="V140" s="101" t="inlineStr">
        <is>
          <t xml:space="preserve"> </t>
        </is>
      </c>
      <c r="W140" s="102" t="inlineStr">
        <is>
          <t xml:space="preserve"> </t>
        </is>
      </c>
      <c r="X140" t="inlineStr">
        <is>
          <t>No se encontró ejecución en CUIPO</t>
        </is>
      </c>
    </row>
    <row r="141">
      <c r="A141" t="inlineStr">
        <is>
          <t>IP-149, IP-150</t>
        </is>
      </c>
      <c r="B141" t="inlineStr">
        <is>
          <t>39</t>
        </is>
      </c>
      <c r="C141" t="inlineStr">
        <is>
          <t xml:space="preserve">Ciencia, tecnología e innovación
</t>
        </is>
      </c>
      <c r="D141" t="inlineStr">
        <is>
          <t>3906</t>
        </is>
      </c>
      <c r="E141" t="inlineStr">
        <is>
          <t>Fomento a vocaciones y formación, generación, uso y apropiación social del conocimiento de la ciencia, tecnología e innovación</t>
        </is>
      </c>
      <c r="F141" t="inlineStr">
        <is>
          <t>3906010</t>
        </is>
      </c>
      <c r="G141" t="inlineStr">
        <is>
          <t>Servicios de apoyo financiero para programas y proyectos de apropiación social del conocimiento</t>
        </is>
      </c>
      <c r="H141" t="inlineStr">
        <is>
          <t>Servicio mediante el cual se realiza apoyo financiero a los programas y proyectos  de apropiación social del conocimiento del Sistema Nacional de Ciencia, Tecnología e Innovación.</t>
        </is>
      </c>
      <c r="I141" t="inlineStr">
        <is>
          <t>2024257850038</t>
        </is>
      </c>
      <c r="J141" s="99">
        <v>255479734</v>
      </c>
      <c r="K141" s="99">
        <v>52000000</v>
      </c>
      <c r="L141" s="99">
        <v>75845000</v>
      </c>
      <c r="M141" s="99">
        <v>61215700</v>
      </c>
      <c r="N141" s="99">
        <v>66419034</v>
      </c>
      <c r="O141" s="99">
        <v>16465180</v>
      </c>
      <c r="P141" s="99">
        <v>16465180</v>
      </c>
      <c r="Q141" s="99">
        <v>16465180</v>
      </c>
      <c r="R141" s="100">
        <v>0.316638076923077</v>
      </c>
      <c r="S141" t="inlineStr">
        <is>
          <t>Lo obligado está por debajo de lo programado en la vigencia</t>
        </is>
      </c>
      <c r="T141" s="101">
        <v>50000000</v>
      </c>
      <c r="U141" s="101">
        <v>35597830</v>
      </c>
      <c r="V141" s="101">
        <v>12198000</v>
      </c>
      <c r="W141" s="102">
        <v>0.469349726415716</v>
      </c>
      <c r="X141" t="inlineStr">
        <is>
          <t>Lo obligado está por debajo de lo programado en la vigencia</t>
        </is>
      </c>
    </row>
    <row r="142">
      <c r="A142" t="inlineStr">
        <is>
          <t>IP-151</t>
        </is>
      </c>
      <c r="B142" t="inlineStr">
        <is>
          <t>17</t>
        </is>
      </c>
      <c r="C142" t="inlineStr">
        <is>
          <t xml:space="preserve">Agricultura y desarrollo rural
</t>
        </is>
      </c>
      <c r="D142" t="inlineStr">
        <is>
          <t>1702</t>
        </is>
      </c>
      <c r="E142" t="inlineStr">
        <is>
          <t>Inclusión productiva de pequeños productores rurales</t>
        </is>
      </c>
      <c r="F142" t="inlineStr">
        <is>
          <t>1702011</t>
        </is>
      </c>
      <c r="G142" t="inlineStr">
        <is>
          <t>Servicio de asesoría para el fortalecimiento de la asociatividad</t>
        </is>
      </c>
      <c r="H142" t="inlineStr">
        <is>
          <t>Acompañamiento a asociaciones de productores ya conformadas o en proceso de conformación en temas administrativos y de organización.</t>
        </is>
      </c>
      <c r="I142" t="inlineStr">
        <is>
          <t>2024257850025</t>
        </is>
      </c>
      <c r="J142" s="99">
        <v>7564539</v>
      </c>
      <c r="K142" s="99">
        <v>0</v>
      </c>
      <c r="L142" s="99">
        <v>5110000</v>
      </c>
      <c r="M142" s="99">
        <v>1177250</v>
      </c>
      <c r="N142" s="99">
        <v>1277289</v>
      </c>
      <c r="O142" s="99" t="inlineStr">
        <is>
          <t xml:space="preserve"> </t>
        </is>
      </c>
      <c r="P142" s="99" t="inlineStr">
        <is>
          <t xml:space="preserve"> </t>
        </is>
      </c>
      <c r="Q142" s="99" t="inlineStr">
        <is>
          <t xml:space="preserve"> </t>
        </is>
      </c>
      <c r="R142" s="100" t="inlineStr">
        <is>
          <t xml:space="preserve"> </t>
        </is>
      </c>
      <c r="S142" t="inlineStr">
        <is>
          <t>No se encontró ejecución en CUIPO</t>
        </is>
      </c>
      <c r="T142" s="101">
        <v>4800000</v>
      </c>
      <c r="U142" s="101">
        <v>0</v>
      </c>
      <c r="V142" s="101">
        <v>0</v>
      </c>
      <c r="W142" s="102">
        <v>0</v>
      </c>
      <c r="X142" t="inlineStr">
        <is>
          <t>No se ejecutó en la vigencia</t>
        </is>
      </c>
    </row>
    <row r="143">
      <c r="A143" t="inlineStr">
        <is>
          <t>IP-152</t>
        </is>
      </c>
      <c r="B143" t="inlineStr">
        <is>
          <t>45</t>
        </is>
      </c>
      <c r="C143" t="inlineStr">
        <is>
          <t>Gobierno Territorial</t>
        </is>
      </c>
      <c r="D143" t="inlineStr">
        <is>
          <t>4503</t>
        </is>
      </c>
      <c r="E143" t="inlineStr">
        <is>
          <t>Gestión del riesgo de desastres y emergencias</t>
        </is>
      </c>
      <c r="F143" t="inlineStr">
        <is>
          <t>4503002</t>
        </is>
      </c>
      <c r="G143" t="inlineStr">
        <is>
          <t>Servicio de educación informal</t>
        </is>
      </c>
      <c r="H143"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143" t="inlineStr">
        <is>
          <t>2024257850035</t>
        </is>
      </c>
      <c r="J143" s="99">
        <v>109066881.38</v>
      </c>
      <c r="K143" s="99">
        <v>13500000</v>
      </c>
      <c r="L143" s="99">
        <v>29295000</v>
      </c>
      <c r="M143" s="99">
        <v>31785075</v>
      </c>
      <c r="N143" s="99">
        <v>34486806.38</v>
      </c>
      <c r="O143" s="99">
        <v>6000000</v>
      </c>
      <c r="P143" s="99">
        <v>6000000</v>
      </c>
      <c r="Q143" s="99">
        <v>6000000</v>
      </c>
      <c r="R143" s="100">
        <v>0.444444444444444</v>
      </c>
      <c r="S143" t="inlineStr">
        <is>
          <t>Lo obligado está por debajo de lo programado en la vigencia</t>
        </is>
      </c>
      <c r="T143" s="101">
        <v>22500000</v>
      </c>
      <c r="U143" s="101">
        <v>12000000</v>
      </c>
      <c r="V143" s="101">
        <v>12000000</v>
      </c>
      <c r="W143" s="102">
        <v>0.409626216077829</v>
      </c>
      <c r="X143" t="inlineStr">
        <is>
          <t>Lo obligado está por debajo de lo programado en la vigencia</t>
        </is>
      </c>
    </row>
    <row r="144">
      <c r="J144" s="99"/>
      <c r="K144" s="99"/>
      <c r="L144" s="99"/>
      <c r="M144" s="99"/>
      <c r="N144" s="99"/>
      <c r="O144" s="99"/>
      <c r="P144" s="99"/>
      <c r="Q144" s="99"/>
      <c r="R144" s="100"/>
      <c r="T144" s="101"/>
      <c r="U144" s="101"/>
      <c r="V144" s="101"/>
      <c r="W144"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154"/>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IP-1</t>
        </is>
      </c>
      <c r="B8" t="inlineStr">
        <is>
          <t>45</t>
        </is>
      </c>
      <c r="C8" t="inlineStr">
        <is>
          <t>Gobierno Territorial</t>
        </is>
      </c>
      <c r="D8" t="inlineStr">
        <is>
          <t>4599</t>
        </is>
      </c>
      <c r="E8" t="inlineStr">
        <is>
          <t>Fortalecimiento a la gestión y dirección de la administración pública territorial</t>
        </is>
      </c>
      <c r="F8" t="inlineStr">
        <is>
          <t>4599033</t>
        </is>
      </c>
      <c r="G8" t="inlineStr">
        <is>
          <t>Servicio de información para el registro administrativo de SISBEN</t>
        </is>
      </c>
      <c r="H8" t="inlineStr">
        <is>
          <t>459903300</t>
        </is>
      </c>
      <c r="I8" t="inlineStr">
        <is>
          <t>Hogares que realizaron la encuesta</t>
        </is>
      </c>
      <c r="J8" t="inlineStr">
        <is>
          <t>2024257850004</t>
        </is>
      </c>
      <c r="K8" t="inlineStr">
        <is>
          <t>No</t>
        </is>
      </c>
      <c r="L8" t="inlineStr">
        <is>
          <t>Número</t>
        </is>
      </c>
      <c r="M8">
        <v>5032</v>
      </c>
      <c r="N8">
        <v>5032</v>
      </c>
      <c r="O8">
        <v>5032</v>
      </c>
      <c r="P8">
        <v>5032</v>
      </c>
      <c r="Q8">
        <v>5032</v>
      </c>
      <c r="R8">
        <v>5500</v>
      </c>
      <c r="S8" s="103">
        <v>1.09300476947536</v>
      </c>
      <c r="T8" t="inlineStr">
        <is>
          <t>Hubo ejecución por encima de lo programado en SisPT</t>
        </is>
      </c>
      <c r="U8">
        <v>0</v>
      </c>
      <c r="V8" s="104">
        <v>0</v>
      </c>
      <c r="W8" t="inlineStr">
        <is>
          <t>No se ejecutó en la vigencia</t>
        </is>
      </c>
    </row>
    <row r="9">
      <c r="A9" t="inlineStr">
        <is>
          <t>IP-2</t>
        </is>
      </c>
      <c r="B9" t="inlineStr">
        <is>
          <t>45</t>
        </is>
      </c>
      <c r="C9" t="inlineStr">
        <is>
          <t>Gobierno Territorial</t>
        </is>
      </c>
      <c r="D9" t="inlineStr">
        <is>
          <t>4599</t>
        </is>
      </c>
      <c r="E9" t="inlineStr">
        <is>
          <t>Fortalecimiento a la gestión y dirección de la administración pública territorial</t>
        </is>
      </c>
      <c r="F9" t="inlineStr">
        <is>
          <t>4599031</t>
        </is>
      </c>
      <c r="G9" t="inlineStr">
        <is>
          <t>Servicio de asistencia técnica</t>
        </is>
      </c>
      <c r="H9" t="inlineStr">
        <is>
          <t>459903106</t>
        </is>
      </c>
      <c r="I9" t="inlineStr">
        <is>
          <t>Organismos asistidos técnicamente</t>
        </is>
      </c>
      <c r="J9" t="inlineStr">
        <is>
          <t>2024257850004</t>
        </is>
      </c>
      <c r="K9" t="inlineStr">
        <is>
          <t>Si</t>
        </is>
      </c>
      <c r="L9" t="inlineStr">
        <is>
          <t>Número</t>
        </is>
      </c>
      <c r="M9">
        <v>4</v>
      </c>
      <c r="N9">
        <v>1</v>
      </c>
      <c r="O9">
        <v>1</v>
      </c>
      <c r="P9">
        <v>1</v>
      </c>
      <c r="Q9">
        <v>1</v>
      </c>
      <c r="R9" t="inlineStr">
        <is>
          <t xml:space="preserve"> </t>
        </is>
      </c>
      <c r="S9" s="103" t="inlineStr">
        <is>
          <t xml:space="preserve"> </t>
        </is>
      </c>
      <c r="T9" t="inlineStr">
        <is>
          <t>No se encontró ejecución en PIIP</t>
        </is>
      </c>
      <c r="U9" t="inlineStr">
        <is>
          <t xml:space="preserve"> </t>
        </is>
      </c>
      <c r="V9" s="104" t="inlineStr">
        <is>
          <t xml:space="preserve"> </t>
        </is>
      </c>
      <c r="W9" t="inlineStr">
        <is>
          <t>No se encontró ejecución en PIIP</t>
        </is>
      </c>
    </row>
    <row r="10">
      <c r="A10" t="inlineStr">
        <is>
          <t>IP-3</t>
        </is>
      </c>
      <c r="B10" t="inlineStr">
        <is>
          <t>45</t>
        </is>
      </c>
      <c r="C10" t="inlineStr">
        <is>
          <t>Gobierno Territorial</t>
        </is>
      </c>
      <c r="D10" t="inlineStr">
        <is>
          <t>4599</t>
        </is>
      </c>
      <c r="E10" t="inlineStr">
        <is>
          <t>Fortalecimiento a la gestión y dirección de la administración pública territorial</t>
        </is>
      </c>
      <c r="F10" t="inlineStr">
        <is>
          <t>4599023</t>
        </is>
      </c>
      <c r="G10" t="inlineStr">
        <is>
          <t>Servicio de Implementación Sistemas de Gestión</t>
        </is>
      </c>
      <c r="H10" t="inlineStr">
        <is>
          <t>459902300</t>
        </is>
      </c>
      <c r="I10" t="inlineStr">
        <is>
          <t>Sistema de Gestión implementado</t>
        </is>
      </c>
      <c r="J10" t="inlineStr">
        <is>
          <t>2024257850004</t>
        </is>
      </c>
      <c r="K10" t="inlineStr">
        <is>
          <t>Si</t>
        </is>
      </c>
      <c r="L10" t="inlineStr">
        <is>
          <t>Número</t>
        </is>
      </c>
      <c r="M10">
        <v>4</v>
      </c>
      <c r="N10">
        <v>1</v>
      </c>
      <c r="O10">
        <v>1</v>
      </c>
      <c r="P10">
        <v>1</v>
      </c>
      <c r="Q10">
        <v>1</v>
      </c>
      <c r="R10" t="inlineStr">
        <is>
          <t xml:space="preserve"> </t>
        </is>
      </c>
      <c r="S10" s="103" t="inlineStr">
        <is>
          <t xml:space="preserve"> </t>
        </is>
      </c>
      <c r="T10" t="inlineStr">
        <is>
          <t>No se encontró ejecución en PIIP</t>
        </is>
      </c>
      <c r="U10" t="inlineStr">
        <is>
          <t xml:space="preserve"> </t>
        </is>
      </c>
      <c r="V10" s="104" t="inlineStr">
        <is>
          <t xml:space="preserve"> </t>
        </is>
      </c>
      <c r="W10" t="inlineStr">
        <is>
          <t>No se encontró ejecución en PIIP</t>
        </is>
      </c>
    </row>
    <row r="11">
      <c r="A11" t="inlineStr">
        <is>
          <t>IP-4</t>
        </is>
      </c>
      <c r="B11" t="inlineStr">
        <is>
          <t>45</t>
        </is>
      </c>
      <c r="C11" t="inlineStr">
        <is>
          <t>Gobierno Territorial</t>
        </is>
      </c>
      <c r="D11" t="inlineStr">
        <is>
          <t>4599</t>
        </is>
      </c>
      <c r="E11" t="inlineStr">
        <is>
          <t>Fortalecimiento a la gestión y dirección de la administración pública territorial</t>
        </is>
      </c>
      <c r="F11" t="inlineStr">
        <is>
          <t>4599031</t>
        </is>
      </c>
      <c r="G11" t="inlineStr">
        <is>
          <t>Servicio de asistencia técnica</t>
        </is>
      </c>
      <c r="H11" t="inlineStr">
        <is>
          <t>459903100</t>
        </is>
      </c>
      <c r="I11" t="inlineStr">
        <is>
          <t>Entidades, organismos y dependencias asistidos técnicamente</t>
        </is>
      </c>
      <c r="J11" t="inlineStr">
        <is>
          <t>2024257850043</t>
        </is>
      </c>
      <c r="K11" t="inlineStr">
        <is>
          <t>Si</t>
        </is>
      </c>
      <c r="L11" t="inlineStr">
        <is>
          <t>Número</t>
        </is>
      </c>
      <c r="M11">
        <v>4</v>
      </c>
      <c r="N11">
        <v>1</v>
      </c>
      <c r="O11">
        <v>1</v>
      </c>
      <c r="P11">
        <v>1</v>
      </c>
      <c r="Q11">
        <v>1</v>
      </c>
      <c r="R11" t="inlineStr">
        <is>
          <t xml:space="preserve"> </t>
        </is>
      </c>
      <c r="S11" s="103" t="inlineStr">
        <is>
          <t xml:space="preserve"> </t>
        </is>
      </c>
      <c r="T11" t="inlineStr">
        <is>
          <t>No se encontró ejecución en PIIP</t>
        </is>
      </c>
      <c r="U11" t="inlineStr">
        <is>
          <t xml:space="preserve"> </t>
        </is>
      </c>
      <c r="V11" s="104" t="inlineStr">
        <is>
          <t xml:space="preserve"> </t>
        </is>
      </c>
      <c r="W11" t="inlineStr">
        <is>
          <t>No se encontró ejecución en PIIP</t>
        </is>
      </c>
    </row>
    <row r="12">
      <c r="A12" t="inlineStr">
        <is>
          <t>IP-5</t>
        </is>
      </c>
      <c r="B12" t="inlineStr">
        <is>
          <t>45</t>
        </is>
      </c>
      <c r="C12" t="inlineStr">
        <is>
          <t>Gobierno Territorial</t>
        </is>
      </c>
      <c r="D12" t="inlineStr">
        <is>
          <t>4599</t>
        </is>
      </c>
      <c r="E12" t="inlineStr">
        <is>
          <t>Fortalecimiento a la gestión y dirección de la administración pública territorial</t>
        </is>
      </c>
      <c r="F12" t="inlineStr">
        <is>
          <t>4599002</t>
        </is>
      </c>
      <c r="G12" t="inlineStr">
        <is>
          <t>Servicio de saneamiento fiscal y financiero</t>
        </is>
      </c>
      <c r="H12" t="inlineStr">
        <is>
          <t>459900201</t>
        </is>
      </c>
      <c r="I12" t="inlineStr">
        <is>
          <t>Estrategia para el mejoramiento del Índice de Desempeño Fiscal ejecutada</t>
        </is>
      </c>
      <c r="J12" t="inlineStr">
        <is>
          <t>2024257850043</t>
        </is>
      </c>
      <c r="K12" t="inlineStr">
        <is>
          <t>No</t>
        </is>
      </c>
      <c r="L12" t="inlineStr">
        <is>
          <t>Número</t>
        </is>
      </c>
      <c r="M12">
        <v>1</v>
      </c>
      <c r="N12">
        <v>0</v>
      </c>
      <c r="O12">
        <v>1</v>
      </c>
      <c r="P12">
        <v>0</v>
      </c>
      <c r="Q12">
        <v>0</v>
      </c>
      <c r="R12" t="inlineStr">
        <is>
          <t xml:space="preserve"> </t>
        </is>
      </c>
      <c r="S12" s="103" t="inlineStr">
        <is>
          <t xml:space="preserve"> </t>
        </is>
      </c>
      <c r="T12" t="inlineStr">
        <is>
          <t>No se encontró ejecución en PIIP</t>
        </is>
      </c>
      <c r="U12" t="inlineStr">
        <is>
          <t xml:space="preserve"> </t>
        </is>
      </c>
      <c r="V12" s="104" t="inlineStr">
        <is>
          <t xml:space="preserve"> </t>
        </is>
      </c>
      <c r="W12" t="inlineStr">
        <is>
          <t>No se encontró ejecución en PIIP</t>
        </is>
      </c>
    </row>
    <row r="13">
      <c r="A13" t="inlineStr">
        <is>
          <t>IP-6</t>
        </is>
      </c>
      <c r="B13" t="inlineStr">
        <is>
          <t>45</t>
        </is>
      </c>
      <c r="C13" t="inlineStr">
        <is>
          <t>Gobierno Territorial</t>
        </is>
      </c>
      <c r="D13" t="inlineStr">
        <is>
          <t>4599</t>
        </is>
      </c>
      <c r="E13" t="inlineStr">
        <is>
          <t>Fortalecimiento a la gestión y dirección de la administración pública territorial</t>
        </is>
      </c>
      <c r="F13" t="inlineStr">
        <is>
          <t>4599017</t>
        </is>
      </c>
      <c r="G13" t="inlineStr">
        <is>
          <t>Servicio de gestión documental</t>
        </is>
      </c>
      <c r="H13" t="inlineStr">
        <is>
          <t>459901710</t>
        </is>
      </c>
      <c r="I13" t="inlineStr">
        <is>
          <t>Documentos tramitados</t>
        </is>
      </c>
      <c r="J13" t="inlineStr">
        <is>
          <t>202500000045200</t>
        </is>
      </c>
      <c r="K13" t="inlineStr">
        <is>
          <t>Si</t>
        </is>
      </c>
      <c r="L13" t="inlineStr">
        <is>
          <t>Número</t>
        </is>
      </c>
      <c r="M13">
        <v>1000</v>
      </c>
      <c r="N13">
        <v>0</v>
      </c>
      <c r="O13">
        <v>0</v>
      </c>
      <c r="P13">
        <v>500</v>
      </c>
      <c r="Q13">
        <v>500</v>
      </c>
      <c r="R13" t="inlineStr">
        <is>
          <t xml:space="preserve"> </t>
        </is>
      </c>
      <c r="S13" s="103" t="inlineStr">
        <is>
          <t xml:space="preserve"> </t>
        </is>
      </c>
      <c r="T13" t="inlineStr">
        <is>
          <t>No se encontró ejecución en PIIP</t>
        </is>
      </c>
      <c r="U13" t="inlineStr">
        <is>
          <t xml:space="preserve"> </t>
        </is>
      </c>
      <c r="V13" s="104" t="inlineStr">
        <is>
          <t xml:space="preserve"> </t>
        </is>
      </c>
      <c r="W13" t="inlineStr">
        <is>
          <t>No se encontró ejecución en PIIP</t>
        </is>
      </c>
    </row>
    <row r="14">
      <c r="A14" t="inlineStr">
        <is>
          <t>IP-7</t>
        </is>
      </c>
      <c r="B14" t="inlineStr">
        <is>
          <t>45</t>
        </is>
      </c>
      <c r="C14" t="inlineStr">
        <is>
          <t>Gobierno Territorial</t>
        </is>
      </c>
      <c r="D14" t="inlineStr">
        <is>
          <t>4502</t>
        </is>
      </c>
      <c r="E14" t="inlineStr">
        <is>
          <t>Fortalecimiento del buen gobierno para el respeto y garantía de los derechos humanos.</t>
        </is>
      </c>
      <c r="F14" t="inlineStr">
        <is>
          <t>4502001</t>
        </is>
      </c>
      <c r="G14" t="inlineStr">
        <is>
          <t>Servicio de promoción a la participación ciudadana</t>
        </is>
      </c>
      <c r="H14" t="inlineStr">
        <is>
          <t>450200113</t>
        </is>
      </c>
      <c r="I14" t="inlineStr">
        <is>
          <t>Estrategias de promoción a la participación ciudadana implementadas</t>
        </is>
      </c>
      <c r="J14" t="inlineStr">
        <is>
          <t>2024257850042</t>
        </is>
      </c>
      <c r="K14" t="inlineStr">
        <is>
          <t>Si</t>
        </is>
      </c>
      <c r="L14" t="inlineStr">
        <is>
          <t>Número</t>
        </is>
      </c>
      <c r="M14">
        <v>4</v>
      </c>
      <c r="N14">
        <v>1</v>
      </c>
      <c r="O14">
        <v>1</v>
      </c>
      <c r="P14">
        <v>1</v>
      </c>
      <c r="Q14">
        <v>1</v>
      </c>
      <c r="R14" t="inlineStr">
        <is>
          <t xml:space="preserve"> </t>
        </is>
      </c>
      <c r="S14" s="103" t="inlineStr">
        <is>
          <t xml:space="preserve"> </t>
        </is>
      </c>
      <c r="T14" t="inlineStr">
        <is>
          <t>No se encontró ejecución en PIIP</t>
        </is>
      </c>
      <c r="U14" t="inlineStr">
        <is>
          <t xml:space="preserve"> </t>
        </is>
      </c>
      <c r="V14" s="104" t="inlineStr">
        <is>
          <t xml:space="preserve"> </t>
        </is>
      </c>
      <c r="W14" t="inlineStr">
        <is>
          <t>No se encontró ejecución en PIIP</t>
        </is>
      </c>
    </row>
    <row r="15">
      <c r="A15" t="inlineStr">
        <is>
          <t>IP-8</t>
        </is>
      </c>
      <c r="B15" t="inlineStr">
        <is>
          <t>45</t>
        </is>
      </c>
      <c r="C15" t="inlineStr">
        <is>
          <t>Gobierno Territorial</t>
        </is>
      </c>
      <c r="D15" t="inlineStr">
        <is>
          <t>4502</t>
        </is>
      </c>
      <c r="E15" t="inlineStr">
        <is>
          <t>Fortalecimiento del buen gobierno para el respeto y garantía de los derechos humanos.</t>
        </is>
      </c>
      <c r="F15" t="inlineStr">
        <is>
          <t>4502001</t>
        </is>
      </c>
      <c r="G15" t="inlineStr">
        <is>
          <t>Servicio de promoción a la participación ciudadana</t>
        </is>
      </c>
      <c r="H15" t="inlineStr">
        <is>
          <t>450200107</t>
        </is>
      </c>
      <c r="I15" t="inlineStr">
        <is>
          <t>Iniciativas creadas</t>
        </is>
      </c>
      <c r="J15" t="inlineStr">
        <is>
          <t>2024257850042</t>
        </is>
      </c>
      <c r="K15" t="inlineStr">
        <is>
          <t>Si</t>
        </is>
      </c>
      <c r="L15" t="inlineStr">
        <is>
          <t>Número</t>
        </is>
      </c>
      <c r="M15">
        <v>4</v>
      </c>
      <c r="N15">
        <v>1</v>
      </c>
      <c r="O15">
        <v>1</v>
      </c>
      <c r="P15">
        <v>1</v>
      </c>
      <c r="Q15">
        <v>1</v>
      </c>
      <c r="R15" t="inlineStr">
        <is>
          <t xml:space="preserve"> </t>
        </is>
      </c>
      <c r="S15" s="103" t="inlineStr">
        <is>
          <t xml:space="preserve"> </t>
        </is>
      </c>
      <c r="T15" t="inlineStr">
        <is>
          <t>No se encontró ejecución en PIIP</t>
        </is>
      </c>
      <c r="U15" t="inlineStr">
        <is>
          <t xml:space="preserve"> </t>
        </is>
      </c>
      <c r="V15" s="104" t="inlineStr">
        <is>
          <t xml:space="preserve"> </t>
        </is>
      </c>
      <c r="W15" t="inlineStr">
        <is>
          <t>No se encontró ejecución en PIIP</t>
        </is>
      </c>
    </row>
    <row r="16">
      <c r="A16" t="inlineStr">
        <is>
          <t>IP-9</t>
        </is>
      </c>
      <c r="B16" t="inlineStr">
        <is>
          <t>45</t>
        </is>
      </c>
      <c r="C16" t="inlineStr">
        <is>
          <t>Gobierno Territorial</t>
        </is>
      </c>
      <c r="D16" t="inlineStr">
        <is>
          <t>4502</t>
        </is>
      </c>
      <c r="E16" t="inlineStr">
        <is>
          <t>Fortalecimiento del buen gobierno para el respeto y garantía de los derechos humanos.</t>
        </is>
      </c>
      <c r="F16" t="inlineStr">
        <is>
          <t>4502033</t>
        </is>
      </c>
      <c r="G16" t="inlineStr">
        <is>
          <t>Servicio de integración de la oferta pública</t>
        </is>
      </c>
      <c r="H16" t="inlineStr">
        <is>
          <t>450203300</t>
        </is>
      </c>
      <c r="I16" t="inlineStr">
        <is>
          <t>Espacios de integración de oferta pública generados</t>
        </is>
      </c>
      <c r="J16" t="inlineStr">
        <is>
          <t>2024257850042</t>
        </is>
      </c>
      <c r="K16" t="inlineStr">
        <is>
          <t>Si</t>
        </is>
      </c>
      <c r="L16" t="inlineStr">
        <is>
          <t>Número</t>
        </is>
      </c>
      <c r="M16">
        <v>4</v>
      </c>
      <c r="N16">
        <v>1</v>
      </c>
      <c r="O16">
        <v>1</v>
      </c>
      <c r="P16">
        <v>1</v>
      </c>
      <c r="Q16">
        <v>1</v>
      </c>
      <c r="R16" t="inlineStr">
        <is>
          <t xml:space="preserve"> </t>
        </is>
      </c>
      <c r="S16" s="103" t="inlineStr">
        <is>
          <t xml:space="preserve"> </t>
        </is>
      </c>
      <c r="T16" t="inlineStr">
        <is>
          <t>No se encontró ejecución en PIIP</t>
        </is>
      </c>
      <c r="U16" t="inlineStr">
        <is>
          <t xml:space="preserve"> </t>
        </is>
      </c>
      <c r="V16" s="104" t="inlineStr">
        <is>
          <t xml:space="preserve"> </t>
        </is>
      </c>
      <c r="W16" t="inlineStr">
        <is>
          <t>No se encontró ejecución en PIIP</t>
        </is>
      </c>
    </row>
    <row r="17">
      <c r="A17" t="inlineStr">
        <is>
          <t>IP-10</t>
        </is>
      </c>
      <c r="B17" t="inlineStr">
        <is>
          <t>45</t>
        </is>
      </c>
      <c r="C17" t="inlineStr">
        <is>
          <t>Gobierno Territorial</t>
        </is>
      </c>
      <c r="D17" t="inlineStr">
        <is>
          <t>4502</t>
        </is>
      </c>
      <c r="E17" t="inlineStr">
        <is>
          <t>Fortalecimiento del buen gobierno para el respeto y garantía de los derechos humanos.</t>
        </is>
      </c>
      <c r="F17" t="inlineStr">
        <is>
          <t>4502035</t>
        </is>
      </c>
      <c r="G17" t="inlineStr">
        <is>
          <t>Documentos de planeación</t>
        </is>
      </c>
      <c r="H17" t="inlineStr">
        <is>
          <t>450203500</t>
        </is>
      </c>
      <c r="I17" t="inlineStr">
        <is>
          <t>Documentos de planeación elaborados</t>
        </is>
      </c>
      <c r="J17" t="inlineStr">
        <is>
          <t>202500000042557</t>
        </is>
      </c>
      <c r="K17" t="inlineStr">
        <is>
          <t>No</t>
        </is>
      </c>
      <c r="L17" t="inlineStr">
        <is>
          <t>Número</t>
        </is>
      </c>
      <c r="M17">
        <v>1</v>
      </c>
      <c r="N17">
        <v>0</v>
      </c>
      <c r="O17">
        <v>1</v>
      </c>
      <c r="P17">
        <v>0</v>
      </c>
      <c r="Q17">
        <v>0</v>
      </c>
      <c r="R17" t="inlineStr">
        <is>
          <t xml:space="preserve"> </t>
        </is>
      </c>
      <c r="S17" s="103" t="inlineStr">
        <is>
          <t xml:space="preserve"> </t>
        </is>
      </c>
      <c r="T17" t="inlineStr">
        <is>
          <t>No se encontró ejecución en PIIP</t>
        </is>
      </c>
      <c r="U17" t="inlineStr">
        <is>
          <t xml:space="preserve"> </t>
        </is>
      </c>
      <c r="V17" s="104" t="inlineStr">
        <is>
          <t xml:space="preserve"> </t>
        </is>
      </c>
      <c r="W17" t="inlineStr">
        <is>
          <t>No se encontró ejecución en PIIP</t>
        </is>
      </c>
    </row>
    <row r="18">
      <c r="A18" t="inlineStr">
        <is>
          <t>IP-11</t>
        </is>
      </c>
      <c r="B18" t="inlineStr">
        <is>
          <t>45</t>
        </is>
      </c>
      <c r="C18" t="inlineStr">
        <is>
          <t>Gobierno Territorial</t>
        </is>
      </c>
      <c r="D18" t="inlineStr">
        <is>
          <t>4502</t>
        </is>
      </c>
      <c r="E18" t="inlineStr">
        <is>
          <t>Fortalecimiento del buen gobierno para el respeto y garantía de los derechos humanos.</t>
        </is>
      </c>
      <c r="F18" t="inlineStr">
        <is>
          <t>4502035</t>
        </is>
      </c>
      <c r="G18" t="inlineStr">
        <is>
          <t>Documentos de planeación</t>
        </is>
      </c>
      <c r="H18" t="inlineStr">
        <is>
          <t>450203500</t>
        </is>
      </c>
      <c r="I18" t="inlineStr">
        <is>
          <t>Documentos de planeación elaborados</t>
        </is>
      </c>
      <c r="J18" t="inlineStr">
        <is>
          <t/>
        </is>
      </c>
      <c r="K18" t="inlineStr">
        <is>
          <t>No</t>
        </is>
      </c>
      <c r="L18" t="inlineStr">
        <is>
          <t>Número</t>
        </is>
      </c>
      <c r="M18">
        <v>1</v>
      </c>
      <c r="N18">
        <v>0</v>
      </c>
      <c r="O18">
        <v>0</v>
      </c>
      <c r="P18">
        <v>1</v>
      </c>
      <c r="Q18">
        <v>0</v>
      </c>
      <c r="R18" t="inlineStr">
        <is>
          <t xml:space="preserve"> </t>
        </is>
      </c>
      <c r="S18" s="103" t="inlineStr">
        <is>
          <t xml:space="preserve"> </t>
        </is>
      </c>
      <c r="T18" t="inlineStr">
        <is>
          <t>Por falta de código BPIN, no se encontró ejecución en PIIP</t>
        </is>
      </c>
      <c r="U18" t="inlineStr">
        <is>
          <t xml:space="preserve"> </t>
        </is>
      </c>
      <c r="V18" s="104" t="inlineStr">
        <is>
          <t xml:space="preserve"> </t>
        </is>
      </c>
      <c r="W18" t="inlineStr">
        <is>
          <t>Por falta de código BPIN, no se encontró ejecución en PIIP</t>
        </is>
      </c>
    </row>
    <row r="19">
      <c r="A19" t="inlineStr">
        <is>
          <t>IP-12</t>
        </is>
      </c>
      <c r="B19" t="inlineStr">
        <is>
          <t>40</t>
        </is>
      </c>
      <c r="C19" t="inlineStr">
        <is>
          <t>Vivienda, ciudad y territorio</t>
        </is>
      </c>
      <c r="D19" t="inlineStr">
        <is>
          <t>4002</t>
        </is>
      </c>
      <c r="E19" t="inlineStr">
        <is>
          <t>Ordenamiento territorial y desarrollo urbano</t>
        </is>
      </c>
      <c r="F19" t="inlineStr">
        <is>
          <t>4002016</t>
        </is>
      </c>
      <c r="G19" t="inlineStr">
        <is>
          <t>Documentos de planeación</t>
        </is>
      </c>
      <c r="H19" t="inlineStr">
        <is>
          <t>400201603</t>
        </is>
      </c>
      <c r="I19" t="inlineStr">
        <is>
          <t>Documentos de formulación del Plan de Ordenamiento Departamental elaborados</t>
        </is>
      </c>
      <c r="J19" t="inlineStr">
        <is>
          <t>2024257850005</t>
        </is>
      </c>
      <c r="K19" t="inlineStr">
        <is>
          <t>No</t>
        </is>
      </c>
      <c r="L19" t="inlineStr">
        <is>
          <t>Número</t>
        </is>
      </c>
      <c r="M19">
        <v>1</v>
      </c>
      <c r="N19">
        <v>0</v>
      </c>
      <c r="O19">
        <v>0</v>
      </c>
      <c r="P19">
        <v>1</v>
      </c>
      <c r="Q19">
        <v>0</v>
      </c>
      <c r="R19" t="inlineStr">
        <is>
          <t xml:space="preserve"> </t>
        </is>
      </c>
      <c r="S19" s="103" t="inlineStr">
        <is>
          <t xml:space="preserve"> </t>
        </is>
      </c>
      <c r="T19" t="inlineStr">
        <is>
          <t>No se encontró ejecución en PIIP</t>
        </is>
      </c>
      <c r="U19" t="inlineStr">
        <is>
          <t xml:space="preserve"> </t>
        </is>
      </c>
      <c r="V19" s="104" t="inlineStr">
        <is>
          <t xml:space="preserve"> </t>
        </is>
      </c>
      <c r="W19" t="inlineStr">
        <is>
          <t>No se encontró ejecución en PIIP</t>
        </is>
      </c>
    </row>
    <row r="20">
      <c r="A20" t="inlineStr">
        <is>
          <t>IP-13</t>
        </is>
      </c>
      <c r="B20" t="inlineStr">
        <is>
          <t>04</t>
        </is>
      </c>
      <c r="C20" t="inlineStr">
        <is>
          <t>Información Estadística</t>
        </is>
      </c>
      <c r="D20" t="inlineStr">
        <is>
          <t>0406</t>
        </is>
      </c>
      <c r="E20" t="inlineStr">
        <is>
          <t>Generación de la información geográfica del territorio nacional</t>
        </is>
      </c>
      <c r="F20" t="inlineStr">
        <is>
          <t>0406016</t>
        </is>
      </c>
      <c r="G20" t="inlineStr">
        <is>
          <t>Servicio de actualización catastral con enfoque multipropósito</t>
        </is>
      </c>
      <c r="H20" t="inlineStr">
        <is>
          <t>040601600</t>
        </is>
      </c>
      <c r="I20" t="inlineStr">
        <is>
          <t>Área geográfica actualizada catastralmente con enfoque multipropósito</t>
        </is>
      </c>
      <c r="J20" t="inlineStr">
        <is>
          <t>2024257850001</t>
        </is>
      </c>
      <c r="K20" t="inlineStr">
        <is>
          <t>No</t>
        </is>
      </c>
      <c r="L20" t="inlineStr">
        <is>
          <t>Número</t>
        </is>
      </c>
      <c r="M20">
        <v>7513</v>
      </c>
      <c r="N20">
        <v>7513</v>
      </c>
      <c r="O20">
        <v>0</v>
      </c>
      <c r="P20">
        <v>0</v>
      </c>
      <c r="Q20">
        <v>0</v>
      </c>
      <c r="R20" t="inlineStr">
        <is>
          <t xml:space="preserve"> </t>
        </is>
      </c>
      <c r="S20" s="103" t="inlineStr">
        <is>
          <t xml:space="preserve"> </t>
        </is>
      </c>
      <c r="T20" t="inlineStr">
        <is>
          <t>No se encontró ejecución en PIIP</t>
        </is>
      </c>
      <c r="U20" t="inlineStr">
        <is>
          <t xml:space="preserve"> </t>
        </is>
      </c>
      <c r="V20" s="104" t="inlineStr">
        <is>
          <t xml:space="preserve"> </t>
        </is>
      </c>
      <c r="W20" t="inlineStr">
        <is>
          <t>No se encontró ejecución en PIIP</t>
        </is>
      </c>
    </row>
    <row r="21">
      <c r="A21" t="inlineStr">
        <is>
          <t>IP-14</t>
        </is>
      </c>
      <c r="B21" t="inlineStr">
        <is>
          <t>45</t>
        </is>
      </c>
      <c r="C21" t="inlineStr">
        <is>
          <t>Gobierno Territorial</t>
        </is>
      </c>
      <c r="D21" t="inlineStr">
        <is>
          <t>4501</t>
        </is>
      </c>
      <c r="E21" t="inlineStr">
        <is>
          <t>Fortalecimiento de la convivencia y la seguridad ciudadana</t>
        </is>
      </c>
      <c r="F21" t="inlineStr">
        <is>
          <t>4501029</t>
        </is>
      </c>
      <c r="G21" t="inlineStr">
        <is>
          <t>Servicio de apoyo financiero para proyectos de convivencia y seguridad ciudadana</t>
        </is>
      </c>
      <c r="H21" t="inlineStr">
        <is>
          <t>450102900</t>
        </is>
      </c>
      <c r="I21" t="inlineStr">
        <is>
          <t>Proyectos de convivencia y seguridad ciudadana apoyados financieramente</t>
        </is>
      </c>
      <c r="J21" t="inlineStr">
        <is>
          <t>2024257850041</t>
        </is>
      </c>
      <c r="K21" t="inlineStr">
        <is>
          <t>Si</t>
        </is>
      </c>
      <c r="L21" t="inlineStr">
        <is>
          <t>Número</t>
        </is>
      </c>
      <c r="M21">
        <v>4</v>
      </c>
      <c r="N21">
        <v>1</v>
      </c>
      <c r="O21">
        <v>1</v>
      </c>
      <c r="P21">
        <v>1</v>
      </c>
      <c r="Q21">
        <v>1</v>
      </c>
      <c r="R21" t="inlineStr">
        <is>
          <t xml:space="preserve"> </t>
        </is>
      </c>
      <c r="S21" s="103" t="inlineStr">
        <is>
          <t xml:space="preserve"> </t>
        </is>
      </c>
      <c r="T21" t="inlineStr">
        <is>
          <t>No se encontró ejecución en PIIP</t>
        </is>
      </c>
      <c r="U21" t="inlineStr">
        <is>
          <t xml:space="preserve"> </t>
        </is>
      </c>
      <c r="V21" s="104" t="inlineStr">
        <is>
          <t xml:space="preserve"> </t>
        </is>
      </c>
      <c r="W21" t="inlineStr">
        <is>
          <t>No se encontró ejecución en PIIP</t>
        </is>
      </c>
    </row>
    <row r="22">
      <c r="A22" t="inlineStr">
        <is>
          <t>IP-15</t>
        </is>
      </c>
      <c r="B22" t="inlineStr">
        <is>
          <t>45</t>
        </is>
      </c>
      <c r="C22" t="inlineStr">
        <is>
          <t>Gobierno Territorial</t>
        </is>
      </c>
      <c r="D22" t="inlineStr">
        <is>
          <t>4501</t>
        </is>
      </c>
      <c r="E22" t="inlineStr">
        <is>
          <t>Fortalecimiento de la convivencia y la seguridad ciudadana</t>
        </is>
      </c>
      <c r="F22" t="inlineStr">
        <is>
          <t>4501082</t>
        </is>
      </c>
      <c r="G22" t="inlineStr">
        <is>
          <t>Servicio de apoyo para la atención especializada e interdisciplinaria en las comisarias de familia</t>
        </is>
      </c>
      <c r="H22" t="inlineStr">
        <is>
          <t>450108200</t>
        </is>
      </c>
      <c r="I22" t="inlineStr">
        <is>
          <t>Casos atendidos</t>
        </is>
      </c>
      <c r="J22" t="inlineStr">
        <is>
          <t>2024257850041</t>
        </is>
      </c>
      <c r="K22" t="inlineStr">
        <is>
          <t>Si</t>
        </is>
      </c>
      <c r="L22" t="inlineStr">
        <is>
          <t>Número</t>
        </is>
      </c>
      <c r="M22">
        <v>1700</v>
      </c>
      <c r="N22">
        <v>425</v>
      </c>
      <c r="O22">
        <v>425</v>
      </c>
      <c r="P22">
        <v>425</v>
      </c>
      <c r="Q22">
        <v>425</v>
      </c>
      <c r="R22" t="inlineStr">
        <is>
          <t xml:space="preserve"> </t>
        </is>
      </c>
      <c r="S22" s="103" t="inlineStr">
        <is>
          <t xml:space="preserve"> </t>
        </is>
      </c>
      <c r="T22" t="inlineStr">
        <is>
          <t>No se encontró ejecución en PIIP</t>
        </is>
      </c>
      <c r="U22" t="inlineStr">
        <is>
          <t xml:space="preserve"> </t>
        </is>
      </c>
      <c r="V22" s="104" t="inlineStr">
        <is>
          <t xml:space="preserve"> </t>
        </is>
      </c>
      <c r="W22" t="inlineStr">
        <is>
          <t>No se encontró ejecución en PIIP</t>
        </is>
      </c>
    </row>
    <row r="23">
      <c r="A23" t="inlineStr">
        <is>
          <t>IP-16</t>
        </is>
      </c>
      <c r="B23" t="inlineStr">
        <is>
          <t>45</t>
        </is>
      </c>
      <c r="C23" t="inlineStr">
        <is>
          <t>Gobierno Territorial</t>
        </is>
      </c>
      <c r="D23" t="inlineStr">
        <is>
          <t>4501</t>
        </is>
      </c>
      <c r="E23" t="inlineStr">
        <is>
          <t>Fortalecimiento de la convivencia y la seguridad ciudadana</t>
        </is>
      </c>
      <c r="F23" t="inlineStr">
        <is>
          <t>4501081</t>
        </is>
      </c>
      <c r="G23" t="inlineStr">
        <is>
          <t>Servicio de apoyo para la atención de contravenciones y solución de conflictos de convivencia ciudadana</t>
        </is>
      </c>
      <c r="H23" t="inlineStr">
        <is>
          <t>450108100</t>
        </is>
      </c>
      <c r="I23" t="inlineStr">
        <is>
          <t>Casos atendidos</t>
        </is>
      </c>
      <c r="J23" t="inlineStr">
        <is>
          <t>2024257850041</t>
        </is>
      </c>
      <c r="K23" t="inlineStr">
        <is>
          <t>Si</t>
        </is>
      </c>
      <c r="L23" t="inlineStr">
        <is>
          <t>Número</t>
        </is>
      </c>
      <c r="M23">
        <v>3200</v>
      </c>
      <c r="N23">
        <v>800</v>
      </c>
      <c r="O23">
        <v>800</v>
      </c>
      <c r="P23">
        <v>800</v>
      </c>
      <c r="Q23">
        <v>800</v>
      </c>
      <c r="R23" t="inlineStr">
        <is>
          <t xml:space="preserve"> </t>
        </is>
      </c>
      <c r="S23" s="103" t="inlineStr">
        <is>
          <t xml:space="preserve"> </t>
        </is>
      </c>
      <c r="T23" t="inlineStr">
        <is>
          <t>No se encontró ejecución en PIIP</t>
        </is>
      </c>
      <c r="U23" t="inlineStr">
        <is>
          <t xml:space="preserve"> </t>
        </is>
      </c>
      <c r="V23" s="104" t="inlineStr">
        <is>
          <t xml:space="preserve"> </t>
        </is>
      </c>
      <c r="W23" t="inlineStr">
        <is>
          <t>No se encontró ejecución en PIIP</t>
        </is>
      </c>
    </row>
    <row r="24">
      <c r="A24" t="inlineStr">
        <is>
          <t>IP-17</t>
        </is>
      </c>
      <c r="B24" t="inlineStr">
        <is>
          <t>45</t>
        </is>
      </c>
      <c r="C24" t="inlineStr">
        <is>
          <t>Gobierno Territorial</t>
        </is>
      </c>
      <c r="D24" t="inlineStr">
        <is>
          <t>4501</t>
        </is>
      </c>
      <c r="E24" t="inlineStr">
        <is>
          <t>Fortalecimiento de la convivencia y la seguridad ciudadana</t>
        </is>
      </c>
      <c r="F24" t="inlineStr">
        <is>
          <t>4501001</t>
        </is>
      </c>
      <c r="G24" t="inlineStr">
        <is>
          <t>Servicio de asistencia técnica</t>
        </is>
      </c>
      <c r="H24" t="inlineStr">
        <is>
          <t>450100100</t>
        </is>
      </c>
      <c r="I24" t="inlineStr">
        <is>
          <t>Instancias territoriales asistidas técnicamente</t>
        </is>
      </c>
      <c r="J24" t="inlineStr">
        <is>
          <t>2024257850041</t>
        </is>
      </c>
      <c r="K24" t="inlineStr">
        <is>
          <t>Si</t>
        </is>
      </c>
      <c r="L24" t="inlineStr">
        <is>
          <t>Número</t>
        </is>
      </c>
      <c r="M24">
        <v>4</v>
      </c>
      <c r="N24">
        <v>1</v>
      </c>
      <c r="O24">
        <v>1</v>
      </c>
      <c r="P24">
        <v>1</v>
      </c>
      <c r="Q24">
        <v>1</v>
      </c>
      <c r="R24" t="inlineStr">
        <is>
          <t xml:space="preserve"> </t>
        </is>
      </c>
      <c r="S24" s="103" t="inlineStr">
        <is>
          <t xml:space="preserve"> </t>
        </is>
      </c>
      <c r="T24" t="inlineStr">
        <is>
          <t>No se encontró ejecución en PIIP</t>
        </is>
      </c>
      <c r="U24" t="inlineStr">
        <is>
          <t xml:space="preserve"> </t>
        </is>
      </c>
      <c r="V24" s="104" t="inlineStr">
        <is>
          <t xml:space="preserve"> </t>
        </is>
      </c>
      <c r="W24" t="inlineStr">
        <is>
          <t>No se encontró ejecución en PIIP</t>
        </is>
      </c>
    </row>
    <row r="25">
      <c r="A25" t="inlineStr">
        <is>
          <t>IP-18</t>
        </is>
      </c>
      <c r="B25" t="inlineStr">
        <is>
          <t>45</t>
        </is>
      </c>
      <c r="C25" t="inlineStr">
        <is>
          <t>Gobierno Territorial</t>
        </is>
      </c>
      <c r="D25" t="inlineStr">
        <is>
          <t>4501</t>
        </is>
      </c>
      <c r="E25" t="inlineStr">
        <is>
          <t>Fortalecimiento de la convivencia y la seguridad ciudadana</t>
        </is>
      </c>
      <c r="F25" t="inlineStr">
        <is>
          <t>4501041</t>
        </is>
      </c>
      <c r="G25" t="inlineStr">
        <is>
          <t>Infraestructura para la promoción a la cultura de la legalidad y a la convivencia dotada</t>
        </is>
      </c>
      <c r="H25" t="inlineStr">
        <is>
          <t>450104100</t>
        </is>
      </c>
      <c r="I25" t="inlineStr">
        <is>
          <t>Infraestructura para la promoción a la cultura de la legalidad y a la convivencia dotada</t>
        </is>
      </c>
      <c r="J25" t="inlineStr">
        <is>
          <t>202500000045208</t>
        </is>
      </c>
      <c r="K25" t="inlineStr">
        <is>
          <t>No</t>
        </is>
      </c>
      <c r="L25" t="inlineStr">
        <is>
          <t>Número</t>
        </is>
      </c>
      <c r="M25">
        <v>1</v>
      </c>
      <c r="N25">
        <v>0</v>
      </c>
      <c r="O25">
        <v>0</v>
      </c>
      <c r="P25">
        <v>1</v>
      </c>
      <c r="Q25">
        <v>0</v>
      </c>
      <c r="R25" t="inlineStr">
        <is>
          <t xml:space="preserve"> </t>
        </is>
      </c>
      <c r="S25" s="103" t="inlineStr">
        <is>
          <t xml:space="preserve"> </t>
        </is>
      </c>
      <c r="T25" t="inlineStr">
        <is>
          <t>No se encontró ejecución en PIIP</t>
        </is>
      </c>
      <c r="U25" t="inlineStr">
        <is>
          <t xml:space="preserve"> </t>
        </is>
      </c>
      <c r="V25" s="104" t="inlineStr">
        <is>
          <t xml:space="preserve"> </t>
        </is>
      </c>
      <c r="W25" t="inlineStr">
        <is>
          <t>No se encontró ejecución en PIIP</t>
        </is>
      </c>
    </row>
    <row r="26">
      <c r="A26" t="inlineStr">
        <is>
          <t>IP-19</t>
        </is>
      </c>
      <c r="B26" t="inlineStr">
        <is>
          <t>45</t>
        </is>
      </c>
      <c r="C26" t="inlineStr">
        <is>
          <t>Gobierno Territorial</t>
        </is>
      </c>
      <c r="D26" t="inlineStr">
        <is>
          <t>4501</t>
        </is>
      </c>
      <c r="E26" t="inlineStr">
        <is>
          <t>Fortalecimiento de la convivencia y la seguridad ciudadana</t>
        </is>
      </c>
      <c r="F26" t="inlineStr">
        <is>
          <t>4501057</t>
        </is>
      </c>
      <c r="G26" t="inlineStr">
        <is>
          <t>Servicio de apoyo financiero para dotar a miembros de la fuerza publica</t>
        </is>
      </c>
      <c r="H26" t="inlineStr">
        <is>
          <t>450105700</t>
        </is>
      </c>
      <c r="I26" t="inlineStr">
        <is>
          <t>Miembros de la fuerza publica apoyados</t>
        </is>
      </c>
      <c r="J26" t="inlineStr">
        <is>
          <t>2024257850041</t>
        </is>
      </c>
      <c r="K26" t="inlineStr">
        <is>
          <t>Si</t>
        </is>
      </c>
      <c r="L26" t="inlineStr">
        <is>
          <t>Número</t>
        </is>
      </c>
      <c r="M26">
        <v>4</v>
      </c>
      <c r="N26">
        <v>1</v>
      </c>
      <c r="O26">
        <v>1</v>
      </c>
      <c r="P26">
        <v>1</v>
      </c>
      <c r="Q26">
        <v>1</v>
      </c>
      <c r="R26" t="inlineStr">
        <is>
          <t xml:space="preserve"> </t>
        </is>
      </c>
      <c r="S26" s="103" t="inlineStr">
        <is>
          <t xml:space="preserve"> </t>
        </is>
      </c>
      <c r="T26" t="inlineStr">
        <is>
          <t>No se encontró ejecución en PIIP</t>
        </is>
      </c>
      <c r="U26" t="inlineStr">
        <is>
          <t xml:space="preserve"> </t>
        </is>
      </c>
      <c r="V26" s="104" t="inlineStr">
        <is>
          <t xml:space="preserve"> </t>
        </is>
      </c>
      <c r="W26" t="inlineStr">
        <is>
          <t>No se encontró ejecución en PIIP</t>
        </is>
      </c>
    </row>
    <row r="27">
      <c r="A27" t="inlineStr">
        <is>
          <t>IP-20</t>
        </is>
      </c>
      <c r="B27" t="inlineStr">
        <is>
          <t>45</t>
        </is>
      </c>
      <c r="C27" t="inlineStr">
        <is>
          <t>Gobierno Territorial</t>
        </is>
      </c>
      <c r="D27" t="inlineStr">
        <is>
          <t>4501</t>
        </is>
      </c>
      <c r="E27" t="inlineStr">
        <is>
          <t>Fortalecimiento de la convivencia y la seguridad ciudadana</t>
        </is>
      </c>
      <c r="F27" t="inlineStr">
        <is>
          <t>4501052</t>
        </is>
      </c>
      <c r="G27" t="inlineStr">
        <is>
          <t>Servicio de inteligencia técnica</t>
        </is>
      </c>
      <c r="H27" t="inlineStr">
        <is>
          <t>450105200</t>
        </is>
      </c>
      <c r="I27" t="inlineStr">
        <is>
          <t>Equipos para inteligencia adquiridos</t>
        </is>
      </c>
      <c r="J27" t="inlineStr">
        <is>
          <t>2024257850041</t>
        </is>
      </c>
      <c r="K27" t="inlineStr">
        <is>
          <t>No</t>
        </is>
      </c>
      <c r="L27" t="inlineStr">
        <is>
          <t>Número</t>
        </is>
      </c>
      <c r="M27">
        <v>5</v>
      </c>
      <c r="N27">
        <v>0</v>
      </c>
      <c r="O27">
        <v>0</v>
      </c>
      <c r="P27">
        <v>5</v>
      </c>
      <c r="Q27">
        <v>0</v>
      </c>
      <c r="R27">
        <v>1</v>
      </c>
      <c r="S27" s="103" t="inlineStr">
        <is>
          <t xml:space="preserve"> </t>
        </is>
      </c>
      <c r="T27" t="inlineStr">
        <is>
          <t>Se ejecutó un producto no programado en la vigencia</t>
        </is>
      </c>
      <c r="U27">
        <v>0</v>
      </c>
      <c r="V27" s="104" t="inlineStr">
        <is>
          <t xml:space="preserve"> </t>
        </is>
      </c>
      <c r="W27" t="inlineStr">
        <is>
          <t>No se programó ni ejecutó en la vigencia</t>
        </is>
      </c>
    </row>
    <row r="28">
      <c r="A28" t="inlineStr">
        <is>
          <t>IP-21</t>
        </is>
      </c>
      <c r="B28" t="inlineStr">
        <is>
          <t>45</t>
        </is>
      </c>
      <c r="C28" t="inlineStr">
        <is>
          <t>Gobierno Territorial</t>
        </is>
      </c>
      <c r="D28" t="inlineStr">
        <is>
          <t>4501</t>
        </is>
      </c>
      <c r="E28" t="inlineStr">
        <is>
          <t>Fortalecimiento de la convivencia y la seguridad ciudadana</t>
        </is>
      </c>
      <c r="F28" t="inlineStr">
        <is>
          <t>4501028</t>
        </is>
      </c>
      <c r="G28" t="inlineStr">
        <is>
          <t>Servicio de vigilancia a través de cámaras de seguridad</t>
        </is>
      </c>
      <c r="H28" t="inlineStr">
        <is>
          <t>450102801</t>
        </is>
      </c>
      <c r="I28" t="inlineStr">
        <is>
          <t>Cámaras de seguridad mantenidas</t>
        </is>
      </c>
      <c r="J28" t="inlineStr">
        <is>
          <t>2024257850041</t>
        </is>
      </c>
      <c r="K28" t="inlineStr">
        <is>
          <t>No</t>
        </is>
      </c>
      <c r="L28" t="inlineStr">
        <is>
          <t>Número</t>
        </is>
      </c>
      <c r="M28">
        <v>21</v>
      </c>
      <c r="N28">
        <v>21</v>
      </c>
      <c r="O28">
        <v>21</v>
      </c>
      <c r="P28">
        <v>21</v>
      </c>
      <c r="Q28">
        <v>21</v>
      </c>
      <c r="R28" t="inlineStr">
        <is>
          <t xml:space="preserve"> </t>
        </is>
      </c>
      <c r="S28" s="103" t="inlineStr">
        <is>
          <t xml:space="preserve"> </t>
        </is>
      </c>
      <c r="T28" t="inlineStr">
        <is>
          <t>No se encontró ejecución en PIIP</t>
        </is>
      </c>
      <c r="U28" t="inlineStr">
        <is>
          <t xml:space="preserve"> </t>
        </is>
      </c>
      <c r="V28" s="104" t="inlineStr">
        <is>
          <t xml:space="preserve"> </t>
        </is>
      </c>
      <c r="W28" t="inlineStr">
        <is>
          <t>No se encontró ejecución en PIIP</t>
        </is>
      </c>
    </row>
    <row r="29">
      <c r="A29" t="inlineStr">
        <is>
          <t>IP-22</t>
        </is>
      </c>
      <c r="B29" t="inlineStr">
        <is>
          <t>41</t>
        </is>
      </c>
      <c r="C29" t="inlineStr">
        <is>
          <t xml:space="preserve">Inclusión social y reconciliación </t>
        </is>
      </c>
      <c r="D29" t="inlineStr">
        <is>
          <t>4102</t>
        </is>
      </c>
      <c r="E29" t="inlineStr">
        <is>
          <t>Desarrollo integral de la primera infancia a la juventud, y fortalecimiento de las capacidades de las familias de niñas, niños y adolescentes</t>
        </is>
      </c>
      <c r="F29" t="inlineStr">
        <is>
          <t>4102035</t>
        </is>
      </c>
      <c r="G29" t="inlineStr">
        <is>
          <t>Documentos de lineamientos técnicos</t>
        </is>
      </c>
      <c r="H29" t="inlineStr">
        <is>
          <t>410203501</t>
        </is>
      </c>
      <c r="I29" t="inlineStr">
        <is>
          <t>Documentos de lineamientos técnicos en Política y Atención Integral de niños, niñas y adolescentes realizados</t>
        </is>
      </c>
      <c r="J29" t="inlineStr">
        <is>
          <t>202500000043455</t>
        </is>
      </c>
      <c r="K29" t="inlineStr">
        <is>
          <t>No</t>
        </is>
      </c>
      <c r="L29" t="inlineStr">
        <is>
          <t>Número</t>
        </is>
      </c>
      <c r="M29">
        <v>1</v>
      </c>
      <c r="N29">
        <v>0</v>
      </c>
      <c r="O29">
        <v>1</v>
      </c>
      <c r="P29">
        <v>0</v>
      </c>
      <c r="Q29">
        <v>0</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IP-23, IP-25</t>
        </is>
      </c>
      <c r="B30" t="inlineStr">
        <is>
          <t>41</t>
        </is>
      </c>
      <c r="C30" t="inlineStr">
        <is>
          <t xml:space="preserve">Inclusión social y reconciliación </t>
        </is>
      </c>
      <c r="D30" t="inlineStr">
        <is>
          <t>4103</t>
        </is>
      </c>
      <c r="E30" t="inlineStr">
        <is>
          <t>Inclusión social y productiva para la población en situación de vulnerabilidad</t>
        </is>
      </c>
      <c r="F30" t="inlineStr">
        <is>
          <t>4103052</t>
        </is>
      </c>
      <c r="G30" t="inlineStr">
        <is>
          <t>Servicio de gestión de oferta social para la población vulnerable</t>
        </is>
      </c>
      <c r="H30" t="inlineStr">
        <is>
          <t>410305201</t>
        </is>
      </c>
      <c r="I30" t="inlineStr">
        <is>
          <t>Beneficiarios de la oferta social atendidos</t>
        </is>
      </c>
      <c r="J30" t="inlineStr">
        <is>
          <t>2024257850011</t>
        </is>
      </c>
      <c r="K30" t="inlineStr">
        <is>
          <t>Si</t>
        </is>
      </c>
      <c r="L30" t="inlineStr">
        <is>
          <t>Número</t>
        </is>
      </c>
      <c r="M30">
        <v>2400</v>
      </c>
      <c r="N30">
        <v>300</v>
      </c>
      <c r="O30">
        <v>700</v>
      </c>
      <c r="P30">
        <v>700</v>
      </c>
      <c r="Q30">
        <v>700</v>
      </c>
      <c r="R30" t="inlineStr">
        <is>
          <t xml:space="preserve"> </t>
        </is>
      </c>
      <c r="S30" s="103" t="inlineStr">
        <is>
          <t xml:space="preserve"> </t>
        </is>
      </c>
      <c r="T30" t="inlineStr">
        <is>
          <t>No se encontró ejecución en PIIP</t>
        </is>
      </c>
      <c r="U30" t="inlineStr">
        <is>
          <t xml:space="preserve"> </t>
        </is>
      </c>
      <c r="V30" s="104" t="inlineStr">
        <is>
          <t xml:space="preserve"> </t>
        </is>
      </c>
      <c r="W30" t="inlineStr">
        <is>
          <t>No se encontró ejecución en PIIP</t>
        </is>
      </c>
    </row>
    <row r="31">
      <c r="A31" t="inlineStr">
        <is>
          <t>IP-24</t>
        </is>
      </c>
      <c r="B31" t="inlineStr">
        <is>
          <t>41</t>
        </is>
      </c>
      <c r="C31" t="inlineStr">
        <is>
          <t xml:space="preserve">Inclusión social y reconciliación </t>
        </is>
      </c>
      <c r="D31" t="inlineStr">
        <is>
          <t>4103</t>
        </is>
      </c>
      <c r="E31" t="inlineStr">
        <is>
          <t>Inclusión social y productiva para la población en situación de vulnerabilidad</t>
        </is>
      </c>
      <c r="F31" t="inlineStr">
        <is>
          <t>4103050</t>
        </is>
      </c>
      <c r="G31" t="inlineStr">
        <is>
          <t>Servicio de acompañamiento familiar y comunitario para la superación de la pobreza</t>
        </is>
      </c>
      <c r="H31" t="inlineStr">
        <is>
          <t>410305002</t>
        </is>
      </c>
      <c r="I31" t="inlineStr">
        <is>
          <t>Talleres de orientación para el bienestar comunitario realizados</t>
        </is>
      </c>
      <c r="J31" t="inlineStr">
        <is>
          <t>2024257850010</t>
        </is>
      </c>
      <c r="K31" t="inlineStr">
        <is>
          <t>No</t>
        </is>
      </c>
      <c r="L31" t="inlineStr">
        <is>
          <t>Número</t>
        </is>
      </c>
      <c r="M31">
        <v>347</v>
      </c>
      <c r="N31">
        <v>347</v>
      </c>
      <c r="O31">
        <v>347</v>
      </c>
      <c r="P31">
        <v>347</v>
      </c>
      <c r="Q31">
        <v>347</v>
      </c>
      <c r="R31" t="inlineStr">
        <is>
          <t xml:space="preserve"> </t>
        </is>
      </c>
      <c r="S31" s="103" t="inlineStr">
        <is>
          <t xml:space="preserve"> </t>
        </is>
      </c>
      <c r="T31" t="inlineStr">
        <is>
          <t>No se encontró ejecución en PIIP</t>
        </is>
      </c>
      <c r="U31" t="inlineStr">
        <is>
          <t xml:space="preserve"> </t>
        </is>
      </c>
      <c r="V31" s="104" t="inlineStr">
        <is>
          <t xml:space="preserve"> </t>
        </is>
      </c>
      <c r="W31" t="inlineStr">
        <is>
          <t>No se encontró ejecución en PIIP</t>
        </is>
      </c>
    </row>
    <row r="32">
      <c r="A32" t="inlineStr">
        <is>
          <t>IP-26</t>
        </is>
      </c>
      <c r="B32" t="inlineStr">
        <is>
          <t>41</t>
        </is>
      </c>
      <c r="C32" t="inlineStr">
        <is>
          <t xml:space="preserve">Inclusión social y reconciliación </t>
        </is>
      </c>
      <c r="D32" t="inlineStr">
        <is>
          <t>4104</t>
        </is>
      </c>
      <c r="E32" t="inlineStr">
        <is>
          <t>Atención integral de población en situación permanente de desprotección social y/o familiar</t>
        </is>
      </c>
      <c r="F32" t="inlineStr">
        <is>
          <t>4104020</t>
        </is>
      </c>
      <c r="G32" t="inlineStr">
        <is>
          <t>Servicio de atención integral a población en condición de discapacidad</t>
        </is>
      </c>
      <c r="H32" t="inlineStr">
        <is>
          <t>410402000</t>
        </is>
      </c>
      <c r="I32" t="inlineStr">
        <is>
          <t>Personas con discapacidad atendidas con servicios integrales</t>
        </is>
      </c>
      <c r="J32" t="inlineStr">
        <is>
          <t>2024257850009</t>
        </is>
      </c>
      <c r="K32" t="inlineStr">
        <is>
          <t>Si</t>
        </is>
      </c>
      <c r="L32" t="inlineStr">
        <is>
          <t>Número</t>
        </is>
      </c>
      <c r="M32">
        <v>320</v>
      </c>
      <c r="N32">
        <v>80</v>
      </c>
      <c r="O32">
        <v>80</v>
      </c>
      <c r="P32">
        <v>80</v>
      </c>
      <c r="Q32">
        <v>80</v>
      </c>
      <c r="R32" t="inlineStr">
        <is>
          <t xml:space="preserve"> </t>
        </is>
      </c>
      <c r="S32" s="103" t="inlineStr">
        <is>
          <t xml:space="preserve"> </t>
        </is>
      </c>
      <c r="T32" t="inlineStr">
        <is>
          <t>No se encontró ejecución en PIIP</t>
        </is>
      </c>
      <c r="U32" t="inlineStr">
        <is>
          <t xml:space="preserve"> </t>
        </is>
      </c>
      <c r="V32" s="104" t="inlineStr">
        <is>
          <t xml:space="preserve"> </t>
        </is>
      </c>
      <c r="W32" t="inlineStr">
        <is>
          <t>No se encontró ejecución en PIIP</t>
        </is>
      </c>
    </row>
    <row r="33">
      <c r="A33" t="inlineStr">
        <is>
          <t>IP-27</t>
        </is>
      </c>
      <c r="B33" t="inlineStr">
        <is>
          <t>41</t>
        </is>
      </c>
      <c r="C33" t="inlineStr">
        <is>
          <t xml:space="preserve">Inclusión social y reconciliación </t>
        </is>
      </c>
      <c r="D33" t="inlineStr">
        <is>
          <t>4103</t>
        </is>
      </c>
      <c r="E33" t="inlineStr">
        <is>
          <t>Inclusión social y productiva para la población en situación de vulnerabilidad</t>
        </is>
      </c>
      <c r="F33" t="inlineStr">
        <is>
          <t>4103052</t>
        </is>
      </c>
      <c r="G33" t="inlineStr">
        <is>
          <t>Servicio de gestión de oferta social para la población vulnerable</t>
        </is>
      </c>
      <c r="H33" t="inlineStr">
        <is>
          <t>410305200</t>
        </is>
      </c>
      <c r="I33" t="inlineStr">
        <is>
          <t>Beneficiarios potenciales para quienes se gestiona la oferta social</t>
        </is>
      </c>
      <c r="J33" t="inlineStr">
        <is>
          <t>2024257850010</t>
        </is>
      </c>
      <c r="K33" t="inlineStr">
        <is>
          <t>Si</t>
        </is>
      </c>
      <c r="L33" t="inlineStr">
        <is>
          <t>Número</t>
        </is>
      </c>
      <c r="M33">
        <v>800</v>
      </c>
      <c r="N33">
        <v>200</v>
      </c>
      <c r="O33">
        <v>200</v>
      </c>
      <c r="P33">
        <v>200</v>
      </c>
      <c r="Q33">
        <v>200</v>
      </c>
      <c r="R33" t="inlineStr">
        <is>
          <t xml:space="preserve"> </t>
        </is>
      </c>
      <c r="S33" s="103" t="inlineStr">
        <is>
          <t xml:space="preserve"> </t>
        </is>
      </c>
      <c r="T33" t="inlineStr">
        <is>
          <t>No se encontró ejecución en PIIP</t>
        </is>
      </c>
      <c r="U33" t="inlineStr">
        <is>
          <t xml:space="preserve"> </t>
        </is>
      </c>
      <c r="V33" s="104" t="inlineStr">
        <is>
          <t xml:space="preserve"> </t>
        </is>
      </c>
      <c r="W33" t="inlineStr">
        <is>
          <t>No se encontró ejecución en PIIP</t>
        </is>
      </c>
    </row>
    <row r="34">
      <c r="A34" t="inlineStr">
        <is>
          <t>IP-28</t>
        </is>
      </c>
      <c r="B34" t="inlineStr">
        <is>
          <t>45</t>
        </is>
      </c>
      <c r="C34" t="inlineStr">
        <is>
          <t>Gobierno Territorial</t>
        </is>
      </c>
      <c r="D34" t="inlineStr">
        <is>
          <t>4502</t>
        </is>
      </c>
      <c r="E34" t="inlineStr">
        <is>
          <t>Fortalecimiento del buen gobierno para el respeto y garantía de los derechos humanos.</t>
        </is>
      </c>
      <c r="F34" t="inlineStr">
        <is>
          <t>4502026</t>
        </is>
      </c>
      <c r="G34" t="inlineStr">
        <is>
          <t>Documentos normativos</t>
        </is>
      </c>
      <c r="H34" t="inlineStr">
        <is>
          <t>450202602</t>
        </is>
      </c>
      <c r="I34" t="inlineStr">
        <is>
          <t>Documentos normativos para la garantía de derechos de la población LGTBI formulados</t>
        </is>
      </c>
      <c r="J34" t="inlineStr">
        <is>
          <t/>
        </is>
      </c>
      <c r="K34" t="inlineStr">
        <is>
          <t>No</t>
        </is>
      </c>
      <c r="L34" t="inlineStr">
        <is>
          <t>Número</t>
        </is>
      </c>
      <c r="M34">
        <v>1</v>
      </c>
      <c r="N34">
        <v>0</v>
      </c>
      <c r="O34">
        <v>0</v>
      </c>
      <c r="P34">
        <v>0</v>
      </c>
      <c r="Q34">
        <v>1</v>
      </c>
      <c r="R34" t="inlineStr">
        <is>
          <t xml:space="preserve"> </t>
        </is>
      </c>
      <c r="S34" s="103" t="inlineStr">
        <is>
          <t xml:space="preserve"> </t>
        </is>
      </c>
      <c r="T34" t="inlineStr">
        <is>
          <t>Por falta de código BPIN, no se encontró ejecución en PIIP</t>
        </is>
      </c>
      <c r="U34" t="inlineStr">
        <is>
          <t xml:space="preserve"> </t>
        </is>
      </c>
      <c r="V34" s="104" t="inlineStr">
        <is>
          <t xml:space="preserve"> </t>
        </is>
      </c>
      <c r="W34" t="inlineStr">
        <is>
          <t>Por falta de código BPIN, no se encontró ejecución en PIIP</t>
        </is>
      </c>
    </row>
    <row r="35">
      <c r="A35" t="inlineStr">
        <is>
          <t>IP-29</t>
        </is>
      </c>
      <c r="B35" t="inlineStr">
        <is>
          <t>41</t>
        </is>
      </c>
      <c r="C35" t="inlineStr">
        <is>
          <t xml:space="preserve">Inclusión social y reconciliación </t>
        </is>
      </c>
      <c r="D35" t="inlineStr">
        <is>
          <t>4103</t>
        </is>
      </c>
      <c r="E35" t="inlineStr">
        <is>
          <t>Inclusión social y productiva para la población en situación de vulnerabilidad</t>
        </is>
      </c>
      <c r="F35" t="inlineStr">
        <is>
          <t>4103052</t>
        </is>
      </c>
      <c r="G35" t="inlineStr">
        <is>
          <t>Servicio de gestión de oferta social para la población vulnerable</t>
        </is>
      </c>
      <c r="H35" t="inlineStr">
        <is>
          <t>410305201</t>
        </is>
      </c>
      <c r="I35" t="inlineStr">
        <is>
          <t>Beneficiarios de la oferta social atendidos</t>
        </is>
      </c>
      <c r="J35" t="inlineStr">
        <is>
          <t/>
        </is>
      </c>
      <c r="K35" t="inlineStr">
        <is>
          <t>Si</t>
        </is>
      </c>
      <c r="L35" t="inlineStr">
        <is>
          <t>Número</t>
        </is>
      </c>
      <c r="M35">
        <v>1600</v>
      </c>
      <c r="N35">
        <v>400</v>
      </c>
      <c r="O35">
        <v>400</v>
      </c>
      <c r="P35">
        <v>400</v>
      </c>
      <c r="Q35">
        <v>400</v>
      </c>
      <c r="R35" t="inlineStr">
        <is>
          <t xml:space="preserve"> </t>
        </is>
      </c>
      <c r="S35" s="103" t="inlineStr">
        <is>
          <t xml:space="preserve"> </t>
        </is>
      </c>
      <c r="T35" t="inlineStr">
        <is>
          <t>Por falta de código BPIN, no se encontró ejecución en PIIP</t>
        </is>
      </c>
      <c r="U35" t="inlineStr">
        <is>
          <t xml:space="preserve"> </t>
        </is>
      </c>
      <c r="V35" s="104" t="inlineStr">
        <is>
          <t xml:space="preserve"> </t>
        </is>
      </c>
      <c r="W35" t="inlineStr">
        <is>
          <t>Por falta de código BPIN, no se encontró ejecución en PIIP</t>
        </is>
      </c>
    </row>
    <row r="36">
      <c r="A36" t="inlineStr">
        <is>
          <t>IP-30</t>
        </is>
      </c>
      <c r="B36" t="inlineStr">
        <is>
          <t>41</t>
        </is>
      </c>
      <c r="C36" t="inlineStr">
        <is>
          <t xml:space="preserve">Inclusión social y reconciliación </t>
        </is>
      </c>
      <c r="D36" t="inlineStr">
        <is>
          <t>4101</t>
        </is>
      </c>
      <c r="E36" t="inlineStr">
        <is>
          <t>Atención, asistencia y reparación integral a las víctimas</t>
        </is>
      </c>
      <c r="F36" t="inlineStr">
        <is>
          <t>4101100</t>
        </is>
      </c>
      <c r="G36" t="inlineStr">
        <is>
          <t>Servicio de asistencia humanitaria a víctimas del conflicto armado</t>
        </is>
      </c>
      <c r="H36" t="inlineStr">
        <is>
          <t>410110000</t>
        </is>
      </c>
      <c r="I36" t="inlineStr">
        <is>
          <t>Hogares víctimas con atención humanitaria</t>
        </is>
      </c>
      <c r="J36" t="inlineStr">
        <is>
          <t>2024257850006</t>
        </is>
      </c>
      <c r="K36" t="inlineStr">
        <is>
          <t>Si</t>
        </is>
      </c>
      <c r="L36" t="inlineStr">
        <is>
          <t>Número</t>
        </is>
      </c>
      <c r="M36">
        <v>8</v>
      </c>
      <c r="N36">
        <v>2</v>
      </c>
      <c r="O36">
        <v>2</v>
      </c>
      <c r="P36">
        <v>2</v>
      </c>
      <c r="Q36">
        <v>2</v>
      </c>
      <c r="R36" t="inlineStr">
        <is>
          <t xml:space="preserve"> </t>
        </is>
      </c>
      <c r="S36" s="103" t="inlineStr">
        <is>
          <t xml:space="preserve"> </t>
        </is>
      </c>
      <c r="T36" t="inlineStr">
        <is>
          <t>No se encontró ejecución en PIIP</t>
        </is>
      </c>
      <c r="U36" t="inlineStr">
        <is>
          <t xml:space="preserve"> </t>
        </is>
      </c>
      <c r="V36" s="104" t="inlineStr">
        <is>
          <t xml:space="preserve"> </t>
        </is>
      </c>
      <c r="W36" t="inlineStr">
        <is>
          <t>No se encontró ejecución en PIIP</t>
        </is>
      </c>
    </row>
    <row r="37">
      <c r="A37" t="inlineStr">
        <is>
          <t>IP-31</t>
        </is>
      </c>
      <c r="B37" t="inlineStr">
        <is>
          <t>41</t>
        </is>
      </c>
      <c r="C37" t="inlineStr">
        <is>
          <t xml:space="preserve">Inclusión social y reconciliación </t>
        </is>
      </c>
      <c r="D37" t="inlineStr">
        <is>
          <t>4101</t>
        </is>
      </c>
      <c r="E37" t="inlineStr">
        <is>
          <t>Atención, asistencia y reparación integral a las víctimas</t>
        </is>
      </c>
      <c r="F37" t="inlineStr">
        <is>
          <t>4101014</t>
        </is>
      </c>
      <c r="G37" t="inlineStr">
        <is>
          <t>Servicio de caracterización de la población víctima para su posterior atención, asistencia y reparación integral</t>
        </is>
      </c>
      <c r="H37" t="inlineStr">
        <is>
          <t>410101400</t>
        </is>
      </c>
      <c r="I37" t="inlineStr">
        <is>
          <t>Víctimas caracterizadas</t>
        </is>
      </c>
      <c r="J37" t="inlineStr">
        <is>
          <t>2024257850006</t>
        </is>
      </c>
      <c r="K37" t="inlineStr">
        <is>
          <t>No</t>
        </is>
      </c>
      <c r="L37" t="inlineStr">
        <is>
          <t>Número</t>
        </is>
      </c>
      <c r="M37">
        <v>320</v>
      </c>
      <c r="N37">
        <v>320</v>
      </c>
      <c r="O37">
        <v>320</v>
      </c>
      <c r="P37">
        <v>320</v>
      </c>
      <c r="Q37">
        <v>320</v>
      </c>
      <c r="R37">
        <v>0</v>
      </c>
      <c r="S37" s="103">
        <v>0</v>
      </c>
      <c r="T37" t="inlineStr">
        <is>
          <t>No se ejecutó en la vigencia</t>
        </is>
      </c>
      <c r="U37" t="inlineStr">
        <is>
          <t xml:space="preserve"> </t>
        </is>
      </c>
      <c r="V37" s="104" t="inlineStr">
        <is>
          <t xml:space="preserve"> </t>
        </is>
      </c>
      <c r="W37" t="inlineStr">
        <is>
          <t>No se encontró ejecución en PIIP</t>
        </is>
      </c>
    </row>
    <row r="38">
      <c r="A38" t="inlineStr">
        <is>
          <t>IP-32</t>
        </is>
      </c>
      <c r="B38" t="inlineStr">
        <is>
          <t>41</t>
        </is>
      </c>
      <c r="C38" t="inlineStr">
        <is>
          <t xml:space="preserve">Inclusión social y reconciliación </t>
        </is>
      </c>
      <c r="D38" t="inlineStr">
        <is>
          <t>4101</t>
        </is>
      </c>
      <c r="E38" t="inlineStr">
        <is>
          <t>Atención, asistencia y reparación integral a las víctimas</t>
        </is>
      </c>
      <c r="F38" t="inlineStr">
        <is>
          <t>4101073</t>
        </is>
      </c>
      <c r="G38" t="inlineStr">
        <is>
          <t>Servicio de apoyo para la generación de ingresos</t>
        </is>
      </c>
      <c r="H38" t="inlineStr">
        <is>
          <t>410107302</t>
        </is>
      </c>
      <c r="I38" t="inlineStr">
        <is>
          <t>Hogares que reciben incentivos en especie</t>
        </is>
      </c>
      <c r="J38" t="inlineStr">
        <is>
          <t>2024257850006</t>
        </is>
      </c>
      <c r="K38" t="inlineStr">
        <is>
          <t>Si</t>
        </is>
      </c>
      <c r="L38" t="inlineStr">
        <is>
          <t>Número</t>
        </is>
      </c>
      <c r="M38">
        <v>20</v>
      </c>
      <c r="N38">
        <v>0</v>
      </c>
      <c r="O38">
        <v>6</v>
      </c>
      <c r="P38">
        <v>7</v>
      </c>
      <c r="Q38">
        <v>7</v>
      </c>
      <c r="R38" t="inlineStr">
        <is>
          <t xml:space="preserve"> </t>
        </is>
      </c>
      <c r="S38" s="103" t="inlineStr">
        <is>
          <t xml:space="preserve"> </t>
        </is>
      </c>
      <c r="T38" t="inlineStr">
        <is>
          <t>No se encontró ejecución en PIIP</t>
        </is>
      </c>
      <c r="U38" t="inlineStr">
        <is>
          <t xml:space="preserve"> </t>
        </is>
      </c>
      <c r="V38" s="104" t="inlineStr">
        <is>
          <t xml:space="preserve"> </t>
        </is>
      </c>
      <c r="W38" t="inlineStr">
        <is>
          <t>No se encontró ejecución en PIIP</t>
        </is>
      </c>
    </row>
    <row r="39">
      <c r="A39" t="inlineStr">
        <is>
          <t>IP-33</t>
        </is>
      </c>
      <c r="B39" t="inlineStr">
        <is>
          <t>41</t>
        </is>
      </c>
      <c r="C39" t="inlineStr">
        <is>
          <t xml:space="preserve">Inclusión social y reconciliación </t>
        </is>
      </c>
      <c r="D39" t="inlineStr">
        <is>
          <t>4101</t>
        </is>
      </c>
      <c r="E39" t="inlineStr">
        <is>
          <t>Atención, asistencia y reparación integral a las víctimas</t>
        </is>
      </c>
      <c r="F39" t="inlineStr">
        <is>
          <t>4101038</t>
        </is>
      </c>
      <c r="G39" t="inlineStr">
        <is>
          <t>Servicio de asistencia técnica para la participación de las víctimas</t>
        </is>
      </c>
      <c r="H39" t="inlineStr">
        <is>
          <t>410103801</t>
        </is>
      </c>
      <c r="I39" t="inlineStr">
        <is>
          <t>Mesas de participación en funcionamiento</t>
        </is>
      </c>
      <c r="J39" t="inlineStr">
        <is>
          <t>2024257850006</t>
        </is>
      </c>
      <c r="K39" t="inlineStr">
        <is>
          <t>No</t>
        </is>
      </c>
      <c r="L39" t="inlineStr">
        <is>
          <t>Número</t>
        </is>
      </c>
      <c r="M39">
        <v>1</v>
      </c>
      <c r="N39">
        <v>1</v>
      </c>
      <c r="O39">
        <v>1</v>
      </c>
      <c r="P39">
        <v>1</v>
      </c>
      <c r="Q39">
        <v>1</v>
      </c>
      <c r="R39" t="inlineStr">
        <is>
          <t xml:space="preserve"> </t>
        </is>
      </c>
      <c r="S39" s="103" t="inlineStr">
        <is>
          <t xml:space="preserve"> </t>
        </is>
      </c>
      <c r="T39" t="inlineStr">
        <is>
          <t>No se encontró ejecución en PIIP</t>
        </is>
      </c>
      <c r="U39" t="inlineStr">
        <is>
          <t xml:space="preserve"> </t>
        </is>
      </c>
      <c r="V39" s="104" t="inlineStr">
        <is>
          <t xml:space="preserve"> </t>
        </is>
      </c>
      <c r="W39" t="inlineStr">
        <is>
          <t>No se encontró ejecución en PIIP</t>
        </is>
      </c>
    </row>
    <row r="40">
      <c r="A40" t="inlineStr">
        <is>
          <t>IP-34</t>
        </is>
      </c>
      <c r="B40" t="inlineStr">
        <is>
          <t>41</t>
        </is>
      </c>
      <c r="C40" t="inlineStr">
        <is>
          <t xml:space="preserve">Inclusión social y reconciliación </t>
        </is>
      </c>
      <c r="D40" t="inlineStr">
        <is>
          <t>4101</t>
        </is>
      </c>
      <c r="E40" t="inlineStr">
        <is>
          <t>Atención, asistencia y reparación integral a las víctimas</t>
        </is>
      </c>
      <c r="F40" t="inlineStr">
        <is>
          <t>4101092</t>
        </is>
      </c>
      <c r="G40" t="inlineStr">
        <is>
          <t>Servicios de satisfacción y garantías de no repetición a víctimas del conflicto armado</t>
        </is>
      </c>
      <c r="H40" t="inlineStr">
        <is>
          <t>410109201</t>
        </is>
      </c>
      <c r="I40" t="inlineStr">
        <is>
          <t>Actos simbólicos y de dignificación implementados</t>
        </is>
      </c>
      <c r="J40" t="inlineStr">
        <is>
          <t>2024257850006</t>
        </is>
      </c>
      <c r="K40" t="inlineStr">
        <is>
          <t>Si</t>
        </is>
      </c>
      <c r="L40" t="inlineStr">
        <is>
          <t>Número</t>
        </is>
      </c>
      <c r="M40">
        <v>4</v>
      </c>
      <c r="N40">
        <v>1</v>
      </c>
      <c r="O40">
        <v>1</v>
      </c>
      <c r="P40">
        <v>1</v>
      </c>
      <c r="Q40">
        <v>1</v>
      </c>
      <c r="R40" t="inlineStr">
        <is>
          <t xml:space="preserve"> </t>
        </is>
      </c>
      <c r="S40" s="103" t="inlineStr">
        <is>
          <t xml:space="preserve"> </t>
        </is>
      </c>
      <c r="T40" t="inlineStr">
        <is>
          <t>No se encontró ejecución en PIIP</t>
        </is>
      </c>
      <c r="U40" t="inlineStr">
        <is>
          <t xml:space="preserve"> </t>
        </is>
      </c>
      <c r="V40" s="104" t="inlineStr">
        <is>
          <t xml:space="preserve"> </t>
        </is>
      </c>
      <c r="W40" t="inlineStr">
        <is>
          <t>No se encontró ejecución en PIIP</t>
        </is>
      </c>
    </row>
    <row r="41">
      <c r="A41" t="inlineStr">
        <is>
          <t>IP-35</t>
        </is>
      </c>
      <c r="B41" t="inlineStr">
        <is>
          <t>41</t>
        </is>
      </c>
      <c r="C41" t="inlineStr">
        <is>
          <t xml:space="preserve">Inclusión social y reconciliación </t>
        </is>
      </c>
      <c r="D41" t="inlineStr">
        <is>
          <t>4102</t>
        </is>
      </c>
      <c r="E41" t="inlineStr">
        <is>
          <t>Desarrollo integral de la primera infancia a la juventud, y fortalecimiento de las capacidades de las familias de niñas, niños y adolescentes</t>
        </is>
      </c>
      <c r="F41" t="inlineStr">
        <is>
          <t>4102005</t>
        </is>
      </c>
      <c r="G41" t="inlineStr">
        <is>
          <t>Edificaciones de atención a la primera infancia adecuadas</t>
        </is>
      </c>
      <c r="H41" t="inlineStr">
        <is>
          <t>410200500</t>
        </is>
      </c>
      <c r="I41" t="inlineStr">
        <is>
          <t>Edificaciones de atención a la primera infancia adecuadas</t>
        </is>
      </c>
      <c r="J41" t="inlineStr">
        <is>
          <t>2024257850052</t>
        </is>
      </c>
      <c r="K41" t="inlineStr">
        <is>
          <t>No</t>
        </is>
      </c>
      <c r="L41" t="inlineStr">
        <is>
          <t>Número</t>
        </is>
      </c>
      <c r="M41">
        <v>1</v>
      </c>
      <c r="N41">
        <v>0</v>
      </c>
      <c r="O41">
        <v>1</v>
      </c>
      <c r="P41">
        <v>0</v>
      </c>
      <c r="Q41">
        <v>0</v>
      </c>
      <c r="R41" t="inlineStr">
        <is>
          <t xml:space="preserve"> </t>
        </is>
      </c>
      <c r="S41" s="103" t="inlineStr">
        <is>
          <t xml:space="preserve"> </t>
        </is>
      </c>
      <c r="T41" t="inlineStr">
        <is>
          <t>No se encontró ejecución en PIIP</t>
        </is>
      </c>
      <c r="U41" t="inlineStr">
        <is>
          <t xml:space="preserve"> </t>
        </is>
      </c>
      <c r="V41" s="104" t="inlineStr">
        <is>
          <t xml:space="preserve"> </t>
        </is>
      </c>
      <c r="W41" t="inlineStr">
        <is>
          <t>No se encontró ejecución en PIIP</t>
        </is>
      </c>
    </row>
    <row r="42">
      <c r="A42" t="inlineStr">
        <is>
          <t>IP-36</t>
        </is>
      </c>
      <c r="B42" t="inlineStr">
        <is>
          <t>41</t>
        </is>
      </c>
      <c r="C42" t="inlineStr">
        <is>
          <t xml:space="preserve">Inclusión social y reconciliación </t>
        </is>
      </c>
      <c r="D42" t="inlineStr">
        <is>
          <t>4103</t>
        </is>
      </c>
      <c r="E42" t="inlineStr">
        <is>
          <t>Inclusión social y productiva para la población en situación de vulnerabilidad</t>
        </is>
      </c>
      <c r="F42" t="inlineStr">
        <is>
          <t>4103025</t>
        </is>
      </c>
      <c r="G42" t="inlineStr">
        <is>
          <t>Centros comunitarios construidos</t>
        </is>
      </c>
      <c r="H42" t="inlineStr">
        <is>
          <t>410302500</t>
        </is>
      </c>
      <c r="I42" t="inlineStr">
        <is>
          <t>Centros comunitarios construidos</t>
        </is>
      </c>
      <c r="J42" t="inlineStr">
        <is>
          <t>202500000021272</t>
        </is>
      </c>
      <c r="K42" t="inlineStr">
        <is>
          <t>No</t>
        </is>
      </c>
      <c r="L42" t="inlineStr">
        <is>
          <t>Número</t>
        </is>
      </c>
      <c r="M42">
        <v>1</v>
      </c>
      <c r="N42">
        <v>0</v>
      </c>
      <c r="O42">
        <v>1</v>
      </c>
      <c r="P42">
        <v>0</v>
      </c>
      <c r="Q42">
        <v>0</v>
      </c>
      <c r="R42" t="inlineStr">
        <is>
          <t xml:space="preserve"> </t>
        </is>
      </c>
      <c r="S42" s="103" t="inlineStr">
        <is>
          <t xml:space="preserve"> </t>
        </is>
      </c>
      <c r="T42" t="inlineStr">
        <is>
          <t>No se encontró ejecución en PIIP</t>
        </is>
      </c>
      <c r="U42" t="inlineStr">
        <is>
          <t xml:space="preserve"> </t>
        </is>
      </c>
      <c r="V42" s="104" t="inlineStr">
        <is>
          <t xml:space="preserve"> </t>
        </is>
      </c>
      <c r="W42" t="inlineStr">
        <is>
          <t>No se encontró ejecución en PIIP</t>
        </is>
      </c>
    </row>
    <row r="43">
      <c r="A43" t="inlineStr">
        <is>
          <t>IP-37</t>
        </is>
      </c>
      <c r="B43" t="inlineStr">
        <is>
          <t>19</t>
        </is>
      </c>
      <c r="C43" t="inlineStr">
        <is>
          <t>Salud y protección social</t>
        </is>
      </c>
      <c r="D43" t="inlineStr">
        <is>
          <t>1906</t>
        </is>
      </c>
      <c r="E43" t="inlineStr">
        <is>
          <t>Aseguramiento y prestación integral de servicios de salud</t>
        </is>
      </c>
      <c r="F43" t="inlineStr">
        <is>
          <t>1906044</t>
        </is>
      </c>
      <c r="G43" t="inlineStr">
        <is>
          <t>Servicio de afiliaciones al régimen subsidiado del Sistema General de Seguridad Social</t>
        </is>
      </c>
      <c r="H43" t="inlineStr">
        <is>
          <t>190604400</t>
        </is>
      </c>
      <c r="I43" t="inlineStr">
        <is>
          <t>Personas afiliadas al régimen subsidiado</t>
        </is>
      </c>
      <c r="J43" t="inlineStr">
        <is>
          <t>2024257850017</t>
        </is>
      </c>
      <c r="K43" t="inlineStr">
        <is>
          <t>No</t>
        </is>
      </c>
      <c r="L43" t="inlineStr">
        <is>
          <t>Número</t>
        </is>
      </c>
      <c r="M43">
        <v>4285</v>
      </c>
      <c r="N43">
        <v>4285</v>
      </c>
      <c r="O43">
        <v>4285</v>
      </c>
      <c r="P43">
        <v>4285</v>
      </c>
      <c r="Q43">
        <v>4285</v>
      </c>
      <c r="R43" t="inlineStr">
        <is>
          <t xml:space="preserve"> </t>
        </is>
      </c>
      <c r="S43" s="103" t="inlineStr">
        <is>
          <t xml:space="preserve"> </t>
        </is>
      </c>
      <c r="T43" t="inlineStr">
        <is>
          <t>No se encontró ejecución en PIIP</t>
        </is>
      </c>
      <c r="U43" t="inlineStr">
        <is>
          <t xml:space="preserve"> </t>
        </is>
      </c>
      <c r="V43" s="104" t="inlineStr">
        <is>
          <t xml:space="preserve"> </t>
        </is>
      </c>
      <c r="W43" t="inlineStr">
        <is>
          <t>No se encontró ejecución en PIIP</t>
        </is>
      </c>
    </row>
    <row r="44">
      <c r="A44" t="inlineStr">
        <is>
          <t>IP-38</t>
        </is>
      </c>
      <c r="B44" t="inlineStr">
        <is>
          <t>19</t>
        </is>
      </c>
      <c r="C44" t="inlineStr">
        <is>
          <t>Salud y protección social</t>
        </is>
      </c>
      <c r="D44" t="inlineStr">
        <is>
          <t>1905</t>
        </is>
      </c>
      <c r="E44" t="inlineStr">
        <is>
          <t>Salud pública</t>
        </is>
      </c>
      <c r="F44" t="inlineStr">
        <is>
          <t>1905020</t>
        </is>
      </c>
      <c r="G44" t="inlineStr">
        <is>
          <t>Servicio de gestión del riesgo en temas de consumo de sustancias psicoactivas</t>
        </is>
      </c>
      <c r="H44" t="inlineStr">
        <is>
          <t>190502000</t>
        </is>
      </c>
      <c r="I44" t="inlineStr">
        <is>
          <t>Campañas de gestión del riesgo en temas de consumo de sustancias psicoactivas implementadas</t>
        </is>
      </c>
      <c r="J44" t="inlineStr">
        <is>
          <t>2024257850016</t>
        </is>
      </c>
      <c r="K44" t="inlineStr">
        <is>
          <t>Si</t>
        </is>
      </c>
      <c r="L44" t="inlineStr">
        <is>
          <t>Minutos</t>
        </is>
      </c>
      <c r="M44">
        <v>4</v>
      </c>
      <c r="N44">
        <v>1</v>
      </c>
      <c r="O44">
        <v>1</v>
      </c>
      <c r="P44">
        <v>1</v>
      </c>
      <c r="Q44">
        <v>1</v>
      </c>
      <c r="R44">
        <v>0</v>
      </c>
      <c r="S44" s="103">
        <v>0</v>
      </c>
      <c r="T44" t="inlineStr">
        <is>
          <t>No se ejecutó en la vigencia</t>
        </is>
      </c>
      <c r="U44" t="inlineStr">
        <is>
          <t xml:space="preserve"> </t>
        </is>
      </c>
      <c r="V44" s="104" t="inlineStr">
        <is>
          <t xml:space="preserve"> </t>
        </is>
      </c>
      <c r="W44" t="inlineStr">
        <is>
          <t>No se encontró ejecución en PIIP</t>
        </is>
      </c>
    </row>
    <row r="45">
      <c r="A45" t="inlineStr">
        <is>
          <t>IP-39</t>
        </is>
      </c>
      <c r="B45" t="inlineStr">
        <is>
          <t>19</t>
        </is>
      </c>
      <c r="C45" t="inlineStr">
        <is>
          <t>Salud y protección social</t>
        </is>
      </c>
      <c r="D45" t="inlineStr">
        <is>
          <t>1905</t>
        </is>
      </c>
      <c r="E45" t="inlineStr">
        <is>
          <t>Salud pública</t>
        </is>
      </c>
      <c r="F45" t="inlineStr">
        <is>
          <t>1905021</t>
        </is>
      </c>
      <c r="G45" t="inlineStr">
        <is>
          <t>Servicio de gestión del riesgo en temas de salud sexual y reproductiva</t>
        </is>
      </c>
      <c r="H45" t="inlineStr">
        <is>
          <t>190502100</t>
        </is>
      </c>
      <c r="I45" t="inlineStr">
        <is>
          <t>Campañas de gestión del riesgo en temas de salud sexual y reproductiva implementadas</t>
        </is>
      </c>
      <c r="J45" t="inlineStr">
        <is>
          <t>2024257850016</t>
        </is>
      </c>
      <c r="K45" t="inlineStr">
        <is>
          <t>Si</t>
        </is>
      </c>
      <c r="L45" t="inlineStr">
        <is>
          <t>Número</t>
        </is>
      </c>
      <c r="M45">
        <v>4</v>
      </c>
      <c r="N45">
        <v>1</v>
      </c>
      <c r="O45">
        <v>1</v>
      </c>
      <c r="P45">
        <v>1</v>
      </c>
      <c r="Q45">
        <v>1</v>
      </c>
      <c r="R45">
        <v>0</v>
      </c>
      <c r="S45" s="103">
        <v>0</v>
      </c>
      <c r="T45" t="inlineStr">
        <is>
          <t>No se ejecutó en la vigencia</t>
        </is>
      </c>
      <c r="U45" t="inlineStr">
        <is>
          <t xml:space="preserve"> </t>
        </is>
      </c>
      <c r="V45" s="104" t="inlineStr">
        <is>
          <t xml:space="preserve"> </t>
        </is>
      </c>
      <c r="W45" t="inlineStr">
        <is>
          <t>No se encontró ejecución en PIIP</t>
        </is>
      </c>
    </row>
    <row r="46">
      <c r="A46" t="inlineStr">
        <is>
          <t>IP-40</t>
        </is>
      </c>
      <c r="B46" t="inlineStr">
        <is>
          <t>19</t>
        </is>
      </c>
      <c r="C46" t="inlineStr">
        <is>
          <t>Salud y protección social</t>
        </is>
      </c>
      <c r="D46" t="inlineStr">
        <is>
          <t>1905</t>
        </is>
      </c>
      <c r="E46" t="inlineStr">
        <is>
          <t>Salud pública</t>
        </is>
      </c>
      <c r="F46" t="inlineStr">
        <is>
          <t>1905022</t>
        </is>
      </c>
      <c r="G46" t="inlineStr">
        <is>
          <t>Servicio de gestión del riesgo en temas de trastornos mentales</t>
        </is>
      </c>
      <c r="H46" t="inlineStr">
        <is>
          <t>190502200</t>
        </is>
      </c>
      <c r="I46" t="inlineStr">
        <is>
          <t>Campañas de gestión del riesgo en temas de trastornos mentales implementadas</t>
        </is>
      </c>
      <c r="J46" t="inlineStr">
        <is>
          <t>2024257850016</t>
        </is>
      </c>
      <c r="K46" t="inlineStr">
        <is>
          <t>Si</t>
        </is>
      </c>
      <c r="L46" t="inlineStr">
        <is>
          <t>Número</t>
        </is>
      </c>
      <c r="M46">
        <v>4</v>
      </c>
      <c r="N46">
        <v>1</v>
      </c>
      <c r="O46">
        <v>1</v>
      </c>
      <c r="P46">
        <v>1</v>
      </c>
      <c r="Q46">
        <v>1</v>
      </c>
      <c r="R46">
        <v>0</v>
      </c>
      <c r="S46" s="103">
        <v>0</v>
      </c>
      <c r="T46" t="inlineStr">
        <is>
          <t>No se ejecutó en la vigencia</t>
        </is>
      </c>
      <c r="U46" t="inlineStr">
        <is>
          <t xml:space="preserve"> </t>
        </is>
      </c>
      <c r="V46" s="104" t="inlineStr">
        <is>
          <t xml:space="preserve"> </t>
        </is>
      </c>
      <c r="W46" t="inlineStr">
        <is>
          <t>No se encontró ejecución en PIIP</t>
        </is>
      </c>
    </row>
    <row r="47">
      <c r="A47" t="inlineStr">
        <is>
          <t>IP-41</t>
        </is>
      </c>
      <c r="B47" t="inlineStr">
        <is>
          <t>19</t>
        </is>
      </c>
      <c r="C47" t="inlineStr">
        <is>
          <t>Salud y protección social</t>
        </is>
      </c>
      <c r="D47" t="inlineStr">
        <is>
          <t>1905</t>
        </is>
      </c>
      <c r="E47" t="inlineStr">
        <is>
          <t>Salud pública</t>
        </is>
      </c>
      <c r="F47" t="inlineStr">
        <is>
          <t>1905023</t>
        </is>
      </c>
      <c r="G47" t="inlineStr">
        <is>
          <t>Servicio de gestión del riesgo para abordar condiciones crónicas prevalentes</t>
        </is>
      </c>
      <c r="H47" t="inlineStr">
        <is>
          <t>190502300</t>
        </is>
      </c>
      <c r="I47" t="inlineStr">
        <is>
          <t>Campañas de gestión del riesgo para abordar condiciones crónicas prevalentes implementadas</t>
        </is>
      </c>
      <c r="J47" t="inlineStr">
        <is>
          <t>2024257850016</t>
        </is>
      </c>
      <c r="K47" t="inlineStr">
        <is>
          <t>Si</t>
        </is>
      </c>
      <c r="L47" t="inlineStr">
        <is>
          <t>Número</t>
        </is>
      </c>
      <c r="M47">
        <v>4</v>
      </c>
      <c r="N47">
        <v>1</v>
      </c>
      <c r="O47">
        <v>1</v>
      </c>
      <c r="P47">
        <v>1</v>
      </c>
      <c r="Q47">
        <v>1</v>
      </c>
      <c r="R47">
        <v>0</v>
      </c>
      <c r="S47" s="103">
        <v>0</v>
      </c>
      <c r="T47" t="inlineStr">
        <is>
          <t>No se ejecutó en la vigencia</t>
        </is>
      </c>
      <c r="U47" t="inlineStr">
        <is>
          <t xml:space="preserve"> </t>
        </is>
      </c>
      <c r="V47" s="104" t="inlineStr">
        <is>
          <t xml:space="preserve"> </t>
        </is>
      </c>
      <c r="W47" t="inlineStr">
        <is>
          <t>No se encontró ejecución en PIIP</t>
        </is>
      </c>
    </row>
    <row r="48">
      <c r="A48" t="inlineStr">
        <is>
          <t>IP-42</t>
        </is>
      </c>
      <c r="B48" t="inlineStr">
        <is>
          <t>19</t>
        </is>
      </c>
      <c r="C48" t="inlineStr">
        <is>
          <t>Salud y protección social</t>
        </is>
      </c>
      <c r="D48" t="inlineStr">
        <is>
          <t>1905</t>
        </is>
      </c>
      <c r="E48" t="inlineStr">
        <is>
          <t>Salud pública</t>
        </is>
      </c>
      <c r="F48" t="inlineStr">
        <is>
          <t>1905024</t>
        </is>
      </c>
      <c r="G48" t="inlineStr">
        <is>
          <t>Servicio de gestión del riesgo para abordar situaciones de salud relacionadas con condiciones ambientales</t>
        </is>
      </c>
      <c r="H48" t="inlineStr">
        <is>
          <t>190502400</t>
        </is>
      </c>
      <c r="I48" t="inlineStr">
        <is>
          <t>Campañas de gestión del riesgo para abordar situaciones de salud relacionadas con condiciones ambientales implementadas</t>
        </is>
      </c>
      <c r="J48" t="inlineStr">
        <is>
          <t>2024257850016</t>
        </is>
      </c>
      <c r="K48" t="inlineStr">
        <is>
          <t>Si</t>
        </is>
      </c>
      <c r="L48" t="inlineStr">
        <is>
          <t>Número</t>
        </is>
      </c>
      <c r="M48">
        <v>4</v>
      </c>
      <c r="N48">
        <v>1</v>
      </c>
      <c r="O48">
        <v>1</v>
      </c>
      <c r="P48">
        <v>1</v>
      </c>
      <c r="Q48">
        <v>1</v>
      </c>
      <c r="R48">
        <v>0</v>
      </c>
      <c r="S48" s="103">
        <v>0</v>
      </c>
      <c r="T48" t="inlineStr">
        <is>
          <t>No se ejecutó en la vigencia</t>
        </is>
      </c>
      <c r="U48" t="inlineStr">
        <is>
          <t xml:space="preserve"> </t>
        </is>
      </c>
      <c r="V48" s="104" t="inlineStr">
        <is>
          <t xml:space="preserve"> </t>
        </is>
      </c>
      <c r="W48" t="inlineStr">
        <is>
          <t>No se encontró ejecución en PIIP</t>
        </is>
      </c>
    </row>
    <row r="49">
      <c r="A49" t="inlineStr">
        <is>
          <t>IP-43</t>
        </is>
      </c>
      <c r="B49" t="inlineStr">
        <is>
          <t>19</t>
        </is>
      </c>
      <c r="C49" t="inlineStr">
        <is>
          <t>Salud y protección social</t>
        </is>
      </c>
      <c r="D49" t="inlineStr">
        <is>
          <t>1905</t>
        </is>
      </c>
      <c r="E49" t="inlineStr">
        <is>
          <t>Salud pública</t>
        </is>
      </c>
      <c r="F49" t="inlineStr">
        <is>
          <t>1905025</t>
        </is>
      </c>
      <c r="G49" t="inlineStr">
        <is>
          <t>Servicio de gestión del riesgo para abordar situaciones prevalentes de origen laboral</t>
        </is>
      </c>
      <c r="H49" t="inlineStr">
        <is>
          <t>190502500</t>
        </is>
      </c>
      <c r="I49" t="inlineStr">
        <is>
          <t>Campañas de gestión del riesgo para abordar situaciones prevalentes de origen laboral implementadas</t>
        </is>
      </c>
      <c r="J49" t="inlineStr">
        <is>
          <t>2024257850016</t>
        </is>
      </c>
      <c r="K49" t="inlineStr">
        <is>
          <t>Si</t>
        </is>
      </c>
      <c r="L49" t="inlineStr">
        <is>
          <t>Número</t>
        </is>
      </c>
      <c r="M49">
        <v>4</v>
      </c>
      <c r="N49">
        <v>1</v>
      </c>
      <c r="O49">
        <v>1</v>
      </c>
      <c r="P49">
        <v>1</v>
      </c>
      <c r="Q49">
        <v>1</v>
      </c>
      <c r="R49">
        <v>0</v>
      </c>
      <c r="S49" s="103">
        <v>0</v>
      </c>
      <c r="T49" t="inlineStr">
        <is>
          <t>No se ejecutó en la vigencia</t>
        </is>
      </c>
      <c r="U49" t="inlineStr">
        <is>
          <t xml:space="preserve"> </t>
        </is>
      </c>
      <c r="V49" s="104" t="inlineStr">
        <is>
          <t xml:space="preserve"> </t>
        </is>
      </c>
      <c r="W49" t="inlineStr">
        <is>
          <t>No se encontró ejecución en PIIP</t>
        </is>
      </c>
    </row>
    <row r="50">
      <c r="A50" t="inlineStr">
        <is>
          <t>IP-44</t>
        </is>
      </c>
      <c r="B50" t="inlineStr">
        <is>
          <t>19</t>
        </is>
      </c>
      <c r="C50" t="inlineStr">
        <is>
          <t>Salud y protección social</t>
        </is>
      </c>
      <c r="D50" t="inlineStr">
        <is>
          <t>1905</t>
        </is>
      </c>
      <c r="E50" t="inlineStr">
        <is>
          <t>Salud pública</t>
        </is>
      </c>
      <c r="F50" t="inlineStr">
        <is>
          <t>1905026</t>
        </is>
      </c>
      <c r="G50" t="inlineStr">
        <is>
          <t>Servicio de gestión del riesgo para enfermedades emergentes, reemergentes y desatendidas</t>
        </is>
      </c>
      <c r="H50" t="inlineStr">
        <is>
          <t>190502600</t>
        </is>
      </c>
      <c r="I50" t="inlineStr">
        <is>
          <t>Campañas de gestión del riesgo para enfermedades emergentes, reemergentes y desatendidas implementadas</t>
        </is>
      </c>
      <c r="J50" t="inlineStr">
        <is>
          <t>2024257850016</t>
        </is>
      </c>
      <c r="K50" t="inlineStr">
        <is>
          <t>Si</t>
        </is>
      </c>
      <c r="L50" t="inlineStr">
        <is>
          <t>Número</t>
        </is>
      </c>
      <c r="M50">
        <v>4</v>
      </c>
      <c r="N50">
        <v>1</v>
      </c>
      <c r="O50">
        <v>1</v>
      </c>
      <c r="P50">
        <v>1</v>
      </c>
      <c r="Q50">
        <v>1</v>
      </c>
      <c r="R50">
        <v>0</v>
      </c>
      <c r="S50" s="103">
        <v>0</v>
      </c>
      <c r="T50" t="inlineStr">
        <is>
          <t>No se ejecutó en la vigencia</t>
        </is>
      </c>
      <c r="U50" t="inlineStr">
        <is>
          <t xml:space="preserve"> </t>
        </is>
      </c>
      <c r="V50" s="104" t="inlineStr">
        <is>
          <t xml:space="preserve"> </t>
        </is>
      </c>
      <c r="W50" t="inlineStr">
        <is>
          <t>No se encontró ejecución en PIIP</t>
        </is>
      </c>
    </row>
    <row r="51">
      <c r="A51" t="inlineStr">
        <is>
          <t>IP-45</t>
        </is>
      </c>
      <c r="B51" t="inlineStr">
        <is>
          <t>19</t>
        </is>
      </c>
      <c r="C51" t="inlineStr">
        <is>
          <t>Salud y protección social</t>
        </is>
      </c>
      <c r="D51" t="inlineStr">
        <is>
          <t>1905</t>
        </is>
      </c>
      <c r="E51" t="inlineStr">
        <is>
          <t>Salud pública</t>
        </is>
      </c>
      <c r="F51" t="inlineStr">
        <is>
          <t>1905027</t>
        </is>
      </c>
      <c r="G51" t="inlineStr">
        <is>
          <t>Servicio de gestión del riesgo para enfermedades inmunoprevenibles</t>
        </is>
      </c>
      <c r="H51" t="inlineStr">
        <is>
          <t>190502700</t>
        </is>
      </c>
      <c r="I51" t="inlineStr">
        <is>
          <t>Campañas de gestión del riesgo para enfermedades inmunoprevenibles  implementadas</t>
        </is>
      </c>
      <c r="J51" t="inlineStr">
        <is>
          <t>2024257850016</t>
        </is>
      </c>
      <c r="K51" t="inlineStr">
        <is>
          <t>Si</t>
        </is>
      </c>
      <c r="L51" t="inlineStr">
        <is>
          <t>Número</t>
        </is>
      </c>
      <c r="M51">
        <v>4</v>
      </c>
      <c r="N51">
        <v>1</v>
      </c>
      <c r="O51">
        <v>1</v>
      </c>
      <c r="P51">
        <v>1</v>
      </c>
      <c r="Q51">
        <v>1</v>
      </c>
      <c r="R51">
        <v>0</v>
      </c>
      <c r="S51" s="103">
        <v>0</v>
      </c>
      <c r="T51" t="inlineStr">
        <is>
          <t>No se ejecutó en la vigencia</t>
        </is>
      </c>
      <c r="U51" t="inlineStr">
        <is>
          <t xml:space="preserve"> </t>
        </is>
      </c>
      <c r="V51" s="104" t="inlineStr">
        <is>
          <t xml:space="preserve"> </t>
        </is>
      </c>
      <c r="W51" t="inlineStr">
        <is>
          <t>No se encontró ejecución en PIIP</t>
        </is>
      </c>
    </row>
    <row r="52">
      <c r="A52" t="inlineStr">
        <is>
          <t>IP-46</t>
        </is>
      </c>
      <c r="B52" t="inlineStr">
        <is>
          <t>19</t>
        </is>
      </c>
      <c r="C52" t="inlineStr">
        <is>
          <t>Salud y protección social</t>
        </is>
      </c>
      <c r="D52" t="inlineStr">
        <is>
          <t>1905</t>
        </is>
      </c>
      <c r="E52" t="inlineStr">
        <is>
          <t>Salud pública</t>
        </is>
      </c>
      <c r="F52" t="inlineStr">
        <is>
          <t>1905028</t>
        </is>
      </c>
      <c r="G52" t="inlineStr">
        <is>
          <t>Servicio de gestión del riesgo para temas de consumo, aprovechamiento biológico, calidad e inocuidad de los alimentos</t>
        </is>
      </c>
      <c r="H52" t="inlineStr">
        <is>
          <t>190502800</t>
        </is>
      </c>
      <c r="I52" t="inlineStr">
        <is>
          <t>Campañas de gestión del riesgo para temas de consumo, aprovechamiento biológico, calidad e inocuidad de los alimentos implementadas</t>
        </is>
      </c>
      <c r="J52" t="inlineStr">
        <is>
          <t>2024257850016</t>
        </is>
      </c>
      <c r="K52" t="inlineStr">
        <is>
          <t>Si</t>
        </is>
      </c>
      <c r="L52" t="inlineStr">
        <is>
          <t>Número</t>
        </is>
      </c>
      <c r="M52">
        <v>4</v>
      </c>
      <c r="N52">
        <v>1</v>
      </c>
      <c r="O52">
        <v>1</v>
      </c>
      <c r="P52">
        <v>1</v>
      </c>
      <c r="Q52">
        <v>1</v>
      </c>
      <c r="R52">
        <v>0</v>
      </c>
      <c r="S52" s="103">
        <v>0</v>
      </c>
      <c r="T52" t="inlineStr">
        <is>
          <t>No se ejecutó en la vigencia</t>
        </is>
      </c>
      <c r="U52" t="inlineStr">
        <is>
          <t xml:space="preserve"> </t>
        </is>
      </c>
      <c r="V52" s="104" t="inlineStr">
        <is>
          <t xml:space="preserve"> </t>
        </is>
      </c>
      <c r="W52" t="inlineStr">
        <is>
          <t>No se encontró ejecución en PIIP</t>
        </is>
      </c>
    </row>
    <row r="53">
      <c r="A53" t="inlineStr">
        <is>
          <t>IP-47</t>
        </is>
      </c>
      <c r="B53" t="inlineStr">
        <is>
          <t>19</t>
        </is>
      </c>
      <c r="C53" t="inlineStr">
        <is>
          <t>Salud y protección social</t>
        </is>
      </c>
      <c r="D53" t="inlineStr">
        <is>
          <t>1905</t>
        </is>
      </c>
      <c r="E53" t="inlineStr">
        <is>
          <t>Salud pública</t>
        </is>
      </c>
      <c r="F53" t="inlineStr">
        <is>
          <t>1905031</t>
        </is>
      </c>
      <c r="G53" t="inlineStr">
        <is>
          <t>Servicio de promoción de la salud y prevención de riesgos asociados a condiciones no transmisibles</t>
        </is>
      </c>
      <c r="H53" t="inlineStr">
        <is>
          <t>190503100</t>
        </is>
      </c>
      <c r="I53" t="inlineStr">
        <is>
          <t>Campañas de promoción de la salud  y prevención de riesgos asociados a condiciones no transmisibles implementadas</t>
        </is>
      </c>
      <c r="J53" t="inlineStr">
        <is>
          <t>2024257850016</t>
        </is>
      </c>
      <c r="K53" t="inlineStr">
        <is>
          <t>Si</t>
        </is>
      </c>
      <c r="L53" t="inlineStr">
        <is>
          <t>Número</t>
        </is>
      </c>
      <c r="M53">
        <v>4</v>
      </c>
      <c r="N53">
        <v>1</v>
      </c>
      <c r="O53">
        <v>1</v>
      </c>
      <c r="P53">
        <v>1</v>
      </c>
      <c r="Q53">
        <v>1</v>
      </c>
      <c r="R53">
        <v>0</v>
      </c>
      <c r="S53" s="103">
        <v>0</v>
      </c>
      <c r="T53" t="inlineStr">
        <is>
          <t>No se ejecutó en la vigencia</t>
        </is>
      </c>
      <c r="U53" t="inlineStr">
        <is>
          <t xml:space="preserve"> </t>
        </is>
      </c>
      <c r="V53" s="104" t="inlineStr">
        <is>
          <t xml:space="preserve"> </t>
        </is>
      </c>
      <c r="W53" t="inlineStr">
        <is>
          <t>No se encontró ejecución en PIIP</t>
        </is>
      </c>
    </row>
    <row r="54">
      <c r="A54" t="inlineStr">
        <is>
          <t>IP-48</t>
        </is>
      </c>
      <c r="B54" t="inlineStr">
        <is>
          <t>19</t>
        </is>
      </c>
      <c r="C54" t="inlineStr">
        <is>
          <t>Salud y protección social</t>
        </is>
      </c>
      <c r="D54" t="inlineStr">
        <is>
          <t>1903</t>
        </is>
      </c>
      <c r="E54" t="inlineStr">
        <is>
          <t>Inspección, vigilancia y control</t>
        </is>
      </c>
      <c r="F54" t="inlineStr">
        <is>
          <t>1903016</t>
        </is>
      </c>
      <c r="G54" t="inlineStr">
        <is>
          <t>Servicio de auditoría y visitas inspectivas</t>
        </is>
      </c>
      <c r="H54" t="inlineStr">
        <is>
          <t>190301600</t>
        </is>
      </c>
      <c r="I54" t="inlineStr">
        <is>
          <t>auditorías y visitas inspectivas realizadas</t>
        </is>
      </c>
      <c r="J54" t="inlineStr">
        <is>
          <t>2024257850018</t>
        </is>
      </c>
      <c r="K54" t="inlineStr">
        <is>
          <t>Si</t>
        </is>
      </c>
      <c r="L54" t="inlineStr">
        <is>
          <t>Número</t>
        </is>
      </c>
      <c r="M54">
        <v>4</v>
      </c>
      <c r="N54">
        <v>1</v>
      </c>
      <c r="O54">
        <v>1</v>
      </c>
      <c r="P54">
        <v>1</v>
      </c>
      <c r="Q54">
        <v>1</v>
      </c>
      <c r="R54">
        <v>0</v>
      </c>
      <c r="S54" s="103">
        <v>0</v>
      </c>
      <c r="T54" t="inlineStr">
        <is>
          <t>No se ejecutó en la vigencia</t>
        </is>
      </c>
      <c r="U54">
        <v>1</v>
      </c>
      <c r="V54" s="104">
        <v>1</v>
      </c>
      <c r="W54" t="inlineStr">
        <is>
          <t>Se ejecutó el 100% de lo programado en la vigencia</t>
        </is>
      </c>
    </row>
    <row r="55">
      <c r="A55" t="inlineStr">
        <is>
          <t>IP-49</t>
        </is>
      </c>
      <c r="B55" t="inlineStr">
        <is>
          <t>19</t>
        </is>
      </c>
      <c r="C55" t="inlineStr">
        <is>
          <t>Salud y protección social</t>
        </is>
      </c>
      <c r="D55" t="inlineStr">
        <is>
          <t>1903</t>
        </is>
      </c>
      <c r="E55" t="inlineStr">
        <is>
          <t>Inspección, vigilancia y control</t>
        </is>
      </c>
      <c r="F55" t="inlineStr">
        <is>
          <t>1903031</t>
        </is>
      </c>
      <c r="G55" t="inlineStr">
        <is>
          <t>Servicio de información de vigilancia epidemiológica</t>
        </is>
      </c>
      <c r="H55" t="inlineStr">
        <is>
          <t>190303100</t>
        </is>
      </c>
      <c r="I55" t="inlineStr">
        <is>
          <t>Informes de evento generados en la vigencia</t>
        </is>
      </c>
      <c r="J55" t="inlineStr">
        <is>
          <t>2024257850018</t>
        </is>
      </c>
      <c r="K55" t="inlineStr">
        <is>
          <t>Si</t>
        </is>
      </c>
      <c r="L55" t="inlineStr">
        <is>
          <t>Número</t>
        </is>
      </c>
      <c r="M55">
        <v>208</v>
      </c>
      <c r="N55">
        <v>52</v>
      </c>
      <c r="O55">
        <v>52</v>
      </c>
      <c r="P55">
        <v>52</v>
      </c>
      <c r="Q55">
        <v>52</v>
      </c>
      <c r="R55">
        <v>0</v>
      </c>
      <c r="S55" s="103">
        <v>0</v>
      </c>
      <c r="T55" t="inlineStr">
        <is>
          <t>No se ejecutó en la vigencia</t>
        </is>
      </c>
      <c r="U55">
        <v>1</v>
      </c>
      <c r="V55" s="104">
        <v>0.0192307692307692</v>
      </c>
      <c r="W55" t="inlineStr">
        <is>
          <t>Lo ejecutado está por debajo de lo programado en la vigencia</t>
        </is>
      </c>
    </row>
    <row r="56">
      <c r="A56" t="inlineStr">
        <is>
          <t>IP-50</t>
        </is>
      </c>
      <c r="B56" t="inlineStr">
        <is>
          <t>19</t>
        </is>
      </c>
      <c r="C56" t="inlineStr">
        <is>
          <t>Salud y protección social</t>
        </is>
      </c>
      <c r="D56" t="inlineStr">
        <is>
          <t>1903</t>
        </is>
      </c>
      <c r="E56" t="inlineStr">
        <is>
          <t>Inspección, vigilancia y control</t>
        </is>
      </c>
      <c r="F56" t="inlineStr">
        <is>
          <t>1903051</t>
        </is>
      </c>
      <c r="G56" t="inlineStr">
        <is>
          <t>Documentos de planeación</t>
        </is>
      </c>
      <c r="H56" t="inlineStr">
        <is>
          <t>190305100</t>
        </is>
      </c>
      <c r="I56" t="inlineStr">
        <is>
          <t>Documentos de planeación realizados</t>
        </is>
      </c>
      <c r="J56" t="inlineStr">
        <is>
          <t>202500000044432</t>
        </is>
      </c>
      <c r="K56" t="inlineStr">
        <is>
          <t>Si</t>
        </is>
      </c>
      <c r="L56" t="inlineStr">
        <is>
          <t>Número</t>
        </is>
      </c>
      <c r="M56">
        <v>4</v>
      </c>
      <c r="N56">
        <v>1</v>
      </c>
      <c r="O56">
        <v>1</v>
      </c>
      <c r="P56">
        <v>1</v>
      </c>
      <c r="Q56">
        <v>1</v>
      </c>
      <c r="R56" t="inlineStr">
        <is>
          <t xml:space="preserve"> </t>
        </is>
      </c>
      <c r="S56" s="103" t="inlineStr">
        <is>
          <t xml:space="preserve"> </t>
        </is>
      </c>
      <c r="T56" t="inlineStr">
        <is>
          <t>No se encontró ejecución en PIIP</t>
        </is>
      </c>
      <c r="U56" t="inlineStr">
        <is>
          <t xml:space="preserve"> </t>
        </is>
      </c>
      <c r="V56" s="104" t="inlineStr">
        <is>
          <t xml:space="preserve"> </t>
        </is>
      </c>
      <c r="W56" t="inlineStr">
        <is>
          <t>No se encontró ejecución en PIIP</t>
        </is>
      </c>
    </row>
    <row r="57">
      <c r="A57" t="inlineStr">
        <is>
          <t>IP-51</t>
        </is>
      </c>
      <c r="B57" t="inlineStr">
        <is>
          <t>19</t>
        </is>
      </c>
      <c r="C57" t="inlineStr">
        <is>
          <t>Salud y protección social</t>
        </is>
      </c>
      <c r="D57" t="inlineStr">
        <is>
          <t>1903</t>
        </is>
      </c>
      <c r="E57" t="inlineStr">
        <is>
          <t>Inspección, vigilancia y control</t>
        </is>
      </c>
      <c r="F57" t="inlineStr">
        <is>
          <t>1903052</t>
        </is>
      </c>
      <c r="G57" t="inlineStr">
        <is>
          <t>Documentos de evaluación</t>
        </is>
      </c>
      <c r="H57" t="inlineStr">
        <is>
          <t>190305200</t>
        </is>
      </c>
      <c r="I57" t="inlineStr">
        <is>
          <t>Documentos de evaluación realizados</t>
        </is>
      </c>
      <c r="J57" t="inlineStr">
        <is>
          <t>2024257850018</t>
        </is>
      </c>
      <c r="K57" t="inlineStr">
        <is>
          <t>Si</t>
        </is>
      </c>
      <c r="L57" t="inlineStr">
        <is>
          <t>Número</t>
        </is>
      </c>
      <c r="M57">
        <v>4</v>
      </c>
      <c r="N57">
        <v>1</v>
      </c>
      <c r="O57">
        <v>1</v>
      </c>
      <c r="P57">
        <v>1</v>
      </c>
      <c r="Q57">
        <v>1</v>
      </c>
      <c r="R57">
        <v>0</v>
      </c>
      <c r="S57" s="103">
        <v>0</v>
      </c>
      <c r="T57" t="inlineStr">
        <is>
          <t>No se ejecutó en la vigencia</t>
        </is>
      </c>
      <c r="U57">
        <v>1</v>
      </c>
      <c r="V57" s="104">
        <v>1</v>
      </c>
      <c r="W57" t="inlineStr">
        <is>
          <t>Se ejecutó el 100% de lo programado en la vigencia</t>
        </is>
      </c>
    </row>
    <row r="58">
      <c r="A58" t="inlineStr">
        <is>
          <t>IP-52</t>
        </is>
      </c>
      <c r="B58" t="inlineStr">
        <is>
          <t>19</t>
        </is>
      </c>
      <c r="C58" t="inlineStr">
        <is>
          <t>Salud y protección social</t>
        </is>
      </c>
      <c r="D58" t="inlineStr">
        <is>
          <t>1905</t>
        </is>
      </c>
      <c r="E58" t="inlineStr">
        <is>
          <t>Salud pública</t>
        </is>
      </c>
      <c r="F58" t="inlineStr">
        <is>
          <t>1905049</t>
        </is>
      </c>
      <c r="G58" t="inlineStr">
        <is>
          <t>Servicio de promoción de la participación social en salud</t>
        </is>
      </c>
      <c r="H58" t="inlineStr">
        <is>
          <t>190504902</t>
        </is>
      </c>
      <c r="I58" t="inlineStr">
        <is>
          <t>Mecanismos y espacios de participación social en salud conformados</t>
        </is>
      </c>
      <c r="J58" t="inlineStr">
        <is>
          <t>2024257850016</t>
        </is>
      </c>
      <c r="K58" t="inlineStr">
        <is>
          <t>No</t>
        </is>
      </c>
      <c r="L58" t="inlineStr">
        <is>
          <t>Número</t>
        </is>
      </c>
      <c r="M58">
        <v>3</v>
      </c>
      <c r="N58">
        <v>3</v>
      </c>
      <c r="O58">
        <v>3</v>
      </c>
      <c r="P58">
        <v>3</v>
      </c>
      <c r="Q58">
        <v>3</v>
      </c>
      <c r="R58" t="inlineStr">
        <is>
          <t xml:space="preserve"> </t>
        </is>
      </c>
      <c r="S58" s="103" t="inlineStr">
        <is>
          <t xml:space="preserve"> </t>
        </is>
      </c>
      <c r="T58" t="inlineStr">
        <is>
          <t>No se encontró ejecución en PIIP</t>
        </is>
      </c>
      <c r="U58" t="inlineStr">
        <is>
          <t xml:space="preserve"> </t>
        </is>
      </c>
      <c r="V58" s="104" t="inlineStr">
        <is>
          <t xml:space="preserve"> </t>
        </is>
      </c>
      <c r="W58" t="inlineStr">
        <is>
          <t>No se encontró ejecución en PIIP</t>
        </is>
      </c>
    </row>
    <row r="59">
      <c r="A59" t="inlineStr">
        <is>
          <t>IP-53</t>
        </is>
      </c>
      <c r="B59" t="inlineStr">
        <is>
          <t>22</t>
        </is>
      </c>
      <c r="C59" t="inlineStr">
        <is>
          <t>Educación</t>
        </is>
      </c>
      <c r="D59" t="inlineStr">
        <is>
          <t>2201</t>
        </is>
      </c>
      <c r="E59" t="inlineStr">
        <is>
          <t>Calidad, cobertura y fortalecimiento de la educación inicial, prescolar, básica y media</t>
        </is>
      </c>
      <c r="F59" t="inlineStr">
        <is>
          <t>2201029</t>
        </is>
      </c>
      <c r="G59" t="inlineStr">
        <is>
          <t>Servicio de apoyo a la permanencia con transporte escolar</t>
        </is>
      </c>
      <c r="H59" t="inlineStr">
        <is>
          <t>220102900</t>
        </is>
      </c>
      <c r="I59" t="inlineStr">
        <is>
          <t>Beneficiarios de transporte escolar</t>
        </is>
      </c>
      <c r="J59" t="inlineStr">
        <is>
          <t>2024257850012</t>
        </is>
      </c>
      <c r="K59" t="inlineStr">
        <is>
          <t>Si</t>
        </is>
      </c>
      <c r="L59" t="inlineStr">
        <is>
          <t>Número</t>
        </is>
      </c>
      <c r="M59">
        <v>720</v>
      </c>
      <c r="N59">
        <v>180</v>
      </c>
      <c r="O59">
        <v>180</v>
      </c>
      <c r="P59">
        <v>180</v>
      </c>
      <c r="Q59">
        <v>180</v>
      </c>
      <c r="R59" t="inlineStr">
        <is>
          <t xml:space="preserve"> </t>
        </is>
      </c>
      <c r="S59" s="103" t="inlineStr">
        <is>
          <t xml:space="preserve"> </t>
        </is>
      </c>
      <c r="T59" t="inlineStr">
        <is>
          <t>No se encontró ejecución en PIIP</t>
        </is>
      </c>
      <c r="U59" t="inlineStr">
        <is>
          <t xml:space="preserve"> </t>
        </is>
      </c>
      <c r="V59" s="104" t="inlineStr">
        <is>
          <t xml:space="preserve"> </t>
        </is>
      </c>
      <c r="W59" t="inlineStr">
        <is>
          <t>No se encontró ejecución en PIIP</t>
        </is>
      </c>
    </row>
    <row r="60">
      <c r="A60" t="inlineStr">
        <is>
          <t>IP-54</t>
        </is>
      </c>
      <c r="B60" t="inlineStr">
        <is>
          <t>22</t>
        </is>
      </c>
      <c r="C60" t="inlineStr">
        <is>
          <t>Educación</t>
        </is>
      </c>
      <c r="D60" t="inlineStr">
        <is>
          <t>2201</t>
        </is>
      </c>
      <c r="E60" t="inlineStr">
        <is>
          <t>Calidad, cobertura y fortalecimiento de la educación inicial, prescolar, básica y media</t>
        </is>
      </c>
      <c r="F60" t="inlineStr">
        <is>
          <t>2201079</t>
        </is>
      </c>
      <c r="G60" t="inlineStr">
        <is>
          <t>Servicio de apoyo financiero a entidades territoriales para la ejecución de estrategias de permanencia con alimentación escolar</t>
        </is>
      </c>
      <c r="H60" t="inlineStr">
        <is>
          <t>220107901</t>
        </is>
      </c>
      <c r="I60" t="inlineStr">
        <is>
          <t>Estudiantes beneficiados del programa de alimentación escolar con recursos del departamento</t>
        </is>
      </c>
      <c r="J60" t="inlineStr">
        <is>
          <t>2024257850014</t>
        </is>
      </c>
      <c r="K60" t="inlineStr">
        <is>
          <t>No</t>
        </is>
      </c>
      <c r="L60" t="inlineStr">
        <is>
          <t>Número</t>
        </is>
      </c>
      <c r="M60">
        <v>3082</v>
      </c>
      <c r="N60">
        <v>3082</v>
      </c>
      <c r="O60">
        <v>3082</v>
      </c>
      <c r="P60">
        <v>3082</v>
      </c>
      <c r="Q60">
        <v>3082</v>
      </c>
      <c r="R60" t="inlineStr">
        <is>
          <t xml:space="preserve"> </t>
        </is>
      </c>
      <c r="S60" s="103" t="inlineStr">
        <is>
          <t xml:space="preserve"> </t>
        </is>
      </c>
      <c r="T60" t="inlineStr">
        <is>
          <t>No se encontró ejecución en PIIP</t>
        </is>
      </c>
      <c r="U60" t="inlineStr">
        <is>
          <t xml:space="preserve"> </t>
        </is>
      </c>
      <c r="V60" s="104" t="inlineStr">
        <is>
          <t xml:space="preserve"> </t>
        </is>
      </c>
      <c r="W60" t="inlineStr">
        <is>
          <t>No se encontró ejecución en PIIP</t>
        </is>
      </c>
    </row>
    <row r="61">
      <c r="A61" t="inlineStr">
        <is>
          <t>IP-55</t>
        </is>
      </c>
      <c r="B61" t="inlineStr">
        <is>
          <t>22</t>
        </is>
      </c>
      <c r="C61" t="inlineStr">
        <is>
          <t>Educación</t>
        </is>
      </c>
      <c r="D61" t="inlineStr">
        <is>
          <t>2201</t>
        </is>
      </c>
      <c r="E61" t="inlineStr">
        <is>
          <t>Calidad, cobertura y fortalecimiento de la educación inicial, prescolar, básica y media</t>
        </is>
      </c>
      <c r="F61" t="inlineStr">
        <is>
          <t>2201073</t>
        </is>
      </c>
      <c r="G61" t="inlineStr">
        <is>
          <t>Servicio de evaluación de la calidad de la educación inicial, preescolar, básica y media</t>
        </is>
      </c>
      <c r="H61" t="inlineStr">
        <is>
          <t>220107308</t>
        </is>
      </c>
      <c r="I61" t="inlineStr">
        <is>
          <t>Simulacros realizados</t>
        </is>
      </c>
      <c r="J61" t="inlineStr">
        <is>
          <t>2024257850013</t>
        </is>
      </c>
      <c r="K61" t="inlineStr">
        <is>
          <t>Si</t>
        </is>
      </c>
      <c r="L61" t="inlineStr">
        <is>
          <t>Número</t>
        </is>
      </c>
      <c r="M61">
        <v>4</v>
      </c>
      <c r="N61">
        <v>1</v>
      </c>
      <c r="O61">
        <v>1</v>
      </c>
      <c r="P61">
        <v>1</v>
      </c>
      <c r="Q61">
        <v>1</v>
      </c>
      <c r="R61" t="inlineStr">
        <is>
          <t xml:space="preserve"> </t>
        </is>
      </c>
      <c r="S61" s="103" t="inlineStr">
        <is>
          <t xml:space="preserve"> </t>
        </is>
      </c>
      <c r="T61" t="inlineStr">
        <is>
          <t>No se encontró ejecución en PIIP</t>
        </is>
      </c>
      <c r="U61" t="inlineStr">
        <is>
          <t xml:space="preserve"> </t>
        </is>
      </c>
      <c r="V61" s="104" t="inlineStr">
        <is>
          <t xml:space="preserve"> </t>
        </is>
      </c>
      <c r="W61" t="inlineStr">
        <is>
          <t>No se encontró ejecución en PIIP</t>
        </is>
      </c>
    </row>
    <row r="62">
      <c r="A62" t="inlineStr">
        <is>
          <t>IP-56</t>
        </is>
      </c>
      <c r="B62" t="inlineStr">
        <is>
          <t>22</t>
        </is>
      </c>
      <c r="C62" t="inlineStr">
        <is>
          <t>Educación</t>
        </is>
      </c>
      <c r="D62" t="inlineStr">
        <is>
          <t>2201</t>
        </is>
      </c>
      <c r="E62" t="inlineStr">
        <is>
          <t>Calidad, cobertura y fortalecimiento de la educación inicial, prescolar, básica y media</t>
        </is>
      </c>
      <c r="F62" t="inlineStr">
        <is>
          <t>2201071</t>
        </is>
      </c>
      <c r="G62" t="inlineStr">
        <is>
          <t>Servicio educativo</t>
        </is>
      </c>
      <c r="H62" t="inlineStr">
        <is>
          <t>220107101</t>
        </is>
      </c>
      <c r="I62" t="inlineStr">
        <is>
          <t>Establecimientos educativos con recursos del Sistema General de Participaciones -SGP- en operación</t>
        </is>
      </c>
      <c r="J62" t="inlineStr">
        <is>
          <t>2024257850013</t>
        </is>
      </c>
      <c r="K62" t="inlineStr">
        <is>
          <t>No</t>
        </is>
      </c>
      <c r="L62" t="inlineStr">
        <is>
          <t>Número</t>
        </is>
      </c>
      <c r="M62">
        <v>2</v>
      </c>
      <c r="N62">
        <v>2</v>
      </c>
      <c r="O62">
        <v>2</v>
      </c>
      <c r="P62">
        <v>2</v>
      </c>
      <c r="Q62">
        <v>2</v>
      </c>
      <c r="R62" t="inlineStr">
        <is>
          <t xml:space="preserve"> </t>
        </is>
      </c>
      <c r="S62" s="103" t="inlineStr">
        <is>
          <t xml:space="preserve"> </t>
        </is>
      </c>
      <c r="T62" t="inlineStr">
        <is>
          <t>No se encontró ejecución en PIIP</t>
        </is>
      </c>
      <c r="U62" t="inlineStr">
        <is>
          <t xml:space="preserve"> </t>
        </is>
      </c>
      <c r="V62" s="104" t="inlineStr">
        <is>
          <t xml:space="preserve"> </t>
        </is>
      </c>
      <c r="W62" t="inlineStr">
        <is>
          <t>No se encontró ejecución en PIIP</t>
        </is>
      </c>
    </row>
    <row r="63">
      <c r="A63" t="inlineStr">
        <is>
          <t>IP-57</t>
        </is>
      </c>
      <c r="B63" t="inlineStr">
        <is>
          <t>22</t>
        </is>
      </c>
      <c r="C63" t="inlineStr">
        <is>
          <t>Educación</t>
        </is>
      </c>
      <c r="D63" t="inlineStr">
        <is>
          <t>2202</t>
        </is>
      </c>
      <c r="E63" t="inlineStr">
        <is>
          <t>Calidad y fomento de la educación superior</t>
        </is>
      </c>
      <c r="F63" t="inlineStr">
        <is>
          <t>2202055</t>
        </is>
      </c>
      <c r="G63" t="inlineStr">
        <is>
          <t>Servicio de atención psicosocial a estudiantes</t>
        </is>
      </c>
      <c r="H63" t="inlineStr">
        <is>
          <t>220205500</t>
        </is>
      </c>
      <c r="I63" t="inlineStr">
        <is>
          <t>Alumnos atendidos</t>
        </is>
      </c>
      <c r="J63" t="inlineStr">
        <is>
          <t>2024257850015</t>
        </is>
      </c>
      <c r="K63" t="inlineStr">
        <is>
          <t>Si</t>
        </is>
      </c>
      <c r="L63" t="inlineStr">
        <is>
          <t>Número</t>
        </is>
      </c>
      <c r="M63">
        <v>480</v>
      </c>
      <c r="N63">
        <v>120</v>
      </c>
      <c r="O63">
        <v>120</v>
      </c>
      <c r="P63">
        <v>120</v>
      </c>
      <c r="Q63">
        <v>120</v>
      </c>
      <c r="R63" t="inlineStr">
        <is>
          <t xml:space="preserve"> </t>
        </is>
      </c>
      <c r="S63" s="103" t="inlineStr">
        <is>
          <t xml:space="preserve"> </t>
        </is>
      </c>
      <c r="T63" t="inlineStr">
        <is>
          <t>No se encontró ejecución en PIIP</t>
        </is>
      </c>
      <c r="U63" t="inlineStr">
        <is>
          <t xml:space="preserve"> </t>
        </is>
      </c>
      <c r="V63" s="104" t="inlineStr">
        <is>
          <t xml:space="preserve"> </t>
        </is>
      </c>
      <c r="W63" t="inlineStr">
        <is>
          <t>No se encontró ejecución en PIIP</t>
        </is>
      </c>
    </row>
    <row r="64">
      <c r="A64" t="inlineStr">
        <is>
          <t>IP-58</t>
        </is>
      </c>
      <c r="B64" t="inlineStr">
        <is>
          <t>22</t>
        </is>
      </c>
      <c r="C64" t="inlineStr">
        <is>
          <t>Educación</t>
        </is>
      </c>
      <c r="D64" t="inlineStr">
        <is>
          <t>2201</t>
        </is>
      </c>
      <c r="E64" t="inlineStr">
        <is>
          <t>Calidad, cobertura y fortalecimiento de la educación inicial, prescolar, básica y media</t>
        </is>
      </c>
      <c r="F64" t="inlineStr">
        <is>
          <t>2201069</t>
        </is>
      </c>
      <c r="G64" t="inlineStr">
        <is>
          <t>Infraestructura educativa dotada</t>
        </is>
      </c>
      <c r="H64" t="inlineStr">
        <is>
          <t>220106900</t>
        </is>
      </c>
      <c r="I64" t="inlineStr">
        <is>
          <t>Sedes dotadas</t>
        </is>
      </c>
      <c r="J64" t="inlineStr">
        <is>
          <t>2024257850013</t>
        </is>
      </c>
      <c r="K64" t="inlineStr">
        <is>
          <t>No</t>
        </is>
      </c>
      <c r="L64" t="inlineStr">
        <is>
          <t>Número</t>
        </is>
      </c>
      <c r="M64">
        <v>2</v>
      </c>
      <c r="N64">
        <v>2</v>
      </c>
      <c r="O64">
        <v>2</v>
      </c>
      <c r="P64">
        <v>2</v>
      </c>
      <c r="Q64">
        <v>2</v>
      </c>
      <c r="R64">
        <v>0</v>
      </c>
      <c r="S64" s="103">
        <v>0</v>
      </c>
      <c r="T64" t="inlineStr">
        <is>
          <t>No se ejecutó en la vigencia</t>
        </is>
      </c>
      <c r="U64" t="inlineStr">
        <is>
          <t xml:space="preserve"> </t>
        </is>
      </c>
      <c r="V64" s="104" t="inlineStr">
        <is>
          <t xml:space="preserve"> </t>
        </is>
      </c>
      <c r="W64" t="inlineStr">
        <is>
          <t>No se encontró ejecución en PIIP</t>
        </is>
      </c>
    </row>
    <row r="65">
      <c r="A65" t="inlineStr">
        <is>
          <t>IP-59</t>
        </is>
      </c>
      <c r="B65" t="inlineStr">
        <is>
          <t>22</t>
        </is>
      </c>
      <c r="C65" t="inlineStr">
        <is>
          <t>Educación</t>
        </is>
      </c>
      <c r="D65" t="inlineStr">
        <is>
          <t>2201</t>
        </is>
      </c>
      <c r="E65" t="inlineStr">
        <is>
          <t>Calidad, cobertura y fortalecimiento de la educación inicial, prescolar, básica y media</t>
        </is>
      </c>
      <c r="F65" t="inlineStr">
        <is>
          <t>2201062</t>
        </is>
      </c>
      <c r="G65" t="inlineStr">
        <is>
          <t>Infraestructura educativa mantenida</t>
        </is>
      </c>
      <c r="H65" t="inlineStr">
        <is>
          <t>220106200</t>
        </is>
      </c>
      <c r="I65" t="inlineStr">
        <is>
          <t>Sedes mantenidas</t>
        </is>
      </c>
      <c r="J65" t="inlineStr">
        <is>
          <t>2024257850013</t>
        </is>
      </c>
      <c r="K65" t="inlineStr">
        <is>
          <t>No</t>
        </is>
      </c>
      <c r="L65" t="inlineStr">
        <is>
          <t>Número</t>
        </is>
      </c>
      <c r="M65">
        <v>13</v>
      </c>
      <c r="N65">
        <v>13</v>
      </c>
      <c r="O65">
        <v>13</v>
      </c>
      <c r="P65">
        <v>13</v>
      </c>
      <c r="Q65">
        <v>13</v>
      </c>
      <c r="R65">
        <v>0</v>
      </c>
      <c r="S65" s="103">
        <v>0</v>
      </c>
      <c r="T65" t="inlineStr">
        <is>
          <t>No se ejecutó en la vigencia</t>
        </is>
      </c>
      <c r="U65">
        <v>13</v>
      </c>
      <c r="V65" s="104">
        <v>1</v>
      </c>
      <c r="W65" t="inlineStr">
        <is>
          <t>Se ejecutó el 100% de lo programado en la vigencia</t>
        </is>
      </c>
    </row>
    <row r="66">
      <c r="A66" t="inlineStr">
        <is>
          <t>IP-60</t>
        </is>
      </c>
      <c r="B66" t="inlineStr">
        <is>
          <t>22</t>
        </is>
      </c>
      <c r="C66" t="inlineStr">
        <is>
          <t>Educación</t>
        </is>
      </c>
      <c r="D66" t="inlineStr">
        <is>
          <t>2201</t>
        </is>
      </c>
      <c r="E66" t="inlineStr">
        <is>
          <t>Calidad, cobertura y fortalecimiento de la educación inicial, prescolar, básica y media</t>
        </is>
      </c>
      <c r="F66" t="inlineStr">
        <is>
          <t>2201052</t>
        </is>
      </c>
      <c r="G66" t="inlineStr">
        <is>
          <t>Infraestructura educativa mejorada</t>
        </is>
      </c>
      <c r="H66" t="inlineStr">
        <is>
          <t>220105200</t>
        </is>
      </c>
      <c r="I66" t="inlineStr">
        <is>
          <t xml:space="preserve">Sedes educativas mejoradas </t>
        </is>
      </c>
      <c r="J66" t="inlineStr">
        <is>
          <t>2024257850013</t>
        </is>
      </c>
      <c r="K66" t="inlineStr">
        <is>
          <t>No</t>
        </is>
      </c>
      <c r="L66" t="inlineStr">
        <is>
          <t>Número</t>
        </is>
      </c>
      <c r="M66">
        <v>2</v>
      </c>
      <c r="N66">
        <v>2</v>
      </c>
      <c r="O66">
        <v>2</v>
      </c>
      <c r="P66">
        <v>2</v>
      </c>
      <c r="Q66">
        <v>2</v>
      </c>
      <c r="R66">
        <v>0</v>
      </c>
      <c r="S66" s="103">
        <v>0</v>
      </c>
      <c r="T66" t="inlineStr">
        <is>
          <t>No se ejecutó en la vigencia</t>
        </is>
      </c>
      <c r="U66" t="inlineStr">
        <is>
          <t xml:space="preserve"> </t>
        </is>
      </c>
      <c r="V66" s="104" t="inlineStr">
        <is>
          <t xml:space="preserve"> </t>
        </is>
      </c>
      <c r="W66" t="inlineStr">
        <is>
          <t>No se encontró ejecución en PIIP</t>
        </is>
      </c>
    </row>
    <row r="67">
      <c r="A67" t="inlineStr">
        <is>
          <t>IP-61</t>
        </is>
      </c>
      <c r="B67" t="inlineStr">
        <is>
          <t>22</t>
        </is>
      </c>
      <c r="C67" t="inlineStr">
        <is>
          <t>Educación</t>
        </is>
      </c>
      <c r="D67" t="inlineStr">
        <is>
          <t>2201</t>
        </is>
      </c>
      <c r="E67" t="inlineStr">
        <is>
          <t>Calidad, cobertura y fortalecimiento de la educación inicial, prescolar, básica y media</t>
        </is>
      </c>
      <c r="F67" t="inlineStr">
        <is>
          <t>2201033</t>
        </is>
      </c>
      <c r="G67" t="inlineStr">
        <is>
          <t>Servicio de fomento para la permanencia en programas de educación formal</t>
        </is>
      </c>
      <c r="H67" t="inlineStr">
        <is>
          <t>220103305</t>
        </is>
      </c>
      <c r="I67" t="inlineStr">
        <is>
          <t>Eventos realizados</t>
        </is>
      </c>
      <c r="J67" t="inlineStr">
        <is>
          <t>2024257850013</t>
        </is>
      </c>
      <c r="K67" t="inlineStr">
        <is>
          <t>Si</t>
        </is>
      </c>
      <c r="L67" t="inlineStr">
        <is>
          <t>Número</t>
        </is>
      </c>
      <c r="M67">
        <v>20</v>
      </c>
      <c r="N67">
        <v>5</v>
      </c>
      <c r="O67">
        <v>5</v>
      </c>
      <c r="P67">
        <v>5</v>
      </c>
      <c r="Q67">
        <v>5</v>
      </c>
      <c r="R67" t="inlineStr">
        <is>
          <t xml:space="preserve"> </t>
        </is>
      </c>
      <c r="S67" s="103" t="inlineStr">
        <is>
          <t xml:space="preserve"> </t>
        </is>
      </c>
      <c r="T67" t="inlineStr">
        <is>
          <t>No se encontró ejecución en PIIP</t>
        </is>
      </c>
      <c r="U67" t="inlineStr">
        <is>
          <t xml:space="preserve"> </t>
        </is>
      </c>
      <c r="V67" s="104" t="inlineStr">
        <is>
          <t xml:space="preserve"> </t>
        </is>
      </c>
      <c r="W67" t="inlineStr">
        <is>
          <t>No se encontró ejecución en PIIP</t>
        </is>
      </c>
    </row>
    <row r="68">
      <c r="A68" t="inlineStr">
        <is>
          <t>IP-62</t>
        </is>
      </c>
      <c r="B68" t="inlineStr">
        <is>
          <t>22</t>
        </is>
      </c>
      <c r="C68" t="inlineStr">
        <is>
          <t>Educación</t>
        </is>
      </c>
      <c r="D68" t="inlineStr">
        <is>
          <t>2202</t>
        </is>
      </c>
      <c r="E68" t="inlineStr">
        <is>
          <t>Calidad y fomento de la educación superior</t>
        </is>
      </c>
      <c r="F68" t="inlineStr">
        <is>
          <t>2202061</t>
        </is>
      </c>
      <c r="G68" t="inlineStr">
        <is>
          <t xml:space="preserve">Servicio de apoyo financiero para la permanencia a la educación superior </t>
        </is>
      </c>
      <c r="H68" t="inlineStr">
        <is>
          <t>220206100</t>
        </is>
      </c>
      <c r="I68" t="inlineStr">
        <is>
          <t xml:space="preserve">Beneficiarios de estrategias o programas de  apoyo financiero para la permanencia en la educación superior  </t>
        </is>
      </c>
      <c r="J68" t="inlineStr">
        <is>
          <t>2024257850015</t>
        </is>
      </c>
      <c r="K68" t="inlineStr">
        <is>
          <t>Si</t>
        </is>
      </c>
      <c r="L68" t="inlineStr">
        <is>
          <t>Número</t>
        </is>
      </c>
      <c r="M68">
        <v>720</v>
      </c>
      <c r="N68">
        <v>180</v>
      </c>
      <c r="O68">
        <v>180</v>
      </c>
      <c r="P68">
        <v>180</v>
      </c>
      <c r="Q68">
        <v>180</v>
      </c>
      <c r="R68" t="inlineStr">
        <is>
          <t xml:space="preserve"> </t>
        </is>
      </c>
      <c r="S68" s="103" t="inlineStr">
        <is>
          <t xml:space="preserve"> </t>
        </is>
      </c>
      <c r="T68" t="inlineStr">
        <is>
          <t>No se encontró ejecución en PIIP</t>
        </is>
      </c>
      <c r="U68" t="inlineStr">
        <is>
          <t xml:space="preserve"> </t>
        </is>
      </c>
      <c r="V68" s="104" t="inlineStr">
        <is>
          <t xml:space="preserve"> </t>
        </is>
      </c>
      <c r="W68" t="inlineStr">
        <is>
          <t>No se encontró ejecución en PIIP</t>
        </is>
      </c>
    </row>
    <row r="69">
      <c r="A69" t="inlineStr">
        <is>
          <t>IP-63</t>
        </is>
      </c>
      <c r="B69" t="inlineStr">
        <is>
          <t>22</t>
        </is>
      </c>
      <c r="C69" t="inlineStr">
        <is>
          <t>Educación</t>
        </is>
      </c>
      <c r="D69" t="inlineStr">
        <is>
          <t>2201</t>
        </is>
      </c>
      <c r="E69" t="inlineStr">
        <is>
          <t>Calidad, cobertura y fortalecimiento de la educación inicial, prescolar, básica y media</t>
        </is>
      </c>
      <c r="F69" t="inlineStr">
        <is>
          <t>2201006</t>
        </is>
      </c>
      <c r="G69" t="inlineStr">
        <is>
          <t>Servicio de asistencia técnica en educación inicial, preescolar, básica y media</t>
        </is>
      </c>
      <c r="H69" t="inlineStr">
        <is>
          <t>220100600</t>
        </is>
      </c>
      <c r="I69" t="inlineStr">
        <is>
          <t>Entidades y organizaciones asistidas técnicamente</t>
        </is>
      </c>
      <c r="J69" t="inlineStr">
        <is>
          <t>2024257850013</t>
        </is>
      </c>
      <c r="K69" t="inlineStr">
        <is>
          <t>Si</t>
        </is>
      </c>
      <c r="L69" t="inlineStr">
        <is>
          <t>Número</t>
        </is>
      </c>
      <c r="M69">
        <v>4</v>
      </c>
      <c r="N69">
        <v>1</v>
      </c>
      <c r="O69">
        <v>1</v>
      </c>
      <c r="P69">
        <v>1</v>
      </c>
      <c r="Q69">
        <v>1</v>
      </c>
      <c r="R69" t="inlineStr">
        <is>
          <t xml:space="preserve"> </t>
        </is>
      </c>
      <c r="S69" s="103" t="inlineStr">
        <is>
          <t xml:space="preserve"> </t>
        </is>
      </c>
      <c r="T69" t="inlineStr">
        <is>
          <t>No se encontró ejecución en PIIP</t>
        </is>
      </c>
      <c r="U69" t="inlineStr">
        <is>
          <t xml:space="preserve"> </t>
        </is>
      </c>
      <c r="V69" s="104" t="inlineStr">
        <is>
          <t xml:space="preserve"> </t>
        </is>
      </c>
      <c r="W69" t="inlineStr">
        <is>
          <t>No se encontró ejecución en PIIP</t>
        </is>
      </c>
    </row>
    <row r="70">
      <c r="A70" t="inlineStr">
        <is>
          <t>IP-64</t>
        </is>
      </c>
      <c r="B70" t="inlineStr">
        <is>
          <t>33</t>
        </is>
      </c>
      <c r="C70" t="inlineStr">
        <is>
          <t>Cultura</t>
        </is>
      </c>
      <c r="D70" t="inlineStr">
        <is>
          <t>3301</t>
        </is>
      </c>
      <c r="E70" t="inlineStr">
        <is>
          <t>Promoción y acceso efectivo a procesos culturales y artísticos</t>
        </is>
      </c>
      <c r="F70" t="inlineStr">
        <is>
          <t>3301087</t>
        </is>
      </c>
      <c r="G70" t="inlineStr">
        <is>
          <t>Servicio de educación informal en áreas artísticas y culturales</t>
        </is>
      </c>
      <c r="H70" t="inlineStr">
        <is>
          <t>330108701</t>
        </is>
      </c>
      <c r="I70" t="inlineStr">
        <is>
          <t>Personas capacitadas</t>
        </is>
      </c>
      <c r="J70" t="inlineStr">
        <is>
          <t>2024257850034</t>
        </is>
      </c>
      <c r="K70" t="inlineStr">
        <is>
          <t>No</t>
        </is>
      </c>
      <c r="L70" t="inlineStr">
        <is>
          <t>Número</t>
        </is>
      </c>
      <c r="M70">
        <v>4000</v>
      </c>
      <c r="N70">
        <v>4000</v>
      </c>
      <c r="O70">
        <v>4000</v>
      </c>
      <c r="P70">
        <v>4000</v>
      </c>
      <c r="Q70">
        <v>4000</v>
      </c>
      <c r="R70" t="inlineStr">
        <is>
          <t xml:space="preserve"> </t>
        </is>
      </c>
      <c r="S70" s="103" t="inlineStr">
        <is>
          <t xml:space="preserve"> </t>
        </is>
      </c>
      <c r="T70" t="inlineStr">
        <is>
          <t>No se encontró ejecución en PIIP</t>
        </is>
      </c>
      <c r="U70" t="inlineStr">
        <is>
          <t xml:space="preserve"> </t>
        </is>
      </c>
      <c r="V70" s="104" t="inlineStr">
        <is>
          <t xml:space="preserve"> </t>
        </is>
      </c>
      <c r="W70" t="inlineStr">
        <is>
          <t>No se encontró ejecución en PIIP</t>
        </is>
      </c>
    </row>
    <row r="71">
      <c r="A71" t="inlineStr">
        <is>
          <t>IP-65</t>
        </is>
      </c>
      <c r="B71" t="inlineStr">
        <is>
          <t>33</t>
        </is>
      </c>
      <c r="C71" t="inlineStr">
        <is>
          <t>Cultura</t>
        </is>
      </c>
      <c r="D71" t="inlineStr">
        <is>
          <t>3301</t>
        </is>
      </c>
      <c r="E71" t="inlineStr">
        <is>
          <t>Promoción y acceso efectivo a procesos culturales y artísticos</t>
        </is>
      </c>
      <c r="F71" t="inlineStr">
        <is>
          <t>3301053</t>
        </is>
      </c>
      <c r="G71" t="inlineStr">
        <is>
          <t>Servicio de promoción de actividades culturales</t>
        </is>
      </c>
      <c r="H71" t="inlineStr">
        <is>
          <t>330105300</t>
        </is>
      </c>
      <c r="I71" t="inlineStr">
        <is>
          <t>Eventos de promoción de actividades culturales realizados</t>
        </is>
      </c>
      <c r="J71" t="inlineStr">
        <is>
          <t>2024257850034</t>
        </is>
      </c>
      <c r="K71" t="inlineStr">
        <is>
          <t>Si</t>
        </is>
      </c>
      <c r="L71" t="inlineStr">
        <is>
          <t>Número</t>
        </is>
      </c>
      <c r="M71">
        <v>36</v>
      </c>
      <c r="N71">
        <v>9</v>
      </c>
      <c r="O71">
        <v>9</v>
      </c>
      <c r="P71">
        <v>9</v>
      </c>
      <c r="Q71">
        <v>9</v>
      </c>
      <c r="R71" t="inlineStr">
        <is>
          <t xml:space="preserve"> </t>
        </is>
      </c>
      <c r="S71" s="103" t="inlineStr">
        <is>
          <t xml:space="preserve"> </t>
        </is>
      </c>
      <c r="T71" t="inlineStr">
        <is>
          <t>No se encontró ejecución en PIIP</t>
        </is>
      </c>
      <c r="U71" t="inlineStr">
        <is>
          <t xml:space="preserve"> </t>
        </is>
      </c>
      <c r="V71" s="104" t="inlineStr">
        <is>
          <t xml:space="preserve"> </t>
        </is>
      </c>
      <c r="W71" t="inlineStr">
        <is>
          <t>No se encontró ejecución en PIIP</t>
        </is>
      </c>
    </row>
    <row r="72">
      <c r="A72" t="inlineStr">
        <is>
          <t>IP-66</t>
        </is>
      </c>
      <c r="B72" t="inlineStr">
        <is>
          <t>33</t>
        </is>
      </c>
      <c r="C72" t="inlineStr">
        <is>
          <t>Cultura</t>
        </is>
      </c>
      <c r="D72" t="inlineStr">
        <is>
          <t>3301</t>
        </is>
      </c>
      <c r="E72" t="inlineStr">
        <is>
          <t>Promoción y acceso efectivo a procesos culturales y artísticos</t>
        </is>
      </c>
      <c r="F72" t="inlineStr">
        <is>
          <t>3301085</t>
        </is>
      </c>
      <c r="G72" t="inlineStr">
        <is>
          <t>Servicios bibliotecarios</t>
        </is>
      </c>
      <c r="H72" t="inlineStr">
        <is>
          <t>330108500</t>
        </is>
      </c>
      <c r="I72" t="inlineStr">
        <is>
          <t>Usuarios atendidos</t>
        </is>
      </c>
      <c r="J72" t="inlineStr">
        <is>
          <t>2024257850034</t>
        </is>
      </c>
      <c r="K72" t="inlineStr">
        <is>
          <t>Si</t>
        </is>
      </c>
      <c r="L72" t="inlineStr">
        <is>
          <t>Número</t>
        </is>
      </c>
      <c r="M72">
        <v>160000</v>
      </c>
      <c r="N72">
        <v>40000</v>
      </c>
      <c r="O72">
        <v>40000</v>
      </c>
      <c r="P72">
        <v>40000</v>
      </c>
      <c r="Q72">
        <v>40000</v>
      </c>
      <c r="R72" t="inlineStr">
        <is>
          <t xml:space="preserve"> </t>
        </is>
      </c>
      <c r="S72" s="103" t="inlineStr">
        <is>
          <t xml:space="preserve"> </t>
        </is>
      </c>
      <c r="T72" t="inlineStr">
        <is>
          <t>No se encontró ejecución en PIIP</t>
        </is>
      </c>
      <c r="U72" t="inlineStr">
        <is>
          <t xml:space="preserve"> </t>
        </is>
      </c>
      <c r="V72" s="104" t="inlineStr">
        <is>
          <t xml:space="preserve"> </t>
        </is>
      </c>
      <c r="W72" t="inlineStr">
        <is>
          <t>No se encontró ejecución en PIIP</t>
        </is>
      </c>
    </row>
    <row r="73">
      <c r="A73" t="inlineStr">
        <is>
          <t>IP-67</t>
        </is>
      </c>
      <c r="B73" t="inlineStr">
        <is>
          <t>33</t>
        </is>
      </c>
      <c r="C73" t="inlineStr">
        <is>
          <t>Cultura</t>
        </is>
      </c>
      <c r="D73" t="inlineStr">
        <is>
          <t>3301</t>
        </is>
      </c>
      <c r="E73" t="inlineStr">
        <is>
          <t>Promoción y acceso efectivo a procesos culturales y artísticos</t>
        </is>
      </c>
      <c r="F73" t="inlineStr">
        <is>
          <t>3301093</t>
        </is>
      </c>
      <c r="G73" t="inlineStr">
        <is>
          <t>Centros culturales construidos y dotados</t>
        </is>
      </c>
      <c r="H73" t="inlineStr">
        <is>
          <t>330109300</t>
        </is>
      </c>
      <c r="I73" t="inlineStr">
        <is>
          <t>Centros culturales construidos y dotados</t>
        </is>
      </c>
      <c r="J73" t="inlineStr">
        <is>
          <t/>
        </is>
      </c>
      <c r="K73" t="inlineStr">
        <is>
          <t>No</t>
        </is>
      </c>
      <c r="L73" t="inlineStr">
        <is>
          <t>Número</t>
        </is>
      </c>
      <c r="M73">
        <v>1</v>
      </c>
      <c r="N73">
        <v>0</v>
      </c>
      <c r="O73">
        <v>0</v>
      </c>
      <c r="P73">
        <v>0</v>
      </c>
      <c r="Q73">
        <v>1</v>
      </c>
      <c r="R73" t="inlineStr">
        <is>
          <t xml:space="preserve"> </t>
        </is>
      </c>
      <c r="S73" s="103" t="inlineStr">
        <is>
          <t xml:space="preserve"> </t>
        </is>
      </c>
      <c r="T73" t="inlineStr">
        <is>
          <t>Por falta de código BPIN, no se encontró ejecución en PIIP</t>
        </is>
      </c>
      <c r="U73" t="inlineStr">
        <is>
          <t xml:space="preserve"> </t>
        </is>
      </c>
      <c r="V73" s="104" t="inlineStr">
        <is>
          <t xml:space="preserve"> </t>
        </is>
      </c>
      <c r="W73" t="inlineStr">
        <is>
          <t>Por falta de código BPIN, no se encontró ejecución en PIIP</t>
        </is>
      </c>
    </row>
    <row r="74">
      <c r="A74" t="inlineStr">
        <is>
          <t>IP-68</t>
        </is>
      </c>
      <c r="B74" t="inlineStr">
        <is>
          <t>33</t>
        </is>
      </c>
      <c r="C74" t="inlineStr">
        <is>
          <t>Cultura</t>
        </is>
      </c>
      <c r="D74" t="inlineStr">
        <is>
          <t>3301</t>
        </is>
      </c>
      <c r="E74" t="inlineStr">
        <is>
          <t>Promoción y acceso efectivo a procesos culturales y artísticos</t>
        </is>
      </c>
      <c r="F74" t="inlineStr">
        <is>
          <t>3301068</t>
        </is>
      </c>
      <c r="G74" t="inlineStr">
        <is>
          <t>Servicio de mantenimiento de infraestructura cultural</t>
        </is>
      </c>
      <c r="H74" t="inlineStr">
        <is>
          <t>330106800</t>
        </is>
      </c>
      <c r="I74" t="inlineStr">
        <is>
          <t>Infraestructura cultural intervenida</t>
        </is>
      </c>
      <c r="J74" t="inlineStr">
        <is>
          <t>202500000044597</t>
        </is>
      </c>
      <c r="K74" t="inlineStr">
        <is>
          <t>No</t>
        </is>
      </c>
      <c r="L74" t="inlineStr">
        <is>
          <t>Número</t>
        </is>
      </c>
      <c r="M74">
        <v>7</v>
      </c>
      <c r="N74">
        <v>7</v>
      </c>
      <c r="O74">
        <v>7</v>
      </c>
      <c r="P74">
        <v>7</v>
      </c>
      <c r="Q74">
        <v>7</v>
      </c>
      <c r="R74" t="inlineStr">
        <is>
          <t xml:space="preserve"> </t>
        </is>
      </c>
      <c r="S74" s="103" t="inlineStr">
        <is>
          <t xml:space="preserve"> </t>
        </is>
      </c>
      <c r="T74" t="inlineStr">
        <is>
          <t>No se encontró ejecución en PIIP</t>
        </is>
      </c>
      <c r="U74" t="inlineStr">
        <is>
          <t xml:space="preserve"> </t>
        </is>
      </c>
      <c r="V74" s="104" t="inlineStr">
        <is>
          <t xml:space="preserve"> </t>
        </is>
      </c>
      <c r="W74" t="inlineStr">
        <is>
          <t>No se encontró ejecución en PIIP</t>
        </is>
      </c>
    </row>
    <row r="75">
      <c r="A75" t="inlineStr">
        <is>
          <t>IP-69</t>
        </is>
      </c>
      <c r="B75" t="inlineStr">
        <is>
          <t>33</t>
        </is>
      </c>
      <c r="C75" t="inlineStr">
        <is>
          <t>Cultura</t>
        </is>
      </c>
      <c r="D75" t="inlineStr">
        <is>
          <t>3302</t>
        </is>
      </c>
      <c r="E75" t="inlineStr">
        <is>
          <t>Gestión, protección y salvaguardia del patrimonio cultural colombiano</t>
        </is>
      </c>
      <c r="F75" t="inlineStr">
        <is>
          <t>3302049</t>
        </is>
      </c>
      <c r="G75" t="inlineStr">
        <is>
          <t>Servicio de salvaguardia al patrimonio inmaterial</t>
        </is>
      </c>
      <c r="H75" t="inlineStr">
        <is>
          <t>330204900</t>
        </is>
      </c>
      <c r="I75" t="inlineStr">
        <is>
          <t>Procesos de salvaguardia efectiva del patrimonio inmaterial realizados</t>
        </is>
      </c>
      <c r="J75" t="inlineStr">
        <is>
          <t>202500000045264</t>
        </is>
      </c>
      <c r="K75" t="inlineStr">
        <is>
          <t>No</t>
        </is>
      </c>
      <c r="L75" t="inlineStr">
        <is>
          <t>Número</t>
        </is>
      </c>
      <c r="M75">
        <v>1</v>
      </c>
      <c r="N75">
        <v>0</v>
      </c>
      <c r="O75">
        <v>0</v>
      </c>
      <c r="P75">
        <v>1</v>
      </c>
      <c r="Q75">
        <v>0</v>
      </c>
      <c r="R75" t="inlineStr">
        <is>
          <t xml:space="preserve"> </t>
        </is>
      </c>
      <c r="S75" s="103" t="inlineStr">
        <is>
          <t xml:space="preserve"> </t>
        </is>
      </c>
      <c r="T75" t="inlineStr">
        <is>
          <t>No se encontró ejecución en PIIP</t>
        </is>
      </c>
      <c r="U75" t="inlineStr">
        <is>
          <t xml:space="preserve"> </t>
        </is>
      </c>
      <c r="V75" s="104" t="inlineStr">
        <is>
          <t xml:space="preserve"> </t>
        </is>
      </c>
      <c r="W75" t="inlineStr">
        <is>
          <t>No se encontró ejecución en PIIP</t>
        </is>
      </c>
    </row>
    <row r="76">
      <c r="A76" t="inlineStr">
        <is>
          <t>IP-70</t>
        </is>
      </c>
      <c r="B76" t="inlineStr">
        <is>
          <t>33</t>
        </is>
      </c>
      <c r="C76" t="inlineStr">
        <is>
          <t>Cultura</t>
        </is>
      </c>
      <c r="D76" t="inlineStr">
        <is>
          <t>3301</t>
        </is>
      </c>
      <c r="E76" t="inlineStr">
        <is>
          <t>Promoción y acceso efectivo a procesos culturales y artísticos</t>
        </is>
      </c>
      <c r="F76" t="inlineStr">
        <is>
          <t>3301054</t>
        </is>
      </c>
      <c r="G76" t="inlineStr">
        <is>
          <t>Servicio de apoyo financiero al sector artístico y cultural</t>
        </is>
      </c>
      <c r="H76" t="inlineStr">
        <is>
          <t>330105400</t>
        </is>
      </c>
      <c r="I76" t="inlineStr">
        <is>
          <t>Estímulos otorgados</t>
        </is>
      </c>
      <c r="J76" t="inlineStr">
        <is>
          <t>2024257850034</t>
        </is>
      </c>
      <c r="K76" t="inlineStr">
        <is>
          <t>Si</t>
        </is>
      </c>
      <c r="L76" t="inlineStr">
        <is>
          <t>Número</t>
        </is>
      </c>
      <c r="M76">
        <v>80</v>
      </c>
      <c r="N76">
        <v>20</v>
      </c>
      <c r="O76">
        <v>20</v>
      </c>
      <c r="P76">
        <v>20</v>
      </c>
      <c r="Q76">
        <v>20</v>
      </c>
      <c r="R76" t="inlineStr">
        <is>
          <t xml:space="preserve"> </t>
        </is>
      </c>
      <c r="S76" s="103" t="inlineStr">
        <is>
          <t xml:space="preserve"> </t>
        </is>
      </c>
      <c r="T76" t="inlineStr">
        <is>
          <t>No se encontró ejecución en PIIP</t>
        </is>
      </c>
      <c r="U76" t="inlineStr">
        <is>
          <t xml:space="preserve"> </t>
        </is>
      </c>
      <c r="V76" s="104" t="inlineStr">
        <is>
          <t xml:space="preserve"> </t>
        </is>
      </c>
      <c r="W76" t="inlineStr">
        <is>
          <t>No se encontró ejecución en PIIP</t>
        </is>
      </c>
    </row>
    <row r="77">
      <c r="A77" t="inlineStr">
        <is>
          <t>IP-71</t>
        </is>
      </c>
      <c r="B77" t="inlineStr">
        <is>
          <t>43</t>
        </is>
      </c>
      <c r="C77" t="inlineStr">
        <is>
          <t>Deporte y Recreación</t>
        </is>
      </c>
      <c r="D77" t="inlineStr">
        <is>
          <t>4301</t>
        </is>
      </c>
      <c r="E77" t="inlineStr">
        <is>
          <t>Fomento a la recreación, la actividad física y el deporte para desarrollar entornos de convivencia y paz</t>
        </is>
      </c>
      <c r="F77" t="inlineStr">
        <is>
          <t>4301007</t>
        </is>
      </c>
      <c r="G77" t="inlineStr">
        <is>
          <t>Servicio de Escuelas Deportivas</t>
        </is>
      </c>
      <c r="H77" t="inlineStr">
        <is>
          <t>430100700</t>
        </is>
      </c>
      <c r="I77" t="inlineStr">
        <is>
          <t>Niños, niñas, adolescentes y jóvenes inscritos en Escuelas Deportivas</t>
        </is>
      </c>
      <c r="J77" t="inlineStr">
        <is>
          <t>2024257850044</t>
        </is>
      </c>
      <c r="K77" t="inlineStr">
        <is>
          <t>Si</t>
        </is>
      </c>
      <c r="L77" t="inlineStr">
        <is>
          <t>Número</t>
        </is>
      </c>
      <c r="M77">
        <v>3600</v>
      </c>
      <c r="N77">
        <v>900</v>
      </c>
      <c r="O77">
        <v>900</v>
      </c>
      <c r="P77">
        <v>900</v>
      </c>
      <c r="Q77">
        <v>900</v>
      </c>
      <c r="R77">
        <v>3600</v>
      </c>
      <c r="S77" s="103">
        <v>4</v>
      </c>
      <c r="T77" t="inlineStr">
        <is>
          <t>Hubo ejecución por encima de lo programado en SisPT</t>
        </is>
      </c>
      <c r="U77">
        <v>0</v>
      </c>
      <c r="V77" s="104">
        <v>0</v>
      </c>
      <c r="W77" t="inlineStr">
        <is>
          <t>No se ejecutó en la vigencia</t>
        </is>
      </c>
    </row>
    <row r="78">
      <c r="A78" t="inlineStr">
        <is>
          <t>IP-72</t>
        </is>
      </c>
      <c r="B78" t="inlineStr">
        <is>
          <t>43</t>
        </is>
      </c>
      <c r="C78" t="inlineStr">
        <is>
          <t>Deporte y Recreación</t>
        </is>
      </c>
      <c r="D78" t="inlineStr">
        <is>
          <t>4301</t>
        </is>
      </c>
      <c r="E78" t="inlineStr">
        <is>
          <t>Fomento a la recreación, la actividad física y el deporte para desarrollar entornos de convivencia y paz</t>
        </is>
      </c>
      <c r="F78" t="inlineStr">
        <is>
          <t>4301004</t>
        </is>
      </c>
      <c r="G78" t="inlineStr">
        <is>
          <t>Servicio de mantenimiento a la infraestructura deportiva</t>
        </is>
      </c>
      <c r="H78" t="inlineStr">
        <is>
          <t>430100400</t>
        </is>
      </c>
      <c r="I78" t="inlineStr">
        <is>
          <t>Infraestructura deportiva mantenida</t>
        </is>
      </c>
      <c r="J78" t="inlineStr">
        <is>
          <t>2024257850044</t>
        </is>
      </c>
      <c r="K78" t="inlineStr">
        <is>
          <t>No</t>
        </is>
      </c>
      <c r="L78" t="inlineStr">
        <is>
          <t>Número</t>
        </is>
      </c>
      <c r="M78">
        <v>10</v>
      </c>
      <c r="N78">
        <v>10</v>
      </c>
      <c r="O78">
        <v>10</v>
      </c>
      <c r="P78">
        <v>10</v>
      </c>
      <c r="Q78">
        <v>10</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IP-73</t>
        </is>
      </c>
      <c r="B79" t="inlineStr">
        <is>
          <t>43</t>
        </is>
      </c>
      <c r="C79" t="inlineStr">
        <is>
          <t>Deporte y Recreación</t>
        </is>
      </c>
      <c r="D79" t="inlineStr">
        <is>
          <t>4301</t>
        </is>
      </c>
      <c r="E79" t="inlineStr">
        <is>
          <t>Fomento a la recreación, la actividad física y el deporte para desarrollar entornos de convivencia y paz</t>
        </is>
      </c>
      <c r="F79" t="inlineStr">
        <is>
          <t>4301012</t>
        </is>
      </c>
      <c r="G79" t="inlineStr">
        <is>
          <t>Parques recreativos mantenidos</t>
        </is>
      </c>
      <c r="H79" t="inlineStr">
        <is>
          <t>430101200</t>
        </is>
      </c>
      <c r="I79" t="inlineStr">
        <is>
          <t>Parques recreativos mantenidos</t>
        </is>
      </c>
      <c r="J79" t="inlineStr">
        <is>
          <t>2024257850044</t>
        </is>
      </c>
      <c r="K79" t="inlineStr">
        <is>
          <t>No</t>
        </is>
      </c>
      <c r="L79" t="inlineStr">
        <is>
          <t>Número</t>
        </is>
      </c>
      <c r="M79">
        <v>8</v>
      </c>
      <c r="N79">
        <v>8</v>
      </c>
      <c r="O79">
        <v>8</v>
      </c>
      <c r="P79">
        <v>8</v>
      </c>
      <c r="Q79">
        <v>8</v>
      </c>
      <c r="R79" t="inlineStr">
        <is>
          <t xml:space="preserve"> </t>
        </is>
      </c>
      <c r="S79" s="103" t="inlineStr">
        <is>
          <t xml:space="preserve"> </t>
        </is>
      </c>
      <c r="T79" t="inlineStr">
        <is>
          <t>No se encontró ejecución en PIIP</t>
        </is>
      </c>
      <c r="U79" t="inlineStr">
        <is>
          <t xml:space="preserve"> </t>
        </is>
      </c>
      <c r="V79" s="104" t="inlineStr">
        <is>
          <t xml:space="preserve"> </t>
        </is>
      </c>
      <c r="W79" t="inlineStr">
        <is>
          <t>No se encontró ejecución en PIIP</t>
        </is>
      </c>
    </row>
    <row r="80">
      <c r="A80" t="inlineStr">
        <is>
          <t>IP-74</t>
        </is>
      </c>
      <c r="B80" t="inlineStr">
        <is>
          <t>43</t>
        </is>
      </c>
      <c r="C80" t="inlineStr">
        <is>
          <t>Deporte y Recreación</t>
        </is>
      </c>
      <c r="D80" t="inlineStr">
        <is>
          <t>4302</t>
        </is>
      </c>
      <c r="E80" t="inlineStr">
        <is>
          <t>Formación y preparación de deportistas</t>
        </is>
      </c>
      <c r="F80" t="inlineStr">
        <is>
          <t>4302004</t>
        </is>
      </c>
      <c r="G80" t="inlineStr">
        <is>
          <t>Servicio de organización de eventos deportivos de alto rendimiento</t>
        </is>
      </c>
      <c r="H80" t="inlineStr">
        <is>
          <t>430200401</t>
        </is>
      </c>
      <c r="I80" t="inlineStr">
        <is>
          <t>Eventos deportivos de alto rendimiento con sede en Colombia realizados</t>
        </is>
      </c>
      <c r="J80" t="inlineStr">
        <is>
          <t>202500000044469</t>
        </is>
      </c>
      <c r="K80" t="inlineStr">
        <is>
          <t>Si</t>
        </is>
      </c>
      <c r="L80" t="inlineStr">
        <is>
          <t>Número</t>
        </is>
      </c>
      <c r="M80">
        <v>200</v>
      </c>
      <c r="N80">
        <v>50</v>
      </c>
      <c r="O80">
        <v>50</v>
      </c>
      <c r="P80">
        <v>50</v>
      </c>
      <c r="Q80">
        <v>50</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IP-75</t>
        </is>
      </c>
      <c r="B81" t="inlineStr">
        <is>
          <t>43</t>
        </is>
      </c>
      <c r="C81" t="inlineStr">
        <is>
          <t>Deporte y Recreación</t>
        </is>
      </c>
      <c r="D81" t="inlineStr">
        <is>
          <t>4301</t>
        </is>
      </c>
      <c r="E81" t="inlineStr">
        <is>
          <t>Fomento a la recreación, la actividad física y el deporte para desarrollar entornos de convivencia y paz</t>
        </is>
      </c>
      <c r="F81" t="inlineStr">
        <is>
          <t>4301038</t>
        </is>
      </c>
      <c r="G81" t="inlineStr">
        <is>
          <t>Servicio de organización de eventos recreativos comunitarios</t>
        </is>
      </c>
      <c r="H81" t="inlineStr">
        <is>
          <t>430103801</t>
        </is>
      </c>
      <c r="I81" t="inlineStr">
        <is>
          <t>Eventos recreativos comunitarios realizados</t>
        </is>
      </c>
      <c r="J81" t="inlineStr">
        <is>
          <t>2024257850044</t>
        </is>
      </c>
      <c r="K81" t="inlineStr">
        <is>
          <t>Si</t>
        </is>
      </c>
      <c r="L81" t="inlineStr">
        <is>
          <t>Número</t>
        </is>
      </c>
      <c r="M81">
        <v>40</v>
      </c>
      <c r="N81">
        <v>10</v>
      </c>
      <c r="O81">
        <v>10</v>
      </c>
      <c r="P81">
        <v>10</v>
      </c>
      <c r="Q81">
        <v>10</v>
      </c>
      <c r="R81" t="inlineStr">
        <is>
          <t xml:space="preserve"> </t>
        </is>
      </c>
      <c r="S81" s="103" t="inlineStr">
        <is>
          <t xml:space="preserve"> </t>
        </is>
      </c>
      <c r="T81" t="inlineStr">
        <is>
          <t>No se encontró ejecución en PIIP</t>
        </is>
      </c>
      <c r="U81" t="inlineStr">
        <is>
          <t xml:space="preserve"> </t>
        </is>
      </c>
      <c r="V81" s="104" t="inlineStr">
        <is>
          <t xml:space="preserve"> </t>
        </is>
      </c>
      <c r="W81" t="inlineStr">
        <is>
          <t>No se encontró ejecución en PIIP</t>
        </is>
      </c>
    </row>
    <row r="82">
      <c r="A82" t="inlineStr">
        <is>
          <t>IP-76</t>
        </is>
      </c>
      <c r="B82" t="inlineStr">
        <is>
          <t>43</t>
        </is>
      </c>
      <c r="C82" t="inlineStr">
        <is>
          <t>Deporte y Recreación</t>
        </is>
      </c>
      <c r="D82" t="inlineStr">
        <is>
          <t>4302</t>
        </is>
      </c>
      <c r="E82" t="inlineStr">
        <is>
          <t>Formación y preparación de deportistas</t>
        </is>
      </c>
      <c r="F82" t="inlineStr">
        <is>
          <t>4302044</t>
        </is>
      </c>
      <c r="G82" t="inlineStr">
        <is>
          <t>Unideportivo construido</t>
        </is>
      </c>
      <c r="H82" t="inlineStr">
        <is>
          <t>430204400</t>
        </is>
      </c>
      <c r="I82" t="inlineStr">
        <is>
          <t>Unideportivos construidos</t>
        </is>
      </c>
      <c r="J82" t="inlineStr">
        <is>
          <t>202500000044469</t>
        </is>
      </c>
      <c r="K82" t="inlineStr">
        <is>
          <t>No</t>
        </is>
      </c>
      <c r="L82" t="inlineStr">
        <is>
          <t>Número</t>
        </is>
      </c>
      <c r="M82">
        <v>1</v>
      </c>
      <c r="N82">
        <v>0</v>
      </c>
      <c r="O82">
        <v>0</v>
      </c>
      <c r="P82">
        <v>1</v>
      </c>
      <c r="Q82">
        <v>0</v>
      </c>
      <c r="R82" t="inlineStr">
        <is>
          <t xml:space="preserve"> </t>
        </is>
      </c>
      <c r="S82" s="103" t="inlineStr">
        <is>
          <t xml:space="preserve"> </t>
        </is>
      </c>
      <c r="T82" t="inlineStr">
        <is>
          <t>No se encontró ejecución en PIIP</t>
        </is>
      </c>
      <c r="U82" t="inlineStr">
        <is>
          <t xml:space="preserve"> </t>
        </is>
      </c>
      <c r="V82" s="104" t="inlineStr">
        <is>
          <t xml:space="preserve"> </t>
        </is>
      </c>
      <c r="W82" t="inlineStr">
        <is>
          <t>No se encontró ejecución en PIIP</t>
        </is>
      </c>
    </row>
    <row r="83">
      <c r="A83" t="inlineStr">
        <is>
          <t>IP-77</t>
        </is>
      </c>
      <c r="B83" t="inlineStr">
        <is>
          <t>43</t>
        </is>
      </c>
      <c r="C83" t="inlineStr">
        <is>
          <t>Deporte y Recreación</t>
        </is>
      </c>
      <c r="D83" t="inlineStr">
        <is>
          <t>4301</t>
        </is>
      </c>
      <c r="E83" t="inlineStr">
        <is>
          <t>Fomento a la recreación, la actividad física y el deporte para desarrollar entornos de convivencia y paz</t>
        </is>
      </c>
      <c r="F83" t="inlineStr">
        <is>
          <t>4301030</t>
        </is>
      </c>
      <c r="G83" t="inlineStr">
        <is>
          <t>Parque recreo-deportivo construido y dotado</t>
        </is>
      </c>
      <c r="H83" t="inlineStr">
        <is>
          <t>430103000</t>
        </is>
      </c>
      <c r="I83" t="inlineStr">
        <is>
          <t>Parque recreo-deportivo construido y dotado</t>
        </is>
      </c>
      <c r="J83" t="inlineStr">
        <is>
          <t>2024257850044</t>
        </is>
      </c>
      <c r="K83" t="inlineStr">
        <is>
          <t>Si</t>
        </is>
      </c>
      <c r="L83" t="inlineStr">
        <is>
          <t>Número</t>
        </is>
      </c>
      <c r="M83">
        <v>2</v>
      </c>
      <c r="N83">
        <v>0</v>
      </c>
      <c r="O83">
        <v>0</v>
      </c>
      <c r="P83">
        <v>1</v>
      </c>
      <c r="Q83">
        <v>1</v>
      </c>
      <c r="R83">
        <v>0</v>
      </c>
      <c r="S83" s="103" t="inlineStr">
        <is>
          <t xml:space="preserve"> </t>
        </is>
      </c>
      <c r="T83" t="inlineStr">
        <is>
          <t>No se programó ni ejecutó en la vigencia</t>
        </is>
      </c>
      <c r="U83" t="inlineStr">
        <is>
          <t xml:space="preserve"> </t>
        </is>
      </c>
      <c r="V83" s="104" t="inlineStr">
        <is>
          <t xml:space="preserve"> </t>
        </is>
      </c>
      <c r="W83" t="inlineStr">
        <is>
          <t>No se encontró ejecución en PIIP</t>
        </is>
      </c>
    </row>
    <row r="84">
      <c r="A84" t="inlineStr">
        <is>
          <t>IP-78</t>
        </is>
      </c>
      <c r="B84" t="inlineStr">
        <is>
          <t>43</t>
        </is>
      </c>
      <c r="C84" t="inlineStr">
        <is>
          <t>Deporte y Recreación</t>
        </is>
      </c>
      <c r="D84" t="inlineStr">
        <is>
          <t>4301</t>
        </is>
      </c>
      <c r="E84" t="inlineStr">
        <is>
          <t>Fomento a la recreación, la actividad física y el deporte para desarrollar entornos de convivencia y paz</t>
        </is>
      </c>
      <c r="F84" t="inlineStr">
        <is>
          <t>4301006</t>
        </is>
      </c>
      <c r="G84" t="inlineStr">
        <is>
          <t>Documentos normativos</t>
        </is>
      </c>
      <c r="H84" t="inlineStr">
        <is>
          <t>430100600</t>
        </is>
      </c>
      <c r="I84" t="inlineStr">
        <is>
          <t>Documentos normativos realizados</t>
        </is>
      </c>
      <c r="J84" t="inlineStr">
        <is>
          <t>2024257850044</t>
        </is>
      </c>
      <c r="K84" t="inlineStr">
        <is>
          <t>No</t>
        </is>
      </c>
      <c r="L84" t="inlineStr">
        <is>
          <t>Número</t>
        </is>
      </c>
      <c r="M84">
        <v>1</v>
      </c>
      <c r="N84">
        <v>0</v>
      </c>
      <c r="O84">
        <v>0</v>
      </c>
      <c r="P84">
        <v>1</v>
      </c>
      <c r="Q84">
        <v>0</v>
      </c>
      <c r="R84" t="inlineStr">
        <is>
          <t xml:space="preserve"> </t>
        </is>
      </c>
      <c r="S84" s="103" t="inlineStr">
        <is>
          <t xml:space="preserve"> </t>
        </is>
      </c>
      <c r="T84" t="inlineStr">
        <is>
          <t>No se encontró ejecución en PIIP</t>
        </is>
      </c>
      <c r="U84" t="inlineStr">
        <is>
          <t xml:space="preserve"> </t>
        </is>
      </c>
      <c r="V84" s="104" t="inlineStr">
        <is>
          <t xml:space="preserve"> </t>
        </is>
      </c>
      <c r="W84" t="inlineStr">
        <is>
          <t>No se encontró ejecución en PIIP</t>
        </is>
      </c>
    </row>
    <row r="85">
      <c r="A85" t="inlineStr">
        <is>
          <t>IP-79</t>
        </is>
      </c>
      <c r="B85" t="inlineStr">
        <is>
          <t>43</t>
        </is>
      </c>
      <c r="C85" t="inlineStr">
        <is>
          <t>Deporte y Recreación</t>
        </is>
      </c>
      <c r="D85" t="inlineStr">
        <is>
          <t>4301</t>
        </is>
      </c>
      <c r="E85" t="inlineStr">
        <is>
          <t>Fomento a la recreación, la actividad física y el deporte para desarrollar entornos de convivencia y paz</t>
        </is>
      </c>
      <c r="F85" t="inlineStr">
        <is>
          <t>4301037</t>
        </is>
      </c>
      <c r="G85" t="inlineStr">
        <is>
          <t>Servicio de promoción de la actividad física, la recreación y el deporte</t>
        </is>
      </c>
      <c r="H85" t="inlineStr">
        <is>
          <t>430103703</t>
        </is>
      </c>
      <c r="I85" t="inlineStr">
        <is>
          <t xml:space="preserve"> Personas atendidas por los programas de recreación, deporte social comunitario, actividad física y aprovechamiento del tiempo libre</t>
        </is>
      </c>
      <c r="J85" t="inlineStr">
        <is>
          <t>2024257850044</t>
        </is>
      </c>
      <c r="K85" t="inlineStr">
        <is>
          <t>Si</t>
        </is>
      </c>
      <c r="L85" t="inlineStr">
        <is>
          <t>Número</t>
        </is>
      </c>
      <c r="M85">
        <v>4000</v>
      </c>
      <c r="N85">
        <v>1000</v>
      </c>
      <c r="O85">
        <v>1000</v>
      </c>
      <c r="P85">
        <v>1000</v>
      </c>
      <c r="Q85">
        <v>1000</v>
      </c>
      <c r="R85" t="inlineStr">
        <is>
          <t xml:space="preserve"> </t>
        </is>
      </c>
      <c r="S85" s="103" t="inlineStr">
        <is>
          <t xml:space="preserve"> </t>
        </is>
      </c>
      <c r="T85" t="inlineStr">
        <is>
          <t>No se encontró ejecución en PIIP</t>
        </is>
      </c>
      <c r="U85" t="inlineStr">
        <is>
          <t xml:space="preserve"> </t>
        </is>
      </c>
      <c r="V85" s="104" t="inlineStr">
        <is>
          <t xml:space="preserve"> </t>
        </is>
      </c>
      <c r="W85" t="inlineStr">
        <is>
          <t>No se encontró ejecución en PIIP</t>
        </is>
      </c>
    </row>
    <row r="86">
      <c r="A86" t="inlineStr">
        <is>
          <t>IP-80, IP-81</t>
        </is>
      </c>
      <c r="B86" t="inlineStr">
        <is>
          <t>32</t>
        </is>
      </c>
      <c r="C86" t="inlineStr">
        <is>
          <t>Ambiente y desarrollo sostenible</t>
        </is>
      </c>
      <c r="D86" t="inlineStr">
        <is>
          <t>3203</t>
        </is>
      </c>
      <c r="E86" t="inlineStr">
        <is>
          <t>Gestión integral del recurso hídrico</t>
        </is>
      </c>
      <c r="F86" t="inlineStr">
        <is>
          <t>3203050</t>
        </is>
      </c>
      <c r="G86" t="inlineStr">
        <is>
          <t>Servicio de protección del recurso hídrico</t>
        </is>
      </c>
      <c r="H86" t="inlineStr">
        <is>
          <t>320305000</t>
        </is>
      </c>
      <c r="I86" t="inlineStr">
        <is>
          <t>Áreas protegidas</t>
        </is>
      </c>
      <c r="J86" t="inlineStr">
        <is>
          <t>2024257850021</t>
        </is>
      </c>
      <c r="K86" t="inlineStr">
        <is>
          <t>Si</t>
        </is>
      </c>
      <c r="L86" t="inlineStr">
        <is>
          <t>Hectáreas</t>
        </is>
      </c>
      <c r="M86">
        <v>170</v>
      </c>
      <c r="N86">
        <v>42</v>
      </c>
      <c r="O86">
        <v>42</v>
      </c>
      <c r="P86">
        <v>43</v>
      </c>
      <c r="Q86">
        <v>43</v>
      </c>
      <c r="R86" t="inlineStr">
        <is>
          <t xml:space="preserve"> </t>
        </is>
      </c>
      <c r="S86" s="103" t="inlineStr">
        <is>
          <t xml:space="preserve"> </t>
        </is>
      </c>
      <c r="T86" t="inlineStr">
        <is>
          <t>No se encontró ejecución en PIIP</t>
        </is>
      </c>
      <c r="U86" t="inlineStr">
        <is>
          <t xml:space="preserve"> </t>
        </is>
      </c>
      <c r="V86" s="104" t="inlineStr">
        <is>
          <t xml:space="preserve"> </t>
        </is>
      </c>
      <c r="W86" t="inlineStr">
        <is>
          <t>No se encontró ejecución en PIIP</t>
        </is>
      </c>
    </row>
    <row r="87">
      <c r="A87" t="inlineStr">
        <is>
          <t>IP-82</t>
        </is>
      </c>
      <c r="B87" t="inlineStr">
        <is>
          <t>32</t>
        </is>
      </c>
      <c r="C87" t="inlineStr">
        <is>
          <t>Ambiente y desarrollo sostenible</t>
        </is>
      </c>
      <c r="D87" t="inlineStr">
        <is>
          <t>3202</t>
        </is>
      </c>
      <c r="E87" t="inlineStr">
        <is>
          <t>Conservación de la biodiversidad y sus servicios ecosistémicos</t>
        </is>
      </c>
      <c r="F87" t="inlineStr">
        <is>
          <t>3202037</t>
        </is>
      </c>
      <c r="G87" t="inlineStr">
        <is>
          <t>Servicio de recuperación de cuerpos de agua lénticos y lóticos</t>
        </is>
      </c>
      <c r="H87" t="inlineStr">
        <is>
          <t>320203700</t>
        </is>
      </c>
      <c r="I87" t="inlineStr">
        <is>
          <t xml:space="preserve">Extensión de cuerpos de agua recuperados </t>
        </is>
      </c>
      <c r="J87" t="inlineStr">
        <is>
          <t>2024257850020</t>
        </is>
      </c>
      <c r="K87" t="inlineStr">
        <is>
          <t>Si</t>
        </is>
      </c>
      <c r="L87" t="inlineStr">
        <is>
          <t>Hectáreas</t>
        </is>
      </c>
      <c r="M87">
        <v>40</v>
      </c>
      <c r="N87">
        <v>1</v>
      </c>
      <c r="O87">
        <v>15</v>
      </c>
      <c r="P87">
        <v>15</v>
      </c>
      <c r="Q87">
        <v>9</v>
      </c>
      <c r="R87" t="inlineStr">
        <is>
          <t xml:space="preserve"> </t>
        </is>
      </c>
      <c r="S87" s="103" t="inlineStr">
        <is>
          <t xml:space="preserve"> </t>
        </is>
      </c>
      <c r="T87" t="inlineStr">
        <is>
          <t>No se encontró ejecución en PIIP</t>
        </is>
      </c>
      <c r="U87" t="inlineStr">
        <is>
          <t xml:space="preserve"> </t>
        </is>
      </c>
      <c r="V87" s="104" t="inlineStr">
        <is>
          <t xml:space="preserve"> </t>
        </is>
      </c>
      <c r="W87" t="inlineStr">
        <is>
          <t>No se encontró ejecución en PIIP</t>
        </is>
      </c>
    </row>
    <row r="88">
      <c r="A88" t="inlineStr">
        <is>
          <t>IP-83</t>
        </is>
      </c>
      <c r="B88" t="inlineStr">
        <is>
          <t>32</t>
        </is>
      </c>
      <c r="C88" t="inlineStr">
        <is>
          <t>Ambiente y desarrollo sostenible</t>
        </is>
      </c>
      <c r="D88" t="inlineStr">
        <is>
          <t>3202</t>
        </is>
      </c>
      <c r="E88" t="inlineStr">
        <is>
          <t>Conservación de la biodiversidad y sus servicios ecosistémicos</t>
        </is>
      </c>
      <c r="F88" t="inlineStr">
        <is>
          <t>3202028</t>
        </is>
      </c>
      <c r="G88" t="inlineStr">
        <is>
          <t>Centro de Atención e interpretación de la biodiversidad y sus servicios ecosistemicos adecuado</t>
        </is>
      </c>
      <c r="H88" t="inlineStr">
        <is>
          <t>320202800</t>
        </is>
      </c>
      <c r="I88" t="inlineStr">
        <is>
          <t>Centro de Atención e interpretación de la biodiversidad y sus Servicio ecosistemicos adecuado</t>
        </is>
      </c>
      <c r="J88" t="inlineStr">
        <is>
          <t>2024257850020</t>
        </is>
      </c>
      <c r="K88" t="inlineStr">
        <is>
          <t>No</t>
        </is>
      </c>
      <c r="L88" t="inlineStr">
        <is>
          <t>Número</t>
        </is>
      </c>
      <c r="M88">
        <v>1</v>
      </c>
      <c r="N88">
        <v>1</v>
      </c>
      <c r="O88">
        <v>1</v>
      </c>
      <c r="P88">
        <v>1</v>
      </c>
      <c r="Q88">
        <v>1</v>
      </c>
      <c r="R88" t="inlineStr">
        <is>
          <t xml:space="preserve"> </t>
        </is>
      </c>
      <c r="S88" s="103" t="inlineStr">
        <is>
          <t xml:space="preserve"> </t>
        </is>
      </c>
      <c r="T88" t="inlineStr">
        <is>
          <t>No se encontró ejecución en PIIP</t>
        </is>
      </c>
      <c r="U88" t="inlineStr">
        <is>
          <t xml:space="preserve"> </t>
        </is>
      </c>
      <c r="V88" s="104" t="inlineStr">
        <is>
          <t xml:space="preserve"> </t>
        </is>
      </c>
      <c r="W88" t="inlineStr">
        <is>
          <t>No se encontró ejecución en PIIP</t>
        </is>
      </c>
    </row>
    <row r="89">
      <c r="A89" t="inlineStr">
        <is>
          <t>IP-84</t>
        </is>
      </c>
      <c r="B89" t="inlineStr">
        <is>
          <t>32</t>
        </is>
      </c>
      <c r="C89" t="inlineStr">
        <is>
          <t>Ambiente y desarrollo sostenible</t>
        </is>
      </c>
      <c r="D89" t="inlineStr">
        <is>
          <t>3202</t>
        </is>
      </c>
      <c r="E89" t="inlineStr">
        <is>
          <t>Conservación de la biodiversidad y sus servicios ecosistémicos</t>
        </is>
      </c>
      <c r="F89" t="inlineStr">
        <is>
          <t>3202038</t>
        </is>
      </c>
      <c r="G89" t="inlineStr">
        <is>
          <t>Servicio de producción de plántulas en viveros</t>
        </is>
      </c>
      <c r="H89" t="inlineStr">
        <is>
          <t>320203800</t>
        </is>
      </c>
      <c r="I89" t="inlineStr">
        <is>
          <t>Plántulas producidas</t>
        </is>
      </c>
      <c r="J89" t="inlineStr">
        <is>
          <t>2024257850020</t>
        </is>
      </c>
      <c r="K89" t="inlineStr">
        <is>
          <t>Si</t>
        </is>
      </c>
      <c r="L89" t="inlineStr">
        <is>
          <t>Número</t>
        </is>
      </c>
      <c r="M89">
        <v>8800</v>
      </c>
      <c r="N89">
        <v>0</v>
      </c>
      <c r="O89">
        <v>2200</v>
      </c>
      <c r="P89">
        <v>2200</v>
      </c>
      <c r="Q89">
        <v>4400</v>
      </c>
      <c r="R89" t="inlineStr">
        <is>
          <t xml:space="preserve"> </t>
        </is>
      </c>
      <c r="S89" s="103" t="inlineStr">
        <is>
          <t xml:space="preserve"> </t>
        </is>
      </c>
      <c r="T89" t="inlineStr">
        <is>
          <t>No se encontró ejecución en PIIP</t>
        </is>
      </c>
      <c r="U89" t="inlineStr">
        <is>
          <t xml:space="preserve"> </t>
        </is>
      </c>
      <c r="V89" s="104" t="inlineStr">
        <is>
          <t xml:space="preserve"> </t>
        </is>
      </c>
      <c r="W89" t="inlineStr">
        <is>
          <t>No se encontró ejecución en PIIP</t>
        </is>
      </c>
    </row>
    <row r="90">
      <c r="A90" t="inlineStr">
        <is>
          <t>IP-85</t>
        </is>
      </c>
      <c r="B90" t="inlineStr">
        <is>
          <t>32</t>
        </is>
      </c>
      <c r="C90" t="inlineStr">
        <is>
          <t>Ambiente y desarrollo sostenible</t>
        </is>
      </c>
      <c r="D90" t="inlineStr">
        <is>
          <t>3206</t>
        </is>
      </c>
      <c r="E90" t="inlineStr">
        <is>
          <t>Gestión del cambio climático para un desarrollo bajo en carbono y resiliente al clima</t>
        </is>
      </c>
      <c r="F90" t="inlineStr">
        <is>
          <t>3206004</t>
        </is>
      </c>
      <c r="G90" t="inlineStr">
        <is>
          <t>Servicio de educación informal en gestión del cambio climático para un desarrollo bajo en carbono y resiliente al clima</t>
        </is>
      </c>
      <c r="H90" t="inlineStr">
        <is>
          <t>320600400</t>
        </is>
      </c>
      <c r="I90" t="inlineStr">
        <is>
          <t>Personas capacitadas en gestión del cambio climático</t>
        </is>
      </c>
      <c r="J90" t="inlineStr">
        <is>
          <t>2024257850019</t>
        </is>
      </c>
      <c r="K90" t="inlineStr">
        <is>
          <t>Si</t>
        </is>
      </c>
      <c r="L90" t="inlineStr">
        <is>
          <t>Número</t>
        </is>
      </c>
      <c r="M90">
        <v>2000</v>
      </c>
      <c r="N90">
        <v>500</v>
      </c>
      <c r="O90">
        <v>500</v>
      </c>
      <c r="P90">
        <v>500</v>
      </c>
      <c r="Q90">
        <v>500</v>
      </c>
      <c r="R90" t="inlineStr">
        <is>
          <t xml:space="preserve"> </t>
        </is>
      </c>
      <c r="S90" s="103" t="inlineStr">
        <is>
          <t xml:space="preserve"> </t>
        </is>
      </c>
      <c r="T90" t="inlineStr">
        <is>
          <t>No se encontró ejecución en PIIP</t>
        </is>
      </c>
      <c r="U90" t="inlineStr">
        <is>
          <t xml:space="preserve"> </t>
        </is>
      </c>
      <c r="V90" s="104" t="inlineStr">
        <is>
          <t xml:space="preserve"> </t>
        </is>
      </c>
      <c r="W90" t="inlineStr">
        <is>
          <t>No se encontró ejecución en PIIP</t>
        </is>
      </c>
    </row>
    <row r="91">
      <c r="A91" t="inlineStr">
        <is>
          <t>IP-86</t>
        </is>
      </c>
      <c r="B91" t="inlineStr">
        <is>
          <t>32</t>
        </is>
      </c>
      <c r="C91" t="inlineStr">
        <is>
          <t>Ambiente y desarrollo sostenible</t>
        </is>
      </c>
      <c r="D91" t="inlineStr">
        <is>
          <t>3208</t>
        </is>
      </c>
      <c r="E91" t="inlineStr">
        <is>
          <t xml:space="preserve">Educación Ambiental </t>
        </is>
      </c>
      <c r="F91" t="inlineStr">
        <is>
          <t>3208008</t>
        </is>
      </c>
      <c r="G91" t="inlineStr">
        <is>
          <t>Servicio de divulgación de la información de la política nacional de educación ambiental y participación</t>
        </is>
      </c>
      <c r="H91" t="inlineStr">
        <is>
          <t>320800802</t>
        </is>
      </c>
      <c r="I91" t="inlineStr">
        <is>
          <t>Eventos de educación y participación realizados</t>
        </is>
      </c>
      <c r="J91" t="inlineStr">
        <is>
          <t>2024257850022</t>
        </is>
      </c>
      <c r="K91" t="inlineStr">
        <is>
          <t>Si</t>
        </is>
      </c>
      <c r="L91" t="inlineStr">
        <is>
          <t>Número</t>
        </is>
      </c>
      <c r="M91">
        <v>30</v>
      </c>
      <c r="N91">
        <v>6</v>
      </c>
      <c r="O91">
        <v>8</v>
      </c>
      <c r="P91">
        <v>8</v>
      </c>
      <c r="Q91">
        <v>8</v>
      </c>
      <c r="R91" t="inlineStr">
        <is>
          <t xml:space="preserve"> </t>
        </is>
      </c>
      <c r="S91" s="103" t="inlineStr">
        <is>
          <t xml:space="preserve"> </t>
        </is>
      </c>
      <c r="T91" t="inlineStr">
        <is>
          <t>No se encontró ejecución en PIIP</t>
        </is>
      </c>
      <c r="U91" t="inlineStr">
        <is>
          <t xml:space="preserve"> </t>
        </is>
      </c>
      <c r="V91" s="104" t="inlineStr">
        <is>
          <t xml:space="preserve"> </t>
        </is>
      </c>
      <c r="W91" t="inlineStr">
        <is>
          <t>No se encontró ejecución en PIIP</t>
        </is>
      </c>
    </row>
    <row r="92">
      <c r="A92" t="inlineStr">
        <is>
          <t>IP-87</t>
        </is>
      </c>
      <c r="B92" t="inlineStr">
        <is>
          <t>32</t>
        </is>
      </c>
      <c r="C92" t="inlineStr">
        <is>
          <t>Ambiente y desarrollo sostenible</t>
        </is>
      </c>
      <c r="D92" t="inlineStr">
        <is>
          <t>3208</t>
        </is>
      </c>
      <c r="E92" t="inlineStr">
        <is>
          <t xml:space="preserve">Educación Ambiental </t>
        </is>
      </c>
      <c r="F92" t="inlineStr">
        <is>
          <t>3208008</t>
        </is>
      </c>
      <c r="G92" t="inlineStr">
        <is>
          <t>Servicio de divulgación de la información de la política nacional de educación ambiental y participación</t>
        </is>
      </c>
      <c r="H92" t="inlineStr">
        <is>
          <t>320800800</t>
        </is>
      </c>
      <c r="I92" t="inlineStr">
        <is>
          <t>Campañas de educación ambiental y participación implementadas</t>
        </is>
      </c>
      <c r="J92" t="inlineStr">
        <is>
          <t>2024257850022</t>
        </is>
      </c>
      <c r="K92" t="inlineStr">
        <is>
          <t>Si</t>
        </is>
      </c>
      <c r="L92" t="inlineStr">
        <is>
          <t>Número</t>
        </is>
      </c>
      <c r="M92">
        <v>4</v>
      </c>
      <c r="N92">
        <v>1</v>
      </c>
      <c r="O92">
        <v>1</v>
      </c>
      <c r="P92">
        <v>1</v>
      </c>
      <c r="Q92">
        <v>1</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A93" t="inlineStr">
        <is>
          <t>IP-88</t>
        </is>
      </c>
      <c r="B93" t="inlineStr">
        <is>
          <t>45</t>
        </is>
      </c>
      <c r="C93" t="inlineStr">
        <is>
          <t>Gobierno Territorial</t>
        </is>
      </c>
      <c r="D93" t="inlineStr">
        <is>
          <t>4503</t>
        </is>
      </c>
      <c r="E93" t="inlineStr">
        <is>
          <t>Gestión del riesgo de desastres y emergencias</t>
        </is>
      </c>
      <c r="F93" t="inlineStr">
        <is>
          <t>4503023</t>
        </is>
      </c>
      <c r="G93" t="inlineStr">
        <is>
          <t>Documentos de planeación</t>
        </is>
      </c>
      <c r="H93" t="inlineStr">
        <is>
          <t>450302301</t>
        </is>
      </c>
      <c r="I93" t="inlineStr">
        <is>
          <t>Plan de gestión del riesgo de desastres formulado</t>
        </is>
      </c>
      <c r="J93" t="inlineStr">
        <is>
          <t>2024257850035</t>
        </is>
      </c>
      <c r="K93" t="inlineStr">
        <is>
          <t>No</t>
        </is>
      </c>
      <c r="L93" t="inlineStr">
        <is>
          <t>Número</t>
        </is>
      </c>
      <c r="M93">
        <v>1</v>
      </c>
      <c r="N93">
        <v>0</v>
      </c>
      <c r="O93">
        <v>1</v>
      </c>
      <c r="P93">
        <v>0</v>
      </c>
      <c r="Q93">
        <v>0</v>
      </c>
      <c r="R93" t="inlineStr">
        <is>
          <t xml:space="preserve"> </t>
        </is>
      </c>
      <c r="S93" s="103" t="inlineStr">
        <is>
          <t xml:space="preserve"> </t>
        </is>
      </c>
      <c r="T93" t="inlineStr">
        <is>
          <t>No se encontró ejecución en PIIP</t>
        </is>
      </c>
      <c r="U93" t="inlineStr">
        <is>
          <t xml:space="preserve"> </t>
        </is>
      </c>
      <c r="V93" s="104" t="inlineStr">
        <is>
          <t xml:space="preserve"> </t>
        </is>
      </c>
      <c r="W93" t="inlineStr">
        <is>
          <t>No se encontró ejecución en PIIP</t>
        </is>
      </c>
    </row>
    <row r="94">
      <c r="A94" t="inlineStr">
        <is>
          <t>IP-89</t>
        </is>
      </c>
      <c r="B94" t="inlineStr">
        <is>
          <t>45</t>
        </is>
      </c>
      <c r="C94" t="inlineStr">
        <is>
          <t>Gobierno Territorial</t>
        </is>
      </c>
      <c r="D94" t="inlineStr">
        <is>
          <t>4503</t>
        </is>
      </c>
      <c r="E94" t="inlineStr">
        <is>
          <t>Gestión del riesgo de desastres y emergencias</t>
        </is>
      </c>
      <c r="F94" t="inlineStr">
        <is>
          <t>4503023</t>
        </is>
      </c>
      <c r="G94" t="inlineStr">
        <is>
          <t>Documentos de planeación</t>
        </is>
      </c>
      <c r="H94" t="inlineStr">
        <is>
          <t>450302302</t>
        </is>
      </c>
      <c r="I94" t="inlineStr">
        <is>
          <t>Estrategia para la respuesta a emergencias actualizada</t>
        </is>
      </c>
      <c r="J94" t="inlineStr">
        <is>
          <t>2024257850035</t>
        </is>
      </c>
      <c r="K94" t="inlineStr">
        <is>
          <t>No</t>
        </is>
      </c>
      <c r="L94" t="inlineStr">
        <is>
          <t>Número</t>
        </is>
      </c>
      <c r="M94">
        <v>1</v>
      </c>
      <c r="N94">
        <v>0</v>
      </c>
      <c r="O94">
        <v>1</v>
      </c>
      <c r="P94">
        <v>0</v>
      </c>
      <c r="Q94">
        <v>0</v>
      </c>
      <c r="R94" t="inlineStr">
        <is>
          <t xml:space="preserve"> </t>
        </is>
      </c>
      <c r="S94" s="103" t="inlineStr">
        <is>
          <t xml:space="preserve"> </t>
        </is>
      </c>
      <c r="T94" t="inlineStr">
        <is>
          <t>No se encontró ejecución en PIIP</t>
        </is>
      </c>
      <c r="U94" t="inlineStr">
        <is>
          <t xml:space="preserve"> </t>
        </is>
      </c>
      <c r="V94" s="104" t="inlineStr">
        <is>
          <t xml:space="preserve"> </t>
        </is>
      </c>
      <c r="W94" t="inlineStr">
        <is>
          <t>No se encontró ejecución en PIIP</t>
        </is>
      </c>
    </row>
    <row r="95">
      <c r="A95" t="inlineStr">
        <is>
          <t>IP-90</t>
        </is>
      </c>
      <c r="B95" t="inlineStr">
        <is>
          <t>45</t>
        </is>
      </c>
      <c r="C95" t="inlineStr">
        <is>
          <t>Gobierno Territorial</t>
        </is>
      </c>
      <c r="D95" t="inlineStr">
        <is>
          <t>4503</t>
        </is>
      </c>
      <c r="E95" t="inlineStr">
        <is>
          <t>Gestión del riesgo de desastres y emergencias</t>
        </is>
      </c>
      <c r="F95" t="inlineStr">
        <is>
          <t>4503019</t>
        </is>
      </c>
      <c r="G95" t="inlineStr">
        <is>
          <t>"Servicios de información implementados"</t>
        </is>
      </c>
      <c r="H95" t="inlineStr">
        <is>
          <t>450301900</t>
        </is>
      </c>
      <c r="I95" t="inlineStr">
        <is>
          <t>Sistemas de información implementados</t>
        </is>
      </c>
      <c r="J95" t="inlineStr">
        <is>
          <t>2024257850035</t>
        </is>
      </c>
      <c r="K95" t="inlineStr">
        <is>
          <t>No</t>
        </is>
      </c>
      <c r="L95" t="inlineStr">
        <is>
          <t>Número</t>
        </is>
      </c>
      <c r="M95">
        <v>1</v>
      </c>
      <c r="N95">
        <v>0</v>
      </c>
      <c r="O95">
        <v>0</v>
      </c>
      <c r="P95">
        <v>1</v>
      </c>
      <c r="Q95">
        <v>0</v>
      </c>
      <c r="R95" t="inlineStr">
        <is>
          <t xml:space="preserve"> </t>
        </is>
      </c>
      <c r="S95" s="103" t="inlineStr">
        <is>
          <t xml:space="preserve"> </t>
        </is>
      </c>
      <c r="T95" t="inlineStr">
        <is>
          <t>No se encontró ejecución en PIIP</t>
        </is>
      </c>
      <c r="U95" t="inlineStr">
        <is>
          <t xml:space="preserve"> </t>
        </is>
      </c>
      <c r="V95" s="104" t="inlineStr">
        <is>
          <t xml:space="preserve"> </t>
        </is>
      </c>
      <c r="W95" t="inlineStr">
        <is>
          <t>No se encontró ejecución en PIIP</t>
        </is>
      </c>
    </row>
    <row r="96">
      <c r="A96" t="inlineStr">
        <is>
          <t>IP-92</t>
        </is>
      </c>
      <c r="B96" t="inlineStr">
        <is>
          <t>45</t>
        </is>
      </c>
      <c r="C96" t="inlineStr">
        <is>
          <t>Gobierno Territorial</t>
        </is>
      </c>
      <c r="D96" t="inlineStr">
        <is>
          <t>4503</t>
        </is>
      </c>
      <c r="E96" t="inlineStr">
        <is>
          <t>Gestión del riesgo de desastres y emergencias</t>
        </is>
      </c>
      <c r="F96" t="inlineStr">
        <is>
          <t>4503035</t>
        </is>
      </c>
      <c r="G96" t="inlineStr">
        <is>
          <t>Servicio prevención y control de incendios</t>
        </is>
      </c>
      <c r="H96" t="inlineStr">
        <is>
          <t>450303500</t>
        </is>
      </c>
      <c r="I96" t="inlineStr">
        <is>
          <t>Cuerpos de bomberos disponibles para la prevención y control de incendios en la entidad territorial</t>
        </is>
      </c>
      <c r="J96" t="inlineStr">
        <is>
          <t>2024257850035</t>
        </is>
      </c>
      <c r="K96" t="inlineStr">
        <is>
          <t>No</t>
        </is>
      </c>
      <c r="L96" t="inlineStr">
        <is>
          <t>Número</t>
        </is>
      </c>
      <c r="M96">
        <v>1</v>
      </c>
      <c r="N96">
        <v>1</v>
      </c>
      <c r="O96">
        <v>1</v>
      </c>
      <c r="P96">
        <v>1</v>
      </c>
      <c r="Q96">
        <v>1</v>
      </c>
      <c r="R96">
        <v>0</v>
      </c>
      <c r="S96" s="103">
        <v>0</v>
      </c>
      <c r="T96" t="inlineStr">
        <is>
          <t>No se ejecutó en la vigencia</t>
        </is>
      </c>
      <c r="U96" t="inlineStr">
        <is>
          <t xml:space="preserve"> </t>
        </is>
      </c>
      <c r="V96" s="104" t="inlineStr">
        <is>
          <t xml:space="preserve"> </t>
        </is>
      </c>
      <c r="W96" t="inlineStr">
        <is>
          <t>No se encontró ejecución en PIIP</t>
        </is>
      </c>
    </row>
    <row r="97">
      <c r="A97" t="inlineStr">
        <is>
          <t>IP-93</t>
        </is>
      </c>
      <c r="B97" t="inlineStr">
        <is>
          <t>45</t>
        </is>
      </c>
      <c r="C97" t="inlineStr">
        <is>
          <t>Gobierno Territorial</t>
        </is>
      </c>
      <c r="D97" t="inlineStr">
        <is>
          <t>4503</t>
        </is>
      </c>
      <c r="E97" t="inlineStr">
        <is>
          <t>Gestión del riesgo de desastres y emergencias</t>
        </is>
      </c>
      <c r="F97" t="inlineStr">
        <is>
          <t>4503016</t>
        </is>
      </c>
      <c r="G97" t="inlineStr">
        <is>
          <t>Servicio de fortalecimiento a las salas de crisis territorial</t>
        </is>
      </c>
      <c r="H97" t="inlineStr">
        <is>
          <t>450301600</t>
        </is>
      </c>
      <c r="I97" t="inlineStr">
        <is>
          <t>Organismos de atención de emergencias fortalecidos</t>
        </is>
      </c>
      <c r="J97" t="inlineStr">
        <is>
          <t>2024257850035</t>
        </is>
      </c>
      <c r="K97" t="inlineStr">
        <is>
          <t>Si</t>
        </is>
      </c>
      <c r="L97" t="inlineStr">
        <is>
          <t>Número</t>
        </is>
      </c>
      <c r="M97">
        <v>2</v>
      </c>
      <c r="N97">
        <v>0</v>
      </c>
      <c r="O97">
        <v>1</v>
      </c>
      <c r="P97">
        <v>1</v>
      </c>
      <c r="Q97">
        <v>0</v>
      </c>
      <c r="R97" t="inlineStr">
        <is>
          <t xml:space="preserve"> </t>
        </is>
      </c>
      <c r="S97" s="103" t="inlineStr">
        <is>
          <t xml:space="preserve"> </t>
        </is>
      </c>
      <c r="T97" t="inlineStr">
        <is>
          <t>No se encontró ejecución en PIIP</t>
        </is>
      </c>
      <c r="U97" t="inlineStr">
        <is>
          <t xml:space="preserve"> </t>
        </is>
      </c>
      <c r="V97" s="104" t="inlineStr">
        <is>
          <t xml:space="preserve"> </t>
        </is>
      </c>
      <c r="W97" t="inlineStr">
        <is>
          <t>No se encontró ejecución en PIIP</t>
        </is>
      </c>
    </row>
    <row r="98">
      <c r="A98" t="inlineStr">
        <is>
          <t>IP-94</t>
        </is>
      </c>
      <c r="B98" t="inlineStr">
        <is>
          <t>45</t>
        </is>
      </c>
      <c r="C98" t="inlineStr">
        <is>
          <t>Gobierno Territorial</t>
        </is>
      </c>
      <c r="D98" t="inlineStr">
        <is>
          <t>4503</t>
        </is>
      </c>
      <c r="E98" t="inlineStr">
        <is>
          <t>Gestión del riesgo de desastres y emergencias</t>
        </is>
      </c>
      <c r="F98" t="inlineStr">
        <is>
          <t>4503022</t>
        </is>
      </c>
      <c r="G98" t="inlineStr">
        <is>
          <t>Obras de infraestructura para la reducción del riesgo de desastres</t>
        </is>
      </c>
      <c r="H98" t="inlineStr">
        <is>
          <t>450302200</t>
        </is>
      </c>
      <c r="I98" t="inlineStr">
        <is>
          <t>Obras de infraestructura para la reducción del riesgo de desastres realizadas</t>
        </is>
      </c>
      <c r="J98" t="inlineStr">
        <is>
          <t>2024257850035</t>
        </is>
      </c>
      <c r="K98" t="inlineStr">
        <is>
          <t>Si</t>
        </is>
      </c>
      <c r="L98" t="inlineStr">
        <is>
          <t>Número</t>
        </is>
      </c>
      <c r="M98">
        <v>3</v>
      </c>
      <c r="N98">
        <v>0</v>
      </c>
      <c r="O98">
        <v>0</v>
      </c>
      <c r="P98">
        <v>1</v>
      </c>
      <c r="Q98">
        <v>1</v>
      </c>
      <c r="R98" t="inlineStr">
        <is>
          <t xml:space="preserve"> </t>
        </is>
      </c>
      <c r="S98" s="103" t="inlineStr">
        <is>
          <t xml:space="preserve"> </t>
        </is>
      </c>
      <c r="T98" t="inlineStr">
        <is>
          <t>No se encontró ejecución en PIIP</t>
        </is>
      </c>
      <c r="U98" t="inlineStr">
        <is>
          <t xml:space="preserve"> </t>
        </is>
      </c>
      <c r="V98" s="104" t="inlineStr">
        <is>
          <t xml:space="preserve"> </t>
        </is>
      </c>
      <c r="W98" t="inlineStr">
        <is>
          <t>No se encontró ejecución en PIIP</t>
        </is>
      </c>
    </row>
    <row r="99">
      <c r="A99" t="inlineStr">
        <is>
          <t>IP-95</t>
        </is>
      </c>
      <c r="B99" t="inlineStr">
        <is>
          <t>17</t>
        </is>
      </c>
      <c r="C99" t="inlineStr">
        <is>
          <t xml:space="preserve">Agricultura y desarrollo rural
</t>
        </is>
      </c>
      <c r="D99" t="inlineStr">
        <is>
          <t>1702</t>
        </is>
      </c>
      <c r="E99" t="inlineStr">
        <is>
          <t>Inclusión productiva de pequeños productores rurales</t>
        </is>
      </c>
      <c r="F99" t="inlineStr">
        <is>
          <t>1702010</t>
        </is>
      </c>
      <c r="G99" t="inlineStr">
        <is>
          <t>Servicio de asistencia técnica agropecuaria dirigida a pequeños productores</t>
        </is>
      </c>
      <c r="H99" t="inlineStr">
        <is>
          <t>170201000</t>
        </is>
      </c>
      <c r="I99" t="inlineStr">
        <is>
          <t>Pequeños productores rurales asistidos técnicamente</t>
        </is>
      </c>
      <c r="J99" t="inlineStr">
        <is>
          <t>2024257850025</t>
        </is>
      </c>
      <c r="K99" t="inlineStr">
        <is>
          <t>Si</t>
        </is>
      </c>
      <c r="L99" t="inlineStr">
        <is>
          <t>Número</t>
        </is>
      </c>
      <c r="M99">
        <v>3000</v>
      </c>
      <c r="N99">
        <v>750</v>
      </c>
      <c r="O99">
        <v>750</v>
      </c>
      <c r="P99">
        <v>750</v>
      </c>
      <c r="Q99">
        <v>750</v>
      </c>
      <c r="R99" t="inlineStr">
        <is>
          <t xml:space="preserve"> </t>
        </is>
      </c>
      <c r="S99" s="103" t="inlineStr">
        <is>
          <t xml:space="preserve"> </t>
        </is>
      </c>
      <c r="T99" t="inlineStr">
        <is>
          <t>No se encontró ejecución en PIIP</t>
        </is>
      </c>
      <c r="U99" t="inlineStr">
        <is>
          <t xml:space="preserve"> </t>
        </is>
      </c>
      <c r="V99" s="104" t="inlineStr">
        <is>
          <t xml:space="preserve"> </t>
        </is>
      </c>
      <c r="W99" t="inlineStr">
        <is>
          <t>No se encontró ejecución en PIIP</t>
        </is>
      </c>
    </row>
    <row r="100">
      <c r="A100" t="inlineStr">
        <is>
          <t>IP-98</t>
        </is>
      </c>
      <c r="B100" t="inlineStr">
        <is>
          <t>17</t>
        </is>
      </c>
      <c r="C100" t="inlineStr">
        <is>
          <t xml:space="preserve">Agricultura y desarrollo rural
</t>
        </is>
      </c>
      <c r="D100" t="inlineStr">
        <is>
          <t>1709</t>
        </is>
      </c>
      <c r="E100" t="inlineStr">
        <is>
          <t>Infraestructura productiva y comercialización</t>
        </is>
      </c>
      <c r="F100" t="inlineStr">
        <is>
          <t>1709114</t>
        </is>
      </c>
      <c r="G100" t="inlineStr">
        <is>
          <t>Bancos de maquinaria y equipos para la producción agropecuaria dotado</t>
        </is>
      </c>
      <c r="H100" t="inlineStr">
        <is>
          <t>170911400</t>
        </is>
      </c>
      <c r="I100" t="inlineStr">
        <is>
          <t>Maquinaria y equipos para la producción agropecuaria adquiridos</t>
        </is>
      </c>
      <c r="J100" t="inlineStr">
        <is>
          <t>2024257850024</t>
        </is>
      </c>
      <c r="K100" t="inlineStr">
        <is>
          <t>Si</t>
        </is>
      </c>
      <c r="L100" t="inlineStr">
        <is>
          <t>Número</t>
        </is>
      </c>
      <c r="M100">
        <v>9</v>
      </c>
      <c r="N100">
        <v>2</v>
      </c>
      <c r="O100">
        <v>2</v>
      </c>
      <c r="P100">
        <v>2</v>
      </c>
      <c r="Q100">
        <v>3</v>
      </c>
      <c r="R100" t="inlineStr">
        <is>
          <t xml:space="preserve"> </t>
        </is>
      </c>
      <c r="S100" s="103" t="inlineStr">
        <is>
          <t xml:space="preserve"> </t>
        </is>
      </c>
      <c r="T100" t="inlineStr">
        <is>
          <t>No se encontró ejecución en PIIP</t>
        </is>
      </c>
      <c r="U100" t="inlineStr">
        <is>
          <t xml:space="preserve"> </t>
        </is>
      </c>
      <c r="V100" s="104" t="inlineStr">
        <is>
          <t xml:space="preserve"> </t>
        </is>
      </c>
      <c r="W100" t="inlineStr">
        <is>
          <t>No se encontró ejecución en PIIP</t>
        </is>
      </c>
    </row>
    <row r="101">
      <c r="A101" t="inlineStr">
        <is>
          <t>IP-99</t>
        </is>
      </c>
      <c r="B101" t="inlineStr">
        <is>
          <t>17</t>
        </is>
      </c>
      <c r="C101" t="inlineStr">
        <is>
          <t xml:space="preserve">Agricultura y desarrollo rural
</t>
        </is>
      </c>
      <c r="D101" t="inlineStr">
        <is>
          <t>1709</t>
        </is>
      </c>
      <c r="E101" t="inlineStr">
        <is>
          <t>Infraestructura productiva y comercialización</t>
        </is>
      </c>
      <c r="F101" t="inlineStr">
        <is>
          <t>1709065</t>
        </is>
      </c>
      <c r="G101" t="inlineStr">
        <is>
          <t>Plantas de beneficio animal adecuadas</t>
        </is>
      </c>
      <c r="H101" t="inlineStr">
        <is>
          <t>170906500</t>
        </is>
      </c>
      <c r="I101" t="inlineStr">
        <is>
          <t>Plantas de beneficio animal adecuadas</t>
        </is>
      </c>
      <c r="J101" t="inlineStr">
        <is>
          <t>2024257850024</t>
        </is>
      </c>
      <c r="K101" t="inlineStr">
        <is>
          <t>No</t>
        </is>
      </c>
      <c r="L101" t="inlineStr">
        <is>
          <t>Número</t>
        </is>
      </c>
      <c r="M101">
        <v>1</v>
      </c>
      <c r="N101">
        <v>1</v>
      </c>
      <c r="O101">
        <v>0</v>
      </c>
      <c r="P101">
        <v>1</v>
      </c>
      <c r="Q101">
        <v>1</v>
      </c>
      <c r="R101" t="inlineStr">
        <is>
          <t xml:space="preserve"> </t>
        </is>
      </c>
      <c r="S101" s="103" t="inlineStr">
        <is>
          <t xml:space="preserve"> </t>
        </is>
      </c>
      <c r="T101" t="inlineStr">
        <is>
          <t>No se encontró ejecución en PIIP</t>
        </is>
      </c>
      <c r="U101" t="inlineStr">
        <is>
          <t xml:space="preserve"> </t>
        </is>
      </c>
      <c r="V101" s="104" t="inlineStr">
        <is>
          <t xml:space="preserve"> </t>
        </is>
      </c>
      <c r="W101" t="inlineStr">
        <is>
          <t>No se encontró ejecución en PIIP</t>
        </is>
      </c>
    </row>
    <row r="102">
      <c r="A102" t="inlineStr">
        <is>
          <t>IP-100</t>
        </is>
      </c>
      <c r="B102" t="inlineStr">
        <is>
          <t>17</t>
        </is>
      </c>
      <c r="C102" t="inlineStr">
        <is>
          <t xml:space="preserve">Agricultura y desarrollo rural
</t>
        </is>
      </c>
      <c r="D102" t="inlineStr">
        <is>
          <t>1706</t>
        </is>
      </c>
      <c r="E102" t="inlineStr">
        <is>
          <t>Aprovechamiento de mercados externos</t>
        </is>
      </c>
      <c r="F102" t="inlineStr">
        <is>
          <t>1706008</t>
        </is>
      </c>
      <c r="G102" t="inlineStr">
        <is>
          <t>Servicio de apoyo financiero para la organización de ferias nacionales e internacionales</t>
        </is>
      </c>
      <c r="H102" t="inlineStr">
        <is>
          <t>170600800</t>
        </is>
      </c>
      <c r="I102" t="inlineStr">
        <is>
          <t>Ferias nacionales e internacionales organizadas</t>
        </is>
      </c>
      <c r="J102" t="inlineStr">
        <is>
          <t>2024257850023</t>
        </is>
      </c>
      <c r="K102" t="inlineStr">
        <is>
          <t>Si</t>
        </is>
      </c>
      <c r="L102" t="inlineStr">
        <is>
          <t>Número</t>
        </is>
      </c>
      <c r="M102">
        <v>8</v>
      </c>
      <c r="N102">
        <v>2</v>
      </c>
      <c r="O102">
        <v>2</v>
      </c>
      <c r="P102">
        <v>2</v>
      </c>
      <c r="Q102">
        <v>2</v>
      </c>
      <c r="R102" t="inlineStr">
        <is>
          <t xml:space="preserve"> </t>
        </is>
      </c>
      <c r="S102" s="103" t="inlineStr">
        <is>
          <t xml:space="preserve"> </t>
        </is>
      </c>
      <c r="T102" t="inlineStr">
        <is>
          <t>No se encontró ejecución en PIIP</t>
        </is>
      </c>
      <c r="U102" t="inlineStr">
        <is>
          <t xml:space="preserve"> </t>
        </is>
      </c>
      <c r="V102" s="104" t="inlineStr">
        <is>
          <t xml:space="preserve"> </t>
        </is>
      </c>
      <c r="W102" t="inlineStr">
        <is>
          <t>No se encontró ejecución en PIIP</t>
        </is>
      </c>
    </row>
    <row r="103">
      <c r="A103" t="inlineStr">
        <is>
          <t>IP-101</t>
        </is>
      </c>
      <c r="B103" t="inlineStr">
        <is>
          <t>17</t>
        </is>
      </c>
      <c r="C103" t="inlineStr">
        <is>
          <t xml:space="preserve">Agricultura y desarrollo rural
</t>
        </is>
      </c>
      <c r="D103" t="inlineStr">
        <is>
          <t>1702</t>
        </is>
      </c>
      <c r="E103" t="inlineStr">
        <is>
          <t>Inclusión productiva de pequeños productores rurales</t>
        </is>
      </c>
      <c r="F103" t="inlineStr">
        <is>
          <t>1702038</t>
        </is>
      </c>
      <c r="G103" t="inlineStr">
        <is>
          <t>Servicio de apoyo a la comercialización</t>
        </is>
      </c>
      <c r="H103" t="inlineStr">
        <is>
          <t>170203804</t>
        </is>
      </c>
      <c r="I103" t="inlineStr">
        <is>
          <t>Productores con servicio de asesoría comercial directa</t>
        </is>
      </c>
      <c r="J103" t="inlineStr">
        <is>
          <t>2024257850025</t>
        </is>
      </c>
      <c r="K103" t="inlineStr">
        <is>
          <t>Si</t>
        </is>
      </c>
      <c r="L103" t="inlineStr">
        <is>
          <t>Número</t>
        </is>
      </c>
      <c r="M103">
        <v>40</v>
      </c>
      <c r="N103">
        <v>10</v>
      </c>
      <c r="O103">
        <v>10</v>
      </c>
      <c r="P103">
        <v>10</v>
      </c>
      <c r="Q103">
        <v>10</v>
      </c>
      <c r="R103" t="inlineStr">
        <is>
          <t xml:space="preserve"> </t>
        </is>
      </c>
      <c r="S103" s="103" t="inlineStr">
        <is>
          <t xml:space="preserve"> </t>
        </is>
      </c>
      <c r="T103" t="inlineStr">
        <is>
          <t>No se encontró ejecución en PIIP</t>
        </is>
      </c>
      <c r="U103" t="inlineStr">
        <is>
          <t xml:space="preserve"> </t>
        </is>
      </c>
      <c r="V103" s="104" t="inlineStr">
        <is>
          <t xml:space="preserve"> </t>
        </is>
      </c>
      <c r="W103" t="inlineStr">
        <is>
          <t>No se encontró ejecución en PIIP</t>
        </is>
      </c>
    </row>
    <row r="104">
      <c r="A104" t="inlineStr">
        <is>
          <t>IP-102</t>
        </is>
      </c>
      <c r="B104" t="inlineStr">
        <is>
          <t>32</t>
        </is>
      </c>
      <c r="C104" t="inlineStr">
        <is>
          <t>Ambiente y desarrollo sostenible</t>
        </is>
      </c>
      <c r="D104" t="inlineStr">
        <is>
          <t>3203</t>
        </is>
      </c>
      <c r="E104" t="inlineStr">
        <is>
          <t>Gestión integral del recurso hídrico</t>
        </is>
      </c>
      <c r="F104" t="inlineStr">
        <is>
          <t>3203048</t>
        </is>
      </c>
      <c r="G104" t="inlineStr">
        <is>
          <t>Servicio de almacenamiento de agua</t>
        </is>
      </c>
      <c r="H104" t="inlineStr">
        <is>
          <t>320304801</t>
        </is>
      </c>
      <c r="I104" t="inlineStr">
        <is>
          <t>Reservorio construido</t>
        </is>
      </c>
      <c r="J104" t="inlineStr">
        <is>
          <t>2024257850021</t>
        </is>
      </c>
      <c r="K104" t="inlineStr">
        <is>
          <t>Si</t>
        </is>
      </c>
      <c r="L104" t="inlineStr">
        <is>
          <t>Número</t>
        </is>
      </c>
      <c r="M104">
        <v>5</v>
      </c>
      <c r="N104">
        <v>0</v>
      </c>
      <c r="O104">
        <v>5</v>
      </c>
      <c r="P104">
        <v>0</v>
      </c>
      <c r="Q104">
        <v>0</v>
      </c>
      <c r="R104" t="inlineStr">
        <is>
          <t xml:space="preserve"> </t>
        </is>
      </c>
      <c r="S104" s="103" t="inlineStr">
        <is>
          <t xml:space="preserve"> </t>
        </is>
      </c>
      <c r="T104" t="inlineStr">
        <is>
          <t>No se encontró ejecución en PIIP</t>
        </is>
      </c>
      <c r="U104" t="inlineStr">
        <is>
          <t xml:space="preserve"> </t>
        </is>
      </c>
      <c r="V104" s="104" t="inlineStr">
        <is>
          <t xml:space="preserve"> </t>
        </is>
      </c>
      <c r="W104" t="inlineStr">
        <is>
          <t>No se encontró ejecución en PIIP</t>
        </is>
      </c>
    </row>
    <row r="105">
      <c r="A105" t="inlineStr">
        <is>
          <t>IP-103</t>
        </is>
      </c>
      <c r="B105" t="inlineStr">
        <is>
          <t>45</t>
        </is>
      </c>
      <c r="C105" t="inlineStr">
        <is>
          <t>Gobierno Territorial</t>
        </is>
      </c>
      <c r="D105" t="inlineStr">
        <is>
          <t>4501</t>
        </is>
      </c>
      <c r="E105" t="inlineStr">
        <is>
          <t>Fortalecimiento de la convivencia y la seguridad ciudadana</t>
        </is>
      </c>
      <c r="F105" t="inlineStr">
        <is>
          <t>4501063</t>
        </is>
      </c>
      <c r="G105" t="inlineStr">
        <is>
          <t>Servicio de apoyo financiero para la atención integral de animales</t>
        </is>
      </c>
      <c r="H105" t="inlineStr">
        <is>
          <t>450106300</t>
        </is>
      </c>
      <c r="I105" t="inlineStr">
        <is>
          <t>Prestadores del servicio de atención integral de animales apoyados</t>
        </is>
      </c>
      <c r="J105" t="inlineStr">
        <is>
          <t>2024257850026</t>
        </is>
      </c>
      <c r="K105" t="inlineStr">
        <is>
          <t>Si</t>
        </is>
      </c>
      <c r="L105" t="inlineStr">
        <is>
          <t>Número</t>
        </is>
      </c>
      <c r="M105">
        <v>4</v>
      </c>
      <c r="N105">
        <v>1</v>
      </c>
      <c r="O105">
        <v>1</v>
      </c>
      <c r="P105">
        <v>1</v>
      </c>
      <c r="Q105">
        <v>1</v>
      </c>
      <c r="R105" t="inlineStr">
        <is>
          <t xml:space="preserve"> </t>
        </is>
      </c>
      <c r="S105" s="103" t="inlineStr">
        <is>
          <t xml:space="preserve"> </t>
        </is>
      </c>
      <c r="T105" t="inlineStr">
        <is>
          <t>No se encontró ejecución en PIIP</t>
        </is>
      </c>
      <c r="U105" t="inlineStr">
        <is>
          <t xml:space="preserve"> </t>
        </is>
      </c>
      <c r="V105" s="104" t="inlineStr">
        <is>
          <t xml:space="preserve"> </t>
        </is>
      </c>
      <c r="W105" t="inlineStr">
        <is>
          <t>No se encontró ejecución en PIIP</t>
        </is>
      </c>
    </row>
    <row r="106">
      <c r="A106" t="inlineStr">
        <is>
          <t>IP-104</t>
        </is>
      </c>
      <c r="B106" t="inlineStr">
        <is>
          <t>45</t>
        </is>
      </c>
      <c r="C106" t="inlineStr">
        <is>
          <t>Gobierno Territorial</t>
        </is>
      </c>
      <c r="D106" t="inlineStr">
        <is>
          <t>4501</t>
        </is>
      </c>
      <c r="E106" t="inlineStr">
        <is>
          <t>Fortalecimiento de la convivencia y la seguridad ciudadana</t>
        </is>
      </c>
      <c r="F106" t="inlineStr">
        <is>
          <t>4501061</t>
        </is>
      </c>
      <c r="G106" t="inlineStr">
        <is>
          <t>Servicio de atención integral a la fauna</t>
        </is>
      </c>
      <c r="H106" t="inlineStr">
        <is>
          <t>450106100</t>
        </is>
      </c>
      <c r="I106" t="inlineStr">
        <is>
          <t>Animales atendidos</t>
        </is>
      </c>
      <c r="J106" t="inlineStr">
        <is>
          <t>2024257850026</t>
        </is>
      </c>
      <c r="K106" t="inlineStr">
        <is>
          <t>Si</t>
        </is>
      </c>
      <c r="L106" t="inlineStr">
        <is>
          <t>Número</t>
        </is>
      </c>
      <c r="M106">
        <v>2000</v>
      </c>
      <c r="N106">
        <v>500</v>
      </c>
      <c r="O106">
        <v>500</v>
      </c>
      <c r="P106">
        <v>500</v>
      </c>
      <c r="Q106">
        <v>500</v>
      </c>
      <c r="R106" t="inlineStr">
        <is>
          <t xml:space="preserve"> </t>
        </is>
      </c>
      <c r="S106" s="103" t="inlineStr">
        <is>
          <t xml:space="preserve"> </t>
        </is>
      </c>
      <c r="T106" t="inlineStr">
        <is>
          <t>No se encontró ejecución en PIIP</t>
        </is>
      </c>
      <c r="U106" t="inlineStr">
        <is>
          <t xml:space="preserve"> </t>
        </is>
      </c>
      <c r="V106" s="104" t="inlineStr">
        <is>
          <t xml:space="preserve"> </t>
        </is>
      </c>
      <c r="W106" t="inlineStr">
        <is>
          <t>No se encontró ejecución en PIIP</t>
        </is>
      </c>
    </row>
    <row r="107">
      <c r="A107" t="inlineStr">
        <is>
          <t>IP-105</t>
        </is>
      </c>
      <c r="B107" t="inlineStr">
        <is>
          <t>40</t>
        </is>
      </c>
      <c r="C107" t="inlineStr">
        <is>
          <t>Vivienda, ciudad y territorio</t>
        </is>
      </c>
      <c r="D107" t="inlineStr">
        <is>
          <t>4003</t>
        </is>
      </c>
      <c r="E107" t="inlineStr">
        <is>
          <t>Acceso de la población a los servicios de agua potable y saneamiento básico</t>
        </is>
      </c>
      <c r="F107" t="inlineStr">
        <is>
          <t>4003022</t>
        </is>
      </c>
      <c r="G107" t="inlineStr">
        <is>
          <t>Servicios de implementación del Plan de Gestión Integral de Residuos Solidos PGIRS</t>
        </is>
      </c>
      <c r="H107" t="inlineStr">
        <is>
          <t>400302200</t>
        </is>
      </c>
      <c r="I107" t="inlineStr">
        <is>
          <t>Plan de Gestión Integral de Residuos Solidos implementado</t>
        </is>
      </c>
      <c r="J107" t="inlineStr">
        <is>
          <t>2024257850003</t>
        </is>
      </c>
      <c r="K107" t="inlineStr">
        <is>
          <t>No</t>
        </is>
      </c>
      <c r="L107" t="inlineStr">
        <is>
          <t>Número</t>
        </is>
      </c>
      <c r="M107">
        <v>1</v>
      </c>
      <c r="N107">
        <v>1</v>
      </c>
      <c r="O107">
        <v>1</v>
      </c>
      <c r="P107">
        <v>1</v>
      </c>
      <c r="Q107">
        <v>1</v>
      </c>
      <c r="R107" t="inlineStr">
        <is>
          <t xml:space="preserve"> </t>
        </is>
      </c>
      <c r="S107" s="103" t="inlineStr">
        <is>
          <t xml:space="preserve"> </t>
        </is>
      </c>
      <c r="T107" t="inlineStr">
        <is>
          <t>No se encontró ejecución en PIIP</t>
        </is>
      </c>
      <c r="U107" t="inlineStr">
        <is>
          <t xml:space="preserve"> </t>
        </is>
      </c>
      <c r="V107" s="104" t="inlineStr">
        <is>
          <t xml:space="preserve"> </t>
        </is>
      </c>
      <c r="W107" t="inlineStr">
        <is>
          <t>No se encontró ejecución en PIIP</t>
        </is>
      </c>
    </row>
    <row r="108">
      <c r="A108" t="inlineStr">
        <is>
          <t>IP-106</t>
        </is>
      </c>
      <c r="B108" t="inlineStr">
        <is>
          <t>40</t>
        </is>
      </c>
      <c r="C108" t="inlineStr">
        <is>
          <t>Vivienda, ciudad y territorio</t>
        </is>
      </c>
      <c r="D108" t="inlineStr">
        <is>
          <t>4003</t>
        </is>
      </c>
      <c r="E108" t="inlineStr">
        <is>
          <t>Acceso de la población a los servicios de agua potable y saneamiento básico</t>
        </is>
      </c>
      <c r="F108" t="inlineStr">
        <is>
          <t>4003023</t>
        </is>
      </c>
      <c r="G108" t="inlineStr">
        <is>
          <t>Servicios de seguimiento al Plan de Gestión Integral de Residuos Solidos PGIRS</t>
        </is>
      </c>
      <c r="H108" t="inlineStr">
        <is>
          <t>400302300</t>
        </is>
      </c>
      <c r="I108" t="inlineStr">
        <is>
          <t>Plan de Gestión Integral de Residuos Solidos con seguimiento</t>
        </is>
      </c>
      <c r="J108" t="inlineStr">
        <is>
          <t>2024257850003</t>
        </is>
      </c>
      <c r="K108" t="inlineStr">
        <is>
          <t>No</t>
        </is>
      </c>
      <c r="L108" t="inlineStr">
        <is>
          <t>Número</t>
        </is>
      </c>
      <c r="M108">
        <v>1</v>
      </c>
      <c r="N108">
        <v>1</v>
      </c>
      <c r="O108">
        <v>1</v>
      </c>
      <c r="P108">
        <v>1</v>
      </c>
      <c r="Q108">
        <v>1</v>
      </c>
      <c r="R108" t="inlineStr">
        <is>
          <t xml:space="preserve"> </t>
        </is>
      </c>
      <c r="S108" s="103" t="inlineStr">
        <is>
          <t xml:space="preserve"> </t>
        </is>
      </c>
      <c r="T108" t="inlineStr">
        <is>
          <t>No se encontró ejecución en PIIP</t>
        </is>
      </c>
      <c r="U108" t="inlineStr">
        <is>
          <t xml:space="preserve"> </t>
        </is>
      </c>
      <c r="V108" s="104" t="inlineStr">
        <is>
          <t xml:space="preserve"> </t>
        </is>
      </c>
      <c r="W108" t="inlineStr">
        <is>
          <t>No se encontró ejecución en PIIP</t>
        </is>
      </c>
    </row>
    <row r="109">
      <c r="A109" t="inlineStr">
        <is>
          <t>IP-107</t>
        </is>
      </c>
      <c r="B109" t="inlineStr">
        <is>
          <t>40</t>
        </is>
      </c>
      <c r="C109" t="inlineStr">
        <is>
          <t>Vivienda, ciudad y territorio</t>
        </is>
      </c>
      <c r="D109" t="inlineStr">
        <is>
          <t>4003</t>
        </is>
      </c>
      <c r="E109" t="inlineStr">
        <is>
          <t>Acceso de la población a los servicios de agua potable y saneamiento básico</t>
        </is>
      </c>
      <c r="F109" t="inlineStr">
        <is>
          <t>4003020</t>
        </is>
      </c>
      <c r="G109" t="inlineStr">
        <is>
          <t>Alcantarillados optimizados</t>
        </is>
      </c>
      <c r="H109" t="inlineStr">
        <is>
          <t>400302003</t>
        </is>
      </c>
      <c r="I109" t="inlineStr">
        <is>
          <t>Red de alcantarillado optimizada</t>
        </is>
      </c>
      <c r="J109" t="inlineStr">
        <is>
          <t>2024257850003</t>
        </is>
      </c>
      <c r="K109" t="inlineStr">
        <is>
          <t>Si</t>
        </is>
      </c>
      <c r="L109" t="inlineStr">
        <is>
          <t xml:space="preserve">Metros </t>
        </is>
      </c>
      <c r="M109">
        <v>10000</v>
      </c>
      <c r="N109">
        <v>2500</v>
      </c>
      <c r="O109">
        <v>2500</v>
      </c>
      <c r="P109">
        <v>2500</v>
      </c>
      <c r="Q109">
        <v>2500</v>
      </c>
      <c r="R109" t="inlineStr">
        <is>
          <t xml:space="preserve"> </t>
        </is>
      </c>
      <c r="S109" s="103" t="inlineStr">
        <is>
          <t xml:space="preserve"> </t>
        </is>
      </c>
      <c r="T109" t="inlineStr">
        <is>
          <t>No se encontró ejecución en PIIP</t>
        </is>
      </c>
      <c r="U109" t="inlineStr">
        <is>
          <t xml:space="preserve"> </t>
        </is>
      </c>
      <c r="V109" s="104" t="inlineStr">
        <is>
          <t xml:space="preserve"> </t>
        </is>
      </c>
      <c r="W109" t="inlineStr">
        <is>
          <t>No se encontró ejecución en PIIP</t>
        </is>
      </c>
    </row>
    <row r="110">
      <c r="A110" t="inlineStr">
        <is>
          <t>IP-108</t>
        </is>
      </c>
      <c r="B110" t="inlineStr">
        <is>
          <t>40</t>
        </is>
      </c>
      <c r="C110" t="inlineStr">
        <is>
          <t>Vivienda, ciudad y territorio</t>
        </is>
      </c>
      <c r="D110" t="inlineStr">
        <is>
          <t>4003</t>
        </is>
      </c>
      <c r="E110" t="inlineStr">
        <is>
          <t>Acceso de la población a los servicios de agua potable y saneamiento básico</t>
        </is>
      </c>
      <c r="F110" t="inlineStr">
        <is>
          <t>4003019</t>
        </is>
      </c>
      <c r="G110" t="inlineStr">
        <is>
          <t>Alcantarillados ampliados</t>
        </is>
      </c>
      <c r="H110" t="inlineStr">
        <is>
          <t>400301903</t>
        </is>
      </c>
      <c r="I110" t="inlineStr">
        <is>
          <t>Red de alcantarillado ampliada</t>
        </is>
      </c>
      <c r="J110" t="inlineStr">
        <is>
          <t>2024257850003</t>
        </is>
      </c>
      <c r="K110" t="inlineStr">
        <is>
          <t>Si</t>
        </is>
      </c>
      <c r="L110" t="inlineStr">
        <is>
          <t xml:space="preserve">Metros </t>
        </is>
      </c>
      <c r="M110">
        <v>1000</v>
      </c>
      <c r="N110">
        <v>250</v>
      </c>
      <c r="O110">
        <v>250</v>
      </c>
      <c r="P110">
        <v>250</v>
      </c>
      <c r="Q110">
        <v>250</v>
      </c>
      <c r="R110" t="inlineStr">
        <is>
          <t xml:space="preserve"> </t>
        </is>
      </c>
      <c r="S110" s="103" t="inlineStr">
        <is>
          <t xml:space="preserve"> </t>
        </is>
      </c>
      <c r="T110" t="inlineStr">
        <is>
          <t>No se encontró ejecución en PIIP</t>
        </is>
      </c>
      <c r="U110" t="inlineStr">
        <is>
          <t xml:space="preserve"> </t>
        </is>
      </c>
      <c r="V110" s="104" t="inlineStr">
        <is>
          <t xml:space="preserve"> </t>
        </is>
      </c>
      <c r="W110" t="inlineStr">
        <is>
          <t>No se encontró ejecución en PIIP</t>
        </is>
      </c>
    </row>
    <row r="111">
      <c r="A111" t="inlineStr">
        <is>
          <t>IP-109</t>
        </is>
      </c>
      <c r="B111" t="inlineStr">
        <is>
          <t>40</t>
        </is>
      </c>
      <c r="C111" t="inlineStr">
        <is>
          <t>Vivienda, ciudad y territorio</t>
        </is>
      </c>
      <c r="D111" t="inlineStr">
        <is>
          <t>4003</t>
        </is>
      </c>
      <c r="E111" t="inlineStr">
        <is>
          <t>Acceso de la población a los servicios de agua potable y saneamiento básico</t>
        </is>
      </c>
      <c r="F111" t="inlineStr">
        <is>
          <t>4003020</t>
        </is>
      </c>
      <c r="G111" t="inlineStr">
        <is>
          <t>Alcantarillados optimizados</t>
        </is>
      </c>
      <c r="H111" t="inlineStr">
        <is>
          <t>400302002</t>
        </is>
      </c>
      <c r="I111" t="inlineStr">
        <is>
          <t>Plantas de tratamiento de aguas residuales optimizadas</t>
        </is>
      </c>
      <c r="J111" t="inlineStr">
        <is>
          <t>2024257850003</t>
        </is>
      </c>
      <c r="K111" t="inlineStr">
        <is>
          <t>No</t>
        </is>
      </c>
      <c r="L111" t="inlineStr">
        <is>
          <t>Número</t>
        </is>
      </c>
      <c r="M111">
        <v>1</v>
      </c>
      <c r="N111">
        <v>1</v>
      </c>
      <c r="O111">
        <v>1</v>
      </c>
      <c r="P111">
        <v>1</v>
      </c>
      <c r="Q111">
        <v>1</v>
      </c>
      <c r="R111" t="inlineStr">
        <is>
          <t xml:space="preserve"> </t>
        </is>
      </c>
      <c r="S111" s="103" t="inlineStr">
        <is>
          <t xml:space="preserve"> </t>
        </is>
      </c>
      <c r="T111" t="inlineStr">
        <is>
          <t>No se encontró ejecución en PIIP</t>
        </is>
      </c>
      <c r="U111" t="inlineStr">
        <is>
          <t xml:space="preserve"> </t>
        </is>
      </c>
      <c r="V111" s="104" t="inlineStr">
        <is>
          <t xml:space="preserve"> </t>
        </is>
      </c>
      <c r="W111" t="inlineStr">
        <is>
          <t>No se encontró ejecución en PIIP</t>
        </is>
      </c>
    </row>
    <row r="112">
      <c r="A112" t="inlineStr">
        <is>
          <t>IP-110</t>
        </is>
      </c>
      <c r="B112" t="inlineStr">
        <is>
          <t>40</t>
        </is>
      </c>
      <c r="C112" t="inlineStr">
        <is>
          <t>Vivienda, ciudad y territorio</t>
        </is>
      </c>
      <c r="D112" t="inlineStr">
        <is>
          <t>4003</t>
        </is>
      </c>
      <c r="E112" t="inlineStr">
        <is>
          <t>Acceso de la población a los servicios de agua potable y saneamiento básico</t>
        </is>
      </c>
      <c r="F112" t="inlineStr">
        <is>
          <t>4003017</t>
        </is>
      </c>
      <c r="G112" t="inlineStr">
        <is>
          <t>Acueductos optimizados</t>
        </is>
      </c>
      <c r="H112" t="inlineStr">
        <is>
          <t>400301700</t>
        </is>
      </c>
      <c r="I112" t="inlineStr">
        <is>
          <t>Acueductos optimizados</t>
        </is>
      </c>
      <c r="J112" t="inlineStr">
        <is>
          <t>2024257850003</t>
        </is>
      </c>
      <c r="K112" t="inlineStr">
        <is>
          <t>No</t>
        </is>
      </c>
      <c r="L112" t="inlineStr">
        <is>
          <t>Número</t>
        </is>
      </c>
      <c r="M112">
        <v>2</v>
      </c>
      <c r="N112">
        <v>2</v>
      </c>
      <c r="O112">
        <v>2</v>
      </c>
      <c r="P112">
        <v>2</v>
      </c>
      <c r="Q112">
        <v>2</v>
      </c>
      <c r="R112">
        <v>0</v>
      </c>
      <c r="S112" s="103">
        <v>0</v>
      </c>
      <c r="T112" t="inlineStr">
        <is>
          <t>No se ejecutó en la vigencia</t>
        </is>
      </c>
      <c r="U112" t="inlineStr">
        <is>
          <t xml:space="preserve"> </t>
        </is>
      </c>
      <c r="V112" s="104" t="inlineStr">
        <is>
          <t xml:space="preserve"> </t>
        </is>
      </c>
      <c r="W112" t="inlineStr">
        <is>
          <t>No se encontró ejecución en PIIP</t>
        </is>
      </c>
    </row>
    <row r="113">
      <c r="A113" t="inlineStr">
        <is>
          <t>IP-111</t>
        </is>
      </c>
      <c r="B113" t="inlineStr">
        <is>
          <t>40</t>
        </is>
      </c>
      <c r="C113" t="inlineStr">
        <is>
          <t>Vivienda, ciudad y territorio</t>
        </is>
      </c>
      <c r="D113" t="inlineStr">
        <is>
          <t>4003</t>
        </is>
      </c>
      <c r="E113" t="inlineStr">
        <is>
          <t>Acceso de la población a los servicios de agua potable y saneamiento básico</t>
        </is>
      </c>
      <c r="F113" t="inlineStr">
        <is>
          <t>4003017</t>
        </is>
      </c>
      <c r="G113" t="inlineStr">
        <is>
          <t>Acueductos optimizados</t>
        </is>
      </c>
      <c r="H113" t="inlineStr">
        <is>
          <t>400301703</t>
        </is>
      </c>
      <c r="I113" t="inlineStr">
        <is>
          <t>Red de distribución optimizada</t>
        </is>
      </c>
      <c r="J113" t="inlineStr">
        <is>
          <t>2024257850003</t>
        </is>
      </c>
      <c r="K113" t="inlineStr">
        <is>
          <t>No</t>
        </is>
      </c>
      <c r="L113" t="inlineStr">
        <is>
          <t xml:space="preserve">Metros </t>
        </is>
      </c>
      <c r="M113">
        <v>3500</v>
      </c>
      <c r="N113">
        <v>3500</v>
      </c>
      <c r="O113">
        <v>3500</v>
      </c>
      <c r="P113">
        <v>3500</v>
      </c>
      <c r="Q113">
        <v>3500</v>
      </c>
      <c r="R113" t="inlineStr">
        <is>
          <t xml:space="preserve"> </t>
        </is>
      </c>
      <c r="S113" s="103" t="inlineStr">
        <is>
          <t xml:space="preserve"> </t>
        </is>
      </c>
      <c r="T113" t="inlineStr">
        <is>
          <t>No se encontró ejecución en PIIP</t>
        </is>
      </c>
      <c r="U113" t="inlineStr">
        <is>
          <t xml:space="preserve"> </t>
        </is>
      </c>
      <c r="V113" s="104" t="inlineStr">
        <is>
          <t xml:space="preserve"> </t>
        </is>
      </c>
      <c r="W113" t="inlineStr">
        <is>
          <t>No se encontró ejecución en PIIP</t>
        </is>
      </c>
    </row>
    <row r="114">
      <c r="A114" t="inlineStr">
        <is>
          <t>IP-112</t>
        </is>
      </c>
      <c r="B114" t="inlineStr">
        <is>
          <t>40</t>
        </is>
      </c>
      <c r="C114" t="inlineStr">
        <is>
          <t>Vivienda, ciudad y territorio</t>
        </is>
      </c>
      <c r="D114" t="inlineStr">
        <is>
          <t>4003</t>
        </is>
      </c>
      <c r="E114" t="inlineStr">
        <is>
          <t>Acceso de la población a los servicios de agua potable y saneamiento básico</t>
        </is>
      </c>
      <c r="F114" t="inlineStr">
        <is>
          <t>4003015</t>
        </is>
      </c>
      <c r="G114" t="inlineStr">
        <is>
          <t>Acueductos construidos</t>
        </is>
      </c>
      <c r="H114" t="inlineStr">
        <is>
          <t>400301504</t>
        </is>
      </c>
      <c r="I114" t="inlineStr">
        <is>
          <t>Red de distribución construida</t>
        </is>
      </c>
      <c r="J114" t="inlineStr">
        <is>
          <t>2024257850003</t>
        </is>
      </c>
      <c r="K114" t="inlineStr">
        <is>
          <t>Si</t>
        </is>
      </c>
      <c r="L114" t="inlineStr">
        <is>
          <t xml:space="preserve">Metros </t>
        </is>
      </c>
      <c r="M114">
        <v>3500</v>
      </c>
      <c r="N114">
        <v>875</v>
      </c>
      <c r="O114">
        <v>875</v>
      </c>
      <c r="P114">
        <v>875</v>
      </c>
      <c r="Q114">
        <v>875</v>
      </c>
      <c r="R114" t="inlineStr">
        <is>
          <t xml:space="preserve"> </t>
        </is>
      </c>
      <c r="S114" s="103" t="inlineStr">
        <is>
          <t xml:space="preserve"> </t>
        </is>
      </c>
      <c r="T114" t="inlineStr">
        <is>
          <t>No se encontró ejecución en PIIP</t>
        </is>
      </c>
      <c r="U114" t="inlineStr">
        <is>
          <t xml:space="preserve"> </t>
        </is>
      </c>
      <c r="V114" s="104" t="inlineStr">
        <is>
          <t xml:space="preserve"> </t>
        </is>
      </c>
      <c r="W114" t="inlineStr">
        <is>
          <t>No se encontró ejecución en PIIP</t>
        </is>
      </c>
    </row>
    <row r="115">
      <c r="A115" t="inlineStr">
        <is>
          <t>IP-113</t>
        </is>
      </c>
      <c r="B115" t="inlineStr">
        <is>
          <t>40</t>
        </is>
      </c>
      <c r="C115" t="inlineStr">
        <is>
          <t>Vivienda, ciudad y territorio</t>
        </is>
      </c>
      <c r="D115" t="inlineStr">
        <is>
          <t>4003</t>
        </is>
      </c>
      <c r="E115" t="inlineStr">
        <is>
          <t>Acceso de la población a los servicios de agua potable y saneamiento básico</t>
        </is>
      </c>
      <c r="F115" t="inlineStr">
        <is>
          <t>4003026</t>
        </is>
      </c>
      <c r="G115" t="inlineStr">
        <is>
          <t>Servicios de apoyo financiero para la ejecución de proyectos de acueductos y de manejo de aguas residuales</t>
        </is>
      </c>
      <c r="H115" t="inlineStr">
        <is>
          <t>400302600</t>
        </is>
      </c>
      <c r="I115" t="inlineStr">
        <is>
          <t>Proyectos de acueducto y de manejo de aguas residuales en área rural financiados</t>
        </is>
      </c>
      <c r="J115" t="inlineStr">
        <is>
          <t>2024257850003</t>
        </is>
      </c>
      <c r="K115" t="inlineStr">
        <is>
          <t>Si</t>
        </is>
      </c>
      <c r="L115" t="inlineStr">
        <is>
          <t>Número</t>
        </is>
      </c>
      <c r="M115">
        <v>4</v>
      </c>
      <c r="N115">
        <v>1</v>
      </c>
      <c r="O115">
        <v>1</v>
      </c>
      <c r="P115">
        <v>1</v>
      </c>
      <c r="Q115">
        <v>1</v>
      </c>
      <c r="R115" t="inlineStr">
        <is>
          <t xml:space="preserve"> </t>
        </is>
      </c>
      <c r="S115" s="103" t="inlineStr">
        <is>
          <t xml:space="preserve"> </t>
        </is>
      </c>
      <c r="T115" t="inlineStr">
        <is>
          <t>No se encontró ejecución en PIIP</t>
        </is>
      </c>
      <c r="U115" t="inlineStr">
        <is>
          <t xml:space="preserve"> </t>
        </is>
      </c>
      <c r="V115" s="104" t="inlineStr">
        <is>
          <t xml:space="preserve"> </t>
        </is>
      </c>
      <c r="W115" t="inlineStr">
        <is>
          <t>No se encontró ejecución en PIIP</t>
        </is>
      </c>
    </row>
    <row r="116">
      <c r="A116" t="inlineStr">
        <is>
          <t>IP-114</t>
        </is>
      </c>
      <c r="B116" t="inlineStr">
        <is>
          <t>40</t>
        </is>
      </c>
      <c r="C116" t="inlineStr">
        <is>
          <t>Vivienda, ciudad y territorio</t>
        </is>
      </c>
      <c r="D116" t="inlineStr">
        <is>
          <t>4003</t>
        </is>
      </c>
      <c r="E116" t="inlineStr">
        <is>
          <t>Acceso de la población a los servicios de agua potable y saneamiento básico</t>
        </is>
      </c>
      <c r="F116" t="inlineStr">
        <is>
          <t>4003047</t>
        </is>
      </c>
      <c r="G116" t="inlineStr">
        <is>
          <t>Servicio de apoyo financiero para subsidios al consumo en los servicios públicos domiciliarios</t>
        </is>
      </c>
      <c r="H116" t="inlineStr">
        <is>
          <t>400304702</t>
        </is>
      </c>
      <c r="I116" t="inlineStr">
        <is>
          <t>Usuarios beneficiados con subsidios al consumo del servicio de acueducto</t>
        </is>
      </c>
      <c r="J116" t="inlineStr">
        <is>
          <t>2024257850003</t>
        </is>
      </c>
      <c r="K116" t="inlineStr">
        <is>
          <t>No</t>
        </is>
      </c>
      <c r="L116" t="inlineStr">
        <is>
          <t>Número</t>
        </is>
      </c>
      <c r="M116">
        <v>4700</v>
      </c>
      <c r="N116">
        <v>4700</v>
      </c>
      <c r="O116">
        <v>4700</v>
      </c>
      <c r="P116">
        <v>4700</v>
      </c>
      <c r="Q116">
        <v>4700</v>
      </c>
      <c r="R116" t="inlineStr">
        <is>
          <t xml:space="preserve"> </t>
        </is>
      </c>
      <c r="S116" s="103" t="inlineStr">
        <is>
          <t xml:space="preserve"> </t>
        </is>
      </c>
      <c r="T116" t="inlineStr">
        <is>
          <t>No se encontró ejecución en PIIP</t>
        </is>
      </c>
      <c r="U116" t="inlineStr">
        <is>
          <t xml:space="preserve"> </t>
        </is>
      </c>
      <c r="V116" s="104" t="inlineStr">
        <is>
          <t xml:space="preserve"> </t>
        </is>
      </c>
      <c r="W116" t="inlineStr">
        <is>
          <t>No se encontró ejecución en PIIP</t>
        </is>
      </c>
    </row>
    <row r="117">
      <c r="A117" t="inlineStr">
        <is>
          <t>IP-115</t>
        </is>
      </c>
      <c r="B117" t="inlineStr">
        <is>
          <t>40</t>
        </is>
      </c>
      <c r="C117" t="inlineStr">
        <is>
          <t>Vivienda, ciudad y territorio</t>
        </is>
      </c>
      <c r="D117" t="inlineStr">
        <is>
          <t>4003</t>
        </is>
      </c>
      <c r="E117" t="inlineStr">
        <is>
          <t>Acceso de la población a los servicios de agua potable y saneamiento básico</t>
        </is>
      </c>
      <c r="F117" t="inlineStr">
        <is>
          <t>4003047</t>
        </is>
      </c>
      <c r="G117" t="inlineStr">
        <is>
          <t>Servicio de apoyo financiero para subsidios al consumo en los servicios públicos domiciliarios</t>
        </is>
      </c>
      <c r="H117" t="inlineStr">
        <is>
          <t>400304703</t>
        </is>
      </c>
      <c r="I117" t="inlineStr">
        <is>
          <t>Usuarios beneficiados con subsidios al consumo del servicio de alcantarillado</t>
        </is>
      </c>
      <c r="J117" t="inlineStr">
        <is>
          <t>2024257850003</t>
        </is>
      </c>
      <c r="K117" t="inlineStr">
        <is>
          <t>No</t>
        </is>
      </c>
      <c r="L117" t="inlineStr">
        <is>
          <t>Número</t>
        </is>
      </c>
      <c r="M117">
        <v>2980</v>
      </c>
      <c r="N117">
        <v>2980</v>
      </c>
      <c r="O117">
        <v>2980</v>
      </c>
      <c r="P117">
        <v>2980</v>
      </c>
      <c r="Q117">
        <v>2980</v>
      </c>
      <c r="R117" t="inlineStr">
        <is>
          <t xml:space="preserve"> </t>
        </is>
      </c>
      <c r="S117" s="103" t="inlineStr">
        <is>
          <t xml:space="preserve"> </t>
        </is>
      </c>
      <c r="T117" t="inlineStr">
        <is>
          <t>No se encontró ejecución en PIIP</t>
        </is>
      </c>
      <c r="U117" t="inlineStr">
        <is>
          <t xml:space="preserve"> </t>
        </is>
      </c>
      <c r="V117" s="104" t="inlineStr">
        <is>
          <t xml:space="preserve"> </t>
        </is>
      </c>
      <c r="W117" t="inlineStr">
        <is>
          <t>No se encontró ejecución en PIIP</t>
        </is>
      </c>
    </row>
    <row r="118">
      <c r="A118" t="inlineStr">
        <is>
          <t>IP-116</t>
        </is>
      </c>
      <c r="B118" t="inlineStr">
        <is>
          <t>40</t>
        </is>
      </c>
      <c r="C118" t="inlineStr">
        <is>
          <t>Vivienda, ciudad y territorio</t>
        </is>
      </c>
      <c r="D118" t="inlineStr">
        <is>
          <t>4003</t>
        </is>
      </c>
      <c r="E118" t="inlineStr">
        <is>
          <t>Acceso de la población a los servicios de agua potable y saneamiento básico</t>
        </is>
      </c>
      <c r="F118" t="inlineStr">
        <is>
          <t>4003047</t>
        </is>
      </c>
      <c r="G118" t="inlineStr">
        <is>
          <t>Servicio de apoyo financiero para subsidios al consumo en los servicios públicos domiciliarios</t>
        </is>
      </c>
      <c r="H118" t="inlineStr">
        <is>
          <t>400304704</t>
        </is>
      </c>
      <c r="I118" t="inlineStr">
        <is>
          <t>Usuarios beneficiados con subsidios al consumo del servicio de aseo</t>
        </is>
      </c>
      <c r="J118" t="inlineStr">
        <is>
          <t>2024257850003</t>
        </is>
      </c>
      <c r="K118" t="inlineStr">
        <is>
          <t>No</t>
        </is>
      </c>
      <c r="L118" t="inlineStr">
        <is>
          <t>Número</t>
        </is>
      </c>
      <c r="M118">
        <v>6637</v>
      </c>
      <c r="N118">
        <v>6637</v>
      </c>
      <c r="O118">
        <v>6637</v>
      </c>
      <c r="P118">
        <v>6637</v>
      </c>
      <c r="Q118">
        <v>6637</v>
      </c>
      <c r="R118" t="inlineStr">
        <is>
          <t xml:space="preserve"> </t>
        </is>
      </c>
      <c r="S118" s="103" t="inlineStr">
        <is>
          <t xml:space="preserve"> </t>
        </is>
      </c>
      <c r="T118" t="inlineStr">
        <is>
          <t>No se encontró ejecución en PIIP</t>
        </is>
      </c>
      <c r="U118" t="inlineStr">
        <is>
          <t xml:space="preserve"> </t>
        </is>
      </c>
      <c r="V118" s="104" t="inlineStr">
        <is>
          <t xml:space="preserve"> </t>
        </is>
      </c>
      <c r="W118" t="inlineStr">
        <is>
          <t>No se encontró ejecución en PIIP</t>
        </is>
      </c>
    </row>
    <row r="119">
      <c r="A119" t="inlineStr">
        <is>
          <t>IP-117</t>
        </is>
      </c>
      <c r="B119" t="inlineStr">
        <is>
          <t>40</t>
        </is>
      </c>
      <c r="C119" t="inlineStr">
        <is>
          <t>Vivienda, ciudad y territorio</t>
        </is>
      </c>
      <c r="D119" t="inlineStr">
        <is>
          <t>4003</t>
        </is>
      </c>
      <c r="E119" t="inlineStr">
        <is>
          <t>Acceso de la población a los servicios de agua potable y saneamiento básico</t>
        </is>
      </c>
      <c r="F119" t="inlineStr">
        <is>
          <t>4003025</t>
        </is>
      </c>
      <c r="G119" t="inlineStr">
        <is>
          <t>Servicios de apoyo financiero para la ejecución de proyectos de acueductos y alcantarillado</t>
        </is>
      </c>
      <c r="H119" t="inlineStr">
        <is>
          <t>400302500</t>
        </is>
      </c>
      <c r="I119" t="inlineStr">
        <is>
          <t>Proyectos de acueducto y alcantarillado en área urbana financiados</t>
        </is>
      </c>
      <c r="J119" t="inlineStr">
        <is>
          <t>2024257850003</t>
        </is>
      </c>
      <c r="K119" t="inlineStr">
        <is>
          <t>Si</t>
        </is>
      </c>
      <c r="L119" t="inlineStr">
        <is>
          <t>Número</t>
        </is>
      </c>
      <c r="M119">
        <v>4</v>
      </c>
      <c r="N119">
        <v>1</v>
      </c>
      <c r="O119">
        <v>1</v>
      </c>
      <c r="P119">
        <v>1</v>
      </c>
      <c r="Q119">
        <v>1</v>
      </c>
      <c r="R119">
        <v>0</v>
      </c>
      <c r="S119" s="103">
        <v>0</v>
      </c>
      <c r="T119" t="inlineStr">
        <is>
          <t>No se ejecutó en la vigencia</t>
        </is>
      </c>
      <c r="U119" t="inlineStr">
        <is>
          <t xml:space="preserve"> </t>
        </is>
      </c>
      <c r="V119" s="104" t="inlineStr">
        <is>
          <t xml:space="preserve"> </t>
        </is>
      </c>
      <c r="W119" t="inlineStr">
        <is>
          <t>No se encontró ejecución en PIIP</t>
        </is>
      </c>
    </row>
    <row r="120">
      <c r="A120" t="inlineStr">
        <is>
          <t>IP-118</t>
        </is>
      </c>
      <c r="B120" t="inlineStr">
        <is>
          <t>24</t>
        </is>
      </c>
      <c r="C120" t="inlineStr">
        <is>
          <t>Transporte</t>
        </is>
      </c>
      <c r="D120" t="inlineStr">
        <is>
          <t>2402</t>
        </is>
      </c>
      <c r="E120" t="inlineStr">
        <is>
          <t>Infraestructura red vial regional</t>
        </is>
      </c>
      <c r="F120" t="inlineStr">
        <is>
          <t>2402041</t>
        </is>
      </c>
      <c r="G120" t="inlineStr">
        <is>
          <t>Vía terciaria mejorada</t>
        </is>
      </c>
      <c r="H120" t="inlineStr">
        <is>
          <t>240204100</t>
        </is>
      </c>
      <c r="I120" t="inlineStr">
        <is>
          <t>Vía terciaria mejorada</t>
        </is>
      </c>
      <c r="J120" t="inlineStr">
        <is>
          <t>2024257850032</t>
        </is>
      </c>
      <c r="K120" t="inlineStr">
        <is>
          <t>No</t>
        </is>
      </c>
      <c r="L120" t="inlineStr">
        <is>
          <t>Kilómetros</t>
        </is>
      </c>
      <c r="M120">
        <v>85</v>
      </c>
      <c r="N120">
        <v>85</v>
      </c>
      <c r="O120">
        <v>85</v>
      </c>
      <c r="P120">
        <v>85</v>
      </c>
      <c r="Q120">
        <v>85</v>
      </c>
      <c r="R120">
        <v>85</v>
      </c>
      <c r="S120" s="103">
        <v>1</v>
      </c>
      <c r="T120" t="inlineStr">
        <is>
          <t>Se ejecutó el 100% de lo programado en la vigencia</t>
        </is>
      </c>
      <c r="U120">
        <v>85</v>
      </c>
      <c r="V120" s="104">
        <v>1</v>
      </c>
      <c r="W120" t="inlineStr">
        <is>
          <t>Se ejecutó el 100% de lo programado en la vigencia</t>
        </is>
      </c>
    </row>
    <row r="121">
      <c r="A121" t="inlineStr">
        <is>
          <t>IP-119</t>
        </is>
      </c>
      <c r="B121" t="inlineStr">
        <is>
          <t>24</t>
        </is>
      </c>
      <c r="C121" t="inlineStr">
        <is>
          <t>Transporte</t>
        </is>
      </c>
      <c r="D121" t="inlineStr">
        <is>
          <t>2402</t>
        </is>
      </c>
      <c r="E121" t="inlineStr">
        <is>
          <t>Infraestructura red vial regional</t>
        </is>
      </c>
      <c r="F121" t="inlineStr">
        <is>
          <t>2402041</t>
        </is>
      </c>
      <c r="G121" t="inlineStr">
        <is>
          <t>Vía terciaria mejorada</t>
        </is>
      </c>
      <c r="H121" t="inlineStr">
        <is>
          <t>240204104</t>
        </is>
      </c>
      <c r="I121" t="inlineStr">
        <is>
          <t>Placa huella construida</t>
        </is>
      </c>
      <c r="J121" t="inlineStr">
        <is>
          <t>2024257850032</t>
        </is>
      </c>
      <c r="K121" t="inlineStr">
        <is>
          <t>Si</t>
        </is>
      </c>
      <c r="L121" t="inlineStr">
        <is>
          <t xml:space="preserve">Metros </t>
        </is>
      </c>
      <c r="M121">
        <v>1500</v>
      </c>
      <c r="N121">
        <v>0</v>
      </c>
      <c r="O121">
        <v>500</v>
      </c>
      <c r="P121">
        <v>500</v>
      </c>
      <c r="Q121">
        <v>500</v>
      </c>
      <c r="R121" t="inlineStr">
        <is>
          <t xml:space="preserve"> </t>
        </is>
      </c>
      <c r="S121" s="103" t="inlineStr">
        <is>
          <t xml:space="preserve"> </t>
        </is>
      </c>
      <c r="T121" t="inlineStr">
        <is>
          <t>No se encontró ejecución en PIIP</t>
        </is>
      </c>
      <c r="U121" t="inlineStr">
        <is>
          <t xml:space="preserve"> </t>
        </is>
      </c>
      <c r="V121" s="104" t="inlineStr">
        <is>
          <t xml:space="preserve"> </t>
        </is>
      </c>
      <c r="W121" t="inlineStr">
        <is>
          <t>No se encontró ejecución en PIIP</t>
        </is>
      </c>
    </row>
    <row r="122">
      <c r="A122" t="inlineStr">
        <is>
          <t>IP-120</t>
        </is>
      </c>
      <c r="B122" t="inlineStr">
        <is>
          <t>24</t>
        </is>
      </c>
      <c r="C122" t="inlineStr">
        <is>
          <t>Transporte</t>
        </is>
      </c>
      <c r="D122" t="inlineStr">
        <is>
          <t>2402</t>
        </is>
      </c>
      <c r="E122" t="inlineStr">
        <is>
          <t>Infraestructura red vial regional</t>
        </is>
      </c>
      <c r="F122" t="inlineStr">
        <is>
          <t>2402121</t>
        </is>
      </c>
      <c r="G122" t="inlineStr">
        <is>
          <t>Andén construido</t>
        </is>
      </c>
      <c r="H122" t="inlineStr">
        <is>
          <t>240212100</t>
        </is>
      </c>
      <c r="I122" t="inlineStr">
        <is>
          <t>Andén construido</t>
        </is>
      </c>
      <c r="J122" t="inlineStr">
        <is>
          <t>2024257850032</t>
        </is>
      </c>
      <c r="K122" t="inlineStr">
        <is>
          <t>Si</t>
        </is>
      </c>
      <c r="L122" t="inlineStr">
        <is>
          <t xml:space="preserve">Metros </t>
        </is>
      </c>
      <c r="M122">
        <v>600</v>
      </c>
      <c r="N122">
        <v>150</v>
      </c>
      <c r="O122">
        <v>150</v>
      </c>
      <c r="P122">
        <v>150</v>
      </c>
      <c r="Q122">
        <v>150</v>
      </c>
      <c r="R122" t="inlineStr">
        <is>
          <t xml:space="preserve"> </t>
        </is>
      </c>
      <c r="S122" s="103" t="inlineStr">
        <is>
          <t xml:space="preserve"> </t>
        </is>
      </c>
      <c r="T122" t="inlineStr">
        <is>
          <t>No se encontró ejecución en PIIP</t>
        </is>
      </c>
      <c r="U122" t="inlineStr">
        <is>
          <t xml:space="preserve"> </t>
        </is>
      </c>
      <c r="V122" s="104" t="inlineStr">
        <is>
          <t xml:space="preserve"> </t>
        </is>
      </c>
      <c r="W122" t="inlineStr">
        <is>
          <t>No se encontró ejecución en PIIP</t>
        </is>
      </c>
    </row>
    <row r="123">
      <c r="A123" t="inlineStr">
        <is>
          <t>IP-121</t>
        </is>
      </c>
      <c r="B123" t="inlineStr">
        <is>
          <t>24</t>
        </is>
      </c>
      <c r="C123" t="inlineStr">
        <is>
          <t>Transporte</t>
        </is>
      </c>
      <c r="D123" t="inlineStr">
        <is>
          <t>2402</t>
        </is>
      </c>
      <c r="E123" t="inlineStr">
        <is>
          <t>Infraestructura red vial regional</t>
        </is>
      </c>
      <c r="F123" t="inlineStr">
        <is>
          <t>2402114</t>
        </is>
      </c>
      <c r="G123" t="inlineStr">
        <is>
          <t>Vía urbana mejorada</t>
        </is>
      </c>
      <c r="H123" t="inlineStr">
        <is>
          <t>240211400</t>
        </is>
      </c>
      <c r="I123" t="inlineStr">
        <is>
          <t xml:space="preserve">Vía urbana mejorada </t>
        </is>
      </c>
      <c r="J123" t="inlineStr">
        <is>
          <t>2024257850032</t>
        </is>
      </c>
      <c r="K123" t="inlineStr">
        <is>
          <t>No</t>
        </is>
      </c>
      <c r="L123" t="inlineStr">
        <is>
          <t>Kilómetros</t>
        </is>
      </c>
      <c r="M123">
        <v>1</v>
      </c>
      <c r="N123">
        <v>1</v>
      </c>
      <c r="O123">
        <v>1</v>
      </c>
      <c r="P123">
        <v>1</v>
      </c>
      <c r="Q123">
        <v>1</v>
      </c>
      <c r="R123" t="inlineStr">
        <is>
          <t xml:space="preserve"> </t>
        </is>
      </c>
      <c r="S123" s="103" t="inlineStr">
        <is>
          <t xml:space="preserve"> </t>
        </is>
      </c>
      <c r="T123" t="inlineStr">
        <is>
          <t>No se encontró ejecución en PIIP</t>
        </is>
      </c>
      <c r="U123" t="inlineStr">
        <is>
          <t xml:space="preserve"> </t>
        </is>
      </c>
      <c r="V123" s="104" t="inlineStr">
        <is>
          <t xml:space="preserve"> </t>
        </is>
      </c>
      <c r="W123" t="inlineStr">
        <is>
          <t>No se encontró ejecución en PIIP</t>
        </is>
      </c>
    </row>
    <row r="124">
      <c r="A124" t="inlineStr">
        <is>
          <t>IP-122</t>
        </is>
      </c>
      <c r="B124" t="inlineStr">
        <is>
          <t>24</t>
        </is>
      </c>
      <c r="C124" t="inlineStr">
        <is>
          <t>Transporte</t>
        </is>
      </c>
      <c r="D124" t="inlineStr">
        <is>
          <t>2402</t>
        </is>
      </c>
      <c r="E124" t="inlineStr">
        <is>
          <t>Infraestructura red vial regional</t>
        </is>
      </c>
      <c r="F124" t="inlineStr">
        <is>
          <t>2402128</t>
        </is>
      </c>
      <c r="G124" t="inlineStr">
        <is>
          <t>Andén de la red urbana mejorado</t>
        </is>
      </c>
      <c r="H124" t="inlineStr">
        <is>
          <t>240212801</t>
        </is>
      </c>
      <c r="I124" t="inlineStr">
        <is>
          <t>Andenes de la red urbana mejorados</t>
        </is>
      </c>
      <c r="J124" t="inlineStr">
        <is>
          <t>202500000044549</t>
        </is>
      </c>
      <c r="K124" t="inlineStr">
        <is>
          <t>Si</t>
        </is>
      </c>
      <c r="L124" t="inlineStr">
        <is>
          <t>Metros cuadrados</t>
        </is>
      </c>
      <c r="M124">
        <v>400</v>
      </c>
      <c r="N124">
        <v>0</v>
      </c>
      <c r="O124">
        <v>0</v>
      </c>
      <c r="P124">
        <v>200</v>
      </c>
      <c r="Q124">
        <v>200</v>
      </c>
      <c r="R124" t="inlineStr">
        <is>
          <t xml:space="preserve"> </t>
        </is>
      </c>
      <c r="S124" s="103" t="inlineStr">
        <is>
          <t xml:space="preserve"> </t>
        </is>
      </c>
      <c r="T124" t="inlineStr">
        <is>
          <t>No se encontró ejecución en PIIP</t>
        </is>
      </c>
      <c r="U124" t="inlineStr">
        <is>
          <t xml:space="preserve"> </t>
        </is>
      </c>
      <c r="V124" s="104" t="inlineStr">
        <is>
          <t xml:space="preserve"> </t>
        </is>
      </c>
      <c r="W124" t="inlineStr">
        <is>
          <t>No se encontró ejecución en PIIP</t>
        </is>
      </c>
    </row>
    <row r="125">
      <c r="A125" t="inlineStr">
        <is>
          <t>IP-123</t>
        </is>
      </c>
      <c r="B125" t="inlineStr">
        <is>
          <t>24</t>
        </is>
      </c>
      <c r="C125" t="inlineStr">
        <is>
          <t>Transporte</t>
        </is>
      </c>
      <c r="D125" t="inlineStr">
        <is>
          <t>2402</t>
        </is>
      </c>
      <c r="E125" t="inlineStr">
        <is>
          <t>Infraestructura red vial regional</t>
        </is>
      </c>
      <c r="F125" t="inlineStr">
        <is>
          <t>2402104</t>
        </is>
      </c>
      <c r="G125" t="inlineStr">
        <is>
          <t>Documentos de planeación</t>
        </is>
      </c>
      <c r="H125" t="inlineStr">
        <is>
          <t>240210400</t>
        </is>
      </c>
      <c r="I125" t="inlineStr">
        <is>
          <t>Documentos de planeación realizados</t>
        </is>
      </c>
      <c r="J125" t="inlineStr">
        <is>
          <t>202500000044549</t>
        </is>
      </c>
      <c r="K125" t="inlineStr">
        <is>
          <t>No</t>
        </is>
      </c>
      <c r="L125" t="inlineStr">
        <is>
          <t>Número</t>
        </is>
      </c>
      <c r="M125">
        <v>1</v>
      </c>
      <c r="N125">
        <v>0</v>
      </c>
      <c r="O125">
        <v>0</v>
      </c>
      <c r="P125">
        <v>1</v>
      </c>
      <c r="Q125">
        <v>0</v>
      </c>
      <c r="R125" t="inlineStr">
        <is>
          <t xml:space="preserve"> </t>
        </is>
      </c>
      <c r="S125" s="103" t="inlineStr">
        <is>
          <t xml:space="preserve"> </t>
        </is>
      </c>
      <c r="T125" t="inlineStr">
        <is>
          <t>No se encontró ejecución en PIIP</t>
        </is>
      </c>
      <c r="U125" t="inlineStr">
        <is>
          <t xml:space="preserve"> </t>
        </is>
      </c>
      <c r="V125" s="104" t="inlineStr">
        <is>
          <t xml:space="preserve"> </t>
        </is>
      </c>
      <c r="W125" t="inlineStr">
        <is>
          <t>No se encontró ejecución en PIIP</t>
        </is>
      </c>
    </row>
    <row r="126">
      <c r="A126" t="inlineStr">
        <is>
          <t>IP-124</t>
        </is>
      </c>
      <c r="B126" t="inlineStr">
        <is>
          <t>24</t>
        </is>
      </c>
      <c r="C126" t="inlineStr">
        <is>
          <t>Transporte</t>
        </is>
      </c>
      <c r="D126" t="inlineStr">
        <is>
          <t>2409</t>
        </is>
      </c>
      <c r="E126" t="inlineStr">
        <is>
          <t>Seguridad de transporte</t>
        </is>
      </c>
      <c r="F126" t="inlineStr">
        <is>
          <t>2409058</t>
        </is>
      </c>
      <c r="G126" t="inlineStr">
        <is>
          <t>Cicloinfraestructura construida</t>
        </is>
      </c>
      <c r="H126" t="inlineStr">
        <is>
          <t>240905800</t>
        </is>
      </c>
      <c r="I126" t="inlineStr">
        <is>
          <t>Cicloinfraestructura construida</t>
        </is>
      </c>
      <c r="J126" t="inlineStr">
        <is>
          <t/>
        </is>
      </c>
      <c r="K126" t="inlineStr">
        <is>
          <t>No</t>
        </is>
      </c>
      <c r="L126" t="inlineStr">
        <is>
          <t>Kilómetros</t>
        </is>
      </c>
      <c r="M126">
        <v>0.5</v>
      </c>
      <c r="N126">
        <v>0</v>
      </c>
      <c r="O126">
        <v>0</v>
      </c>
      <c r="P126">
        <v>0.5</v>
      </c>
      <c r="Q126">
        <v>0</v>
      </c>
      <c r="R126" t="inlineStr">
        <is>
          <t xml:space="preserve"> </t>
        </is>
      </c>
      <c r="S126" s="103" t="inlineStr">
        <is>
          <t xml:space="preserve"> </t>
        </is>
      </c>
      <c r="T126" t="inlineStr">
        <is>
          <t>Por falta de código BPIN, no se encontró ejecución en PIIP</t>
        </is>
      </c>
      <c r="U126" t="inlineStr">
        <is>
          <t xml:space="preserve"> </t>
        </is>
      </c>
      <c r="V126" s="104" t="inlineStr">
        <is>
          <t xml:space="preserve"> </t>
        </is>
      </c>
      <c r="W126" t="inlineStr">
        <is>
          <t>Por falta de código BPIN, no se encontró ejecución en PIIP</t>
        </is>
      </c>
    </row>
    <row r="127">
      <c r="A127" t="inlineStr">
        <is>
          <t>IP-125</t>
        </is>
      </c>
      <c r="B127" t="inlineStr">
        <is>
          <t>40</t>
        </is>
      </c>
      <c r="C127" t="inlineStr">
        <is>
          <t>Vivienda, ciudad y territorio</t>
        </is>
      </c>
      <c r="D127" t="inlineStr">
        <is>
          <t>4001</t>
        </is>
      </c>
      <c r="E127" t="inlineStr">
        <is>
          <t>Acceso a soluciones de vivienda</t>
        </is>
      </c>
      <c r="F127" t="inlineStr">
        <is>
          <t>4001032</t>
        </is>
      </c>
      <c r="G127" t="inlineStr">
        <is>
          <t>Servicio de apoyo financiero para mejoramiento de vivienda</t>
        </is>
      </c>
      <c r="H127" t="inlineStr">
        <is>
          <t>400103200</t>
        </is>
      </c>
      <c r="I127" t="inlineStr">
        <is>
          <t>Hogares beneficiados con mejoramiento de una vivienda  </t>
        </is>
      </c>
      <c r="J127" t="inlineStr">
        <is>
          <t>202500000024615</t>
        </is>
      </c>
      <c r="K127" t="inlineStr">
        <is>
          <t>Si</t>
        </is>
      </c>
      <c r="L127" t="inlineStr">
        <is>
          <t>Número</t>
        </is>
      </c>
      <c r="M127">
        <v>30</v>
      </c>
      <c r="N127">
        <v>0</v>
      </c>
      <c r="O127">
        <v>0</v>
      </c>
      <c r="P127">
        <v>15</v>
      </c>
      <c r="Q127">
        <v>15</v>
      </c>
      <c r="R127" t="inlineStr">
        <is>
          <t xml:space="preserve"> </t>
        </is>
      </c>
      <c r="S127" s="103" t="inlineStr">
        <is>
          <t xml:space="preserve"> </t>
        </is>
      </c>
      <c r="T127" t="inlineStr">
        <is>
          <t>No se encontró ejecución en PIIP</t>
        </is>
      </c>
      <c r="U127" t="inlineStr">
        <is>
          <t xml:space="preserve"> </t>
        </is>
      </c>
      <c r="V127" s="104" t="inlineStr">
        <is>
          <t xml:space="preserve"> </t>
        </is>
      </c>
      <c r="W127" t="inlineStr">
        <is>
          <t>No se encontró ejecución en PIIP</t>
        </is>
      </c>
    </row>
    <row r="128">
      <c r="A128" t="inlineStr">
        <is>
          <t>IP-126</t>
        </is>
      </c>
      <c r="B128" t="inlineStr">
        <is>
          <t>40</t>
        </is>
      </c>
      <c r="C128" t="inlineStr">
        <is>
          <t>Vivienda, ciudad y territorio</t>
        </is>
      </c>
      <c r="D128" t="inlineStr">
        <is>
          <t>4001</t>
        </is>
      </c>
      <c r="E128" t="inlineStr">
        <is>
          <t>Acceso a soluciones de vivienda</t>
        </is>
      </c>
      <c r="F128" t="inlineStr">
        <is>
          <t>4001034</t>
        </is>
      </c>
      <c r="G128" t="inlineStr">
        <is>
          <t>Servicio de apoyo financiero para construcción de vivienda en sitio propio</t>
        </is>
      </c>
      <c r="H128" t="inlineStr">
        <is>
          <t>400103400</t>
        </is>
      </c>
      <c r="I128" t="inlineStr">
        <is>
          <t>Hogares beneficiados con construcción de vivienda en sitio propio</t>
        </is>
      </c>
      <c r="J128" t="inlineStr">
        <is>
          <t/>
        </is>
      </c>
      <c r="K128" t="inlineStr">
        <is>
          <t>Si</t>
        </is>
      </c>
      <c r="L128" t="inlineStr">
        <is>
          <t>Número</t>
        </is>
      </c>
      <c r="M128">
        <v>10</v>
      </c>
      <c r="N128">
        <v>0</v>
      </c>
      <c r="O128">
        <v>0</v>
      </c>
      <c r="P128">
        <v>5</v>
      </c>
      <c r="Q128">
        <v>5</v>
      </c>
      <c r="R128" t="inlineStr">
        <is>
          <t xml:space="preserve"> </t>
        </is>
      </c>
      <c r="S128" s="103" t="inlineStr">
        <is>
          <t xml:space="preserve"> </t>
        </is>
      </c>
      <c r="T128" t="inlineStr">
        <is>
          <t>Por falta de código BPIN, no se encontró ejecución en PIIP</t>
        </is>
      </c>
      <c r="U128" t="inlineStr">
        <is>
          <t xml:space="preserve"> </t>
        </is>
      </c>
      <c r="V128" s="104" t="inlineStr">
        <is>
          <t xml:space="preserve"> </t>
        </is>
      </c>
      <c r="W128" t="inlineStr">
        <is>
          <t>Por falta de código BPIN, no se encontró ejecución en PIIP</t>
        </is>
      </c>
    </row>
    <row r="129">
      <c r="A129" t="inlineStr">
        <is>
          <t>IP-127</t>
        </is>
      </c>
      <c r="B129" t="inlineStr">
        <is>
          <t>45</t>
        </is>
      </c>
      <c r="C129" t="inlineStr">
        <is>
          <t>Gobierno Territorial</t>
        </is>
      </c>
      <c r="D129" t="inlineStr">
        <is>
          <t>4599</t>
        </is>
      </c>
      <c r="E129" t="inlineStr">
        <is>
          <t>Fortalecimiento a la gestión y dirección de la administración pública territorial</t>
        </is>
      </c>
      <c r="F129" t="inlineStr">
        <is>
          <t>4599009</t>
        </is>
      </c>
      <c r="G129" t="inlineStr">
        <is>
          <t>Sedes construidas</t>
        </is>
      </c>
      <c r="H129" t="inlineStr">
        <is>
          <t>459900900</t>
        </is>
      </c>
      <c r="I129" t="inlineStr">
        <is>
          <t>Sedes construidas</t>
        </is>
      </c>
      <c r="J129" t="inlineStr">
        <is>
          <t/>
        </is>
      </c>
      <c r="K129" t="inlineStr">
        <is>
          <t>Si</t>
        </is>
      </c>
      <c r="L129" t="inlineStr">
        <is>
          <t>Número</t>
        </is>
      </c>
      <c r="M129">
        <v>2</v>
      </c>
      <c r="N129">
        <v>0</v>
      </c>
      <c r="O129">
        <v>2</v>
      </c>
      <c r="P129">
        <v>0</v>
      </c>
      <c r="Q129">
        <v>0</v>
      </c>
      <c r="R129" t="inlineStr">
        <is>
          <t xml:space="preserve"> </t>
        </is>
      </c>
      <c r="S129" s="103" t="inlineStr">
        <is>
          <t xml:space="preserve"> </t>
        </is>
      </c>
      <c r="T129" t="inlineStr">
        <is>
          <t>Por falta de código BPIN, no se encontró ejecución en PIIP</t>
        </is>
      </c>
      <c r="U129" t="inlineStr">
        <is>
          <t xml:space="preserve"> </t>
        </is>
      </c>
      <c r="V129" s="104" t="inlineStr">
        <is>
          <t xml:space="preserve"> </t>
        </is>
      </c>
      <c r="W129" t="inlineStr">
        <is>
          <t>Por falta de código BPIN, no se encontró ejecución en PIIP</t>
        </is>
      </c>
    </row>
    <row r="130">
      <c r="A130" t="inlineStr">
        <is>
          <t>IP-128</t>
        </is>
      </c>
      <c r="B130" t="inlineStr">
        <is>
          <t>45</t>
        </is>
      </c>
      <c r="C130" t="inlineStr">
        <is>
          <t>Gobierno Territorial</t>
        </is>
      </c>
      <c r="D130" t="inlineStr">
        <is>
          <t>4599</t>
        </is>
      </c>
      <c r="E130" t="inlineStr">
        <is>
          <t>Fortalecimiento a la gestión y dirección de la administración pública territorial</t>
        </is>
      </c>
      <c r="F130" t="inlineStr">
        <is>
          <t>4599016</t>
        </is>
      </c>
      <c r="G130" t="inlineStr">
        <is>
          <t>Sedes mantenidas</t>
        </is>
      </c>
      <c r="H130" t="inlineStr">
        <is>
          <t>459901600</t>
        </is>
      </c>
      <c r="I130" t="inlineStr">
        <is>
          <t>Sedes mantenidas</t>
        </is>
      </c>
      <c r="J130" t="inlineStr">
        <is>
          <t>2024257850028</t>
        </is>
      </c>
      <c r="K130" t="inlineStr">
        <is>
          <t>No</t>
        </is>
      </c>
      <c r="L130" t="inlineStr">
        <is>
          <t>Número</t>
        </is>
      </c>
      <c r="M130">
        <v>10</v>
      </c>
      <c r="N130">
        <v>10</v>
      </c>
      <c r="O130">
        <v>10</v>
      </c>
      <c r="P130">
        <v>10</v>
      </c>
      <c r="Q130">
        <v>10</v>
      </c>
      <c r="R130">
        <v>10</v>
      </c>
      <c r="S130" s="103">
        <v>1</v>
      </c>
      <c r="T130" t="inlineStr">
        <is>
          <t>Se ejecutó el 100% de lo programado en la vigencia</t>
        </is>
      </c>
      <c r="U130">
        <v>2</v>
      </c>
      <c r="V130" s="104">
        <v>0.2</v>
      </c>
      <c r="W130" t="inlineStr">
        <is>
          <t>Lo ejecutado está por debajo de lo programado en la vigencia</t>
        </is>
      </c>
    </row>
    <row r="131">
      <c r="A131" t="inlineStr">
        <is>
          <t>IP-129</t>
        </is>
      </c>
      <c r="B131" t="inlineStr">
        <is>
          <t>40</t>
        </is>
      </c>
      <c r="C131" t="inlineStr">
        <is>
          <t>Vivienda, ciudad y territorio</t>
        </is>
      </c>
      <c r="D131" t="inlineStr">
        <is>
          <t>4002</t>
        </is>
      </c>
      <c r="E131" t="inlineStr">
        <is>
          <t>Ordenamiento territorial y desarrollo urbano</t>
        </is>
      </c>
      <c r="F131" t="inlineStr">
        <is>
          <t>4002020</t>
        </is>
      </c>
      <c r="G131" t="inlineStr">
        <is>
          <t>Espacio publico adecuado</t>
        </is>
      </c>
      <c r="H131" t="inlineStr">
        <is>
          <t>400202000</t>
        </is>
      </c>
      <c r="I131" t="inlineStr">
        <is>
          <t>Espacio publico adecuado</t>
        </is>
      </c>
      <c r="J131" t="inlineStr">
        <is>
          <t>2024257850055</t>
        </is>
      </c>
      <c r="K131" t="inlineStr">
        <is>
          <t>No</t>
        </is>
      </c>
      <c r="L131" t="inlineStr">
        <is>
          <t>Metros cuadrados</t>
        </is>
      </c>
      <c r="M131">
        <v>5000</v>
      </c>
      <c r="N131">
        <v>5000</v>
      </c>
      <c r="O131">
        <v>5000</v>
      </c>
      <c r="P131">
        <v>5000</v>
      </c>
      <c r="Q131">
        <v>5000</v>
      </c>
      <c r="R131" t="inlineStr">
        <is>
          <t xml:space="preserve"> </t>
        </is>
      </c>
      <c r="S131" s="103" t="inlineStr">
        <is>
          <t xml:space="preserve"> </t>
        </is>
      </c>
      <c r="T131" t="inlineStr">
        <is>
          <t>No se encontró ejecución en PIIP</t>
        </is>
      </c>
      <c r="U131" t="inlineStr">
        <is>
          <t xml:space="preserve"> </t>
        </is>
      </c>
      <c r="V131" s="104" t="inlineStr">
        <is>
          <t xml:space="preserve"> </t>
        </is>
      </c>
      <c r="W131" t="inlineStr">
        <is>
          <t>No se encontró ejecución en PIIP</t>
        </is>
      </c>
    </row>
    <row r="132">
      <c r="A132" t="inlineStr">
        <is>
          <t>IP-130</t>
        </is>
      </c>
      <c r="B132" t="inlineStr">
        <is>
          <t>45</t>
        </is>
      </c>
      <c r="C132" t="inlineStr">
        <is>
          <t>Gobierno Territorial</t>
        </is>
      </c>
      <c r="D132" t="inlineStr">
        <is>
          <t>4599</t>
        </is>
      </c>
      <c r="E132" t="inlineStr">
        <is>
          <t>Fortalecimiento a la gestión y dirección de la administración pública territorial</t>
        </is>
      </c>
      <c r="F132" t="inlineStr">
        <is>
          <t>4599011</t>
        </is>
      </c>
      <c r="G132" t="inlineStr">
        <is>
          <t>Sedes adecuadas</t>
        </is>
      </c>
      <c r="H132" t="inlineStr">
        <is>
          <t>459901100</t>
        </is>
      </c>
      <c r="I132" t="inlineStr">
        <is>
          <t>Sedes adecuadas</t>
        </is>
      </c>
      <c r="J132" t="inlineStr">
        <is>
          <t>2024257850028</t>
        </is>
      </c>
      <c r="K132" t="inlineStr">
        <is>
          <t>No</t>
        </is>
      </c>
      <c r="L132" t="inlineStr">
        <is>
          <t>Número</t>
        </is>
      </c>
      <c r="M132">
        <v>1</v>
      </c>
      <c r="N132">
        <v>1</v>
      </c>
      <c r="O132">
        <v>1</v>
      </c>
      <c r="P132">
        <v>1</v>
      </c>
      <c r="Q132">
        <v>1</v>
      </c>
      <c r="R132" t="inlineStr">
        <is>
          <t xml:space="preserve"> </t>
        </is>
      </c>
      <c r="S132" s="103" t="inlineStr">
        <is>
          <t xml:space="preserve"> </t>
        </is>
      </c>
      <c r="T132" t="inlineStr">
        <is>
          <t>No se encontró ejecución en PIIP</t>
        </is>
      </c>
      <c r="U132" t="inlineStr">
        <is>
          <t xml:space="preserve"> </t>
        </is>
      </c>
      <c r="V132" s="104" t="inlineStr">
        <is>
          <t xml:space="preserve"> </t>
        </is>
      </c>
      <c r="W132" t="inlineStr">
        <is>
          <t>No se encontró ejecución en PIIP</t>
        </is>
      </c>
    </row>
    <row r="133">
      <c r="A133" t="inlineStr">
        <is>
          <t>IP-131</t>
        </is>
      </c>
      <c r="B133" t="inlineStr">
        <is>
          <t>21</t>
        </is>
      </c>
      <c r="C133" t="inlineStr">
        <is>
          <t>Minas y Energía</t>
        </is>
      </c>
      <c r="D133" t="inlineStr">
        <is>
          <t>2102</t>
        </is>
      </c>
      <c r="E133" t="inlineStr">
        <is>
          <t>Consolidación productiva del sector de energía eléctrica</t>
        </is>
      </c>
      <c r="F133" t="inlineStr">
        <is>
          <t>2102010</t>
        </is>
      </c>
      <c r="G133" t="inlineStr">
        <is>
          <t>Redes de alumbrado público ampliadas</t>
        </is>
      </c>
      <c r="H133" t="inlineStr">
        <is>
          <t>210201000</t>
        </is>
      </c>
      <c r="I133" t="inlineStr">
        <is>
          <t>Redes de alumbrado público ampliadas</t>
        </is>
      </c>
      <c r="J133" t="inlineStr">
        <is>
          <t>2024257850027</t>
        </is>
      </c>
      <c r="K133" t="inlineStr">
        <is>
          <t>Si</t>
        </is>
      </c>
      <c r="L133" t="inlineStr">
        <is>
          <t xml:space="preserve">Metros </t>
        </is>
      </c>
      <c r="M133">
        <v>2000</v>
      </c>
      <c r="N133">
        <v>500</v>
      </c>
      <c r="O133">
        <v>500</v>
      </c>
      <c r="P133">
        <v>500</v>
      </c>
      <c r="Q133">
        <v>500</v>
      </c>
      <c r="R133" t="inlineStr">
        <is>
          <t xml:space="preserve"> </t>
        </is>
      </c>
      <c r="S133" s="103" t="inlineStr">
        <is>
          <t xml:space="preserve"> </t>
        </is>
      </c>
      <c r="T133" t="inlineStr">
        <is>
          <t>No se encontró ejecución en PIIP</t>
        </is>
      </c>
      <c r="U133" t="inlineStr">
        <is>
          <t xml:space="preserve"> </t>
        </is>
      </c>
      <c r="V133" s="104" t="inlineStr">
        <is>
          <t xml:space="preserve"> </t>
        </is>
      </c>
      <c r="W133" t="inlineStr">
        <is>
          <t>No se encontró ejecución en PIIP</t>
        </is>
      </c>
    </row>
    <row r="134">
      <c r="A134" t="inlineStr">
        <is>
          <t>IP-132</t>
        </is>
      </c>
      <c r="B134" t="inlineStr">
        <is>
          <t>21</t>
        </is>
      </c>
      <c r="C134" t="inlineStr">
        <is>
          <t>Minas y Energía</t>
        </is>
      </c>
      <c r="D134" t="inlineStr">
        <is>
          <t>2102</t>
        </is>
      </c>
      <c r="E134" t="inlineStr">
        <is>
          <t>Consolidación productiva del sector de energía eléctrica</t>
        </is>
      </c>
      <c r="F134" t="inlineStr">
        <is>
          <t>2102069</t>
        </is>
      </c>
      <c r="G134" t="inlineStr">
        <is>
          <t>Servicio de alumbrado público</t>
        </is>
      </c>
      <c r="H134" t="inlineStr">
        <is>
          <t>210206900</t>
        </is>
      </c>
      <c r="I134" t="inlineStr">
        <is>
          <t>Lámparas de alumbrado público en funcionamiento</t>
        </is>
      </c>
      <c r="J134" t="inlineStr">
        <is>
          <t>2024257850027</t>
        </is>
      </c>
      <c r="K134" t="inlineStr">
        <is>
          <t>No</t>
        </is>
      </c>
      <c r="L134" t="inlineStr">
        <is>
          <t>Número</t>
        </is>
      </c>
      <c r="M134">
        <v>2800</v>
      </c>
      <c r="N134">
        <v>2800</v>
      </c>
      <c r="O134">
        <v>2800</v>
      </c>
      <c r="P134">
        <v>2800</v>
      </c>
      <c r="Q134">
        <v>2800</v>
      </c>
      <c r="R134" t="inlineStr">
        <is>
          <t xml:space="preserve"> </t>
        </is>
      </c>
      <c r="S134" s="103" t="inlineStr">
        <is>
          <t xml:space="preserve"> </t>
        </is>
      </c>
      <c r="T134" t="inlineStr">
        <is>
          <t>No se encontró ejecución en PIIP</t>
        </is>
      </c>
      <c r="U134">
        <v>2800</v>
      </c>
      <c r="V134" s="104">
        <v>1</v>
      </c>
      <c r="W134" t="inlineStr">
        <is>
          <t>Se ejecutó el 100% de lo programado en la vigencia</t>
        </is>
      </c>
    </row>
    <row r="135">
      <c r="A135" t="inlineStr">
        <is>
          <t>IP-133</t>
        </is>
      </c>
      <c r="B135" t="inlineStr">
        <is>
          <t>23</t>
        </is>
      </c>
      <c r="C135" t="inlineStr">
        <is>
          <t>Tecnologías de la información y las comunicaciones</t>
        </is>
      </c>
      <c r="D135" t="inlineStr">
        <is>
          <t>2301</t>
        </is>
      </c>
      <c r="E135" t="inlineStr">
        <is>
          <t>Facilitar el acceso y uso de las Tecnologías de la Información y las Comunicaciones (TIC) en todo el territorio nacional</t>
        </is>
      </c>
      <c r="F135" t="inlineStr">
        <is>
          <t>2301079</t>
        </is>
      </c>
      <c r="G135" t="inlineStr">
        <is>
          <t xml:space="preserve"> Servicio de acceso zonas digitales</t>
        </is>
      </c>
      <c r="H135" t="inlineStr">
        <is>
          <t>230107900</t>
        </is>
      </c>
      <c r="I135" t="inlineStr">
        <is>
          <t>Zonas digitales instaladas</t>
        </is>
      </c>
      <c r="J135" t="inlineStr">
        <is>
          <t>2024257850037</t>
        </is>
      </c>
      <c r="K135" t="inlineStr">
        <is>
          <t>Si</t>
        </is>
      </c>
      <c r="L135" t="inlineStr">
        <is>
          <t>Número</t>
        </is>
      </c>
      <c r="M135">
        <v>5</v>
      </c>
      <c r="N135">
        <v>1</v>
      </c>
      <c r="O135">
        <v>1</v>
      </c>
      <c r="P135">
        <v>1</v>
      </c>
      <c r="Q135">
        <v>2</v>
      </c>
      <c r="R135" t="inlineStr">
        <is>
          <t xml:space="preserve"> </t>
        </is>
      </c>
      <c r="S135" s="103" t="inlineStr">
        <is>
          <t xml:space="preserve"> </t>
        </is>
      </c>
      <c r="T135" t="inlineStr">
        <is>
          <t>No se encontró ejecución en PIIP</t>
        </is>
      </c>
      <c r="U135" t="inlineStr">
        <is>
          <t xml:space="preserve"> </t>
        </is>
      </c>
      <c r="V135" s="104" t="inlineStr">
        <is>
          <t xml:space="preserve"> </t>
        </is>
      </c>
      <c r="W135" t="inlineStr">
        <is>
          <t>No se encontró ejecución en PIIP</t>
        </is>
      </c>
    </row>
    <row r="136">
      <c r="A136" t="inlineStr">
        <is>
          <t>IP-134</t>
        </is>
      </c>
      <c r="B136" t="inlineStr">
        <is>
          <t>23</t>
        </is>
      </c>
      <c r="C136" t="inlineStr">
        <is>
          <t>Tecnologías de la información y las comunicaciones</t>
        </is>
      </c>
      <c r="D136" t="inlineStr">
        <is>
          <t>2301</t>
        </is>
      </c>
      <c r="E136" t="inlineStr">
        <is>
          <t>Facilitar el acceso y uso de las Tecnologías de la Información y las Comunicaciones (TIC) en todo el territorio nacional</t>
        </is>
      </c>
      <c r="F136" t="inlineStr">
        <is>
          <t>2301062</t>
        </is>
      </c>
      <c r="G136" t="inlineStr">
        <is>
          <t>Servicio de apoyo en tecnologías de la información y las comunicaciones para la educación básica, primaria y secundaria</t>
        </is>
      </c>
      <c r="H136" t="inlineStr">
        <is>
          <t>230106206</t>
        </is>
      </c>
      <c r="I136" t="inlineStr">
        <is>
          <t>Sedes educativas oficiales beneficiadas con acceso a internet</t>
        </is>
      </c>
      <c r="J136" t="inlineStr">
        <is>
          <t>2024257850037</t>
        </is>
      </c>
      <c r="K136" t="inlineStr">
        <is>
          <t>No</t>
        </is>
      </c>
      <c r="L136" t="inlineStr">
        <is>
          <t>Número</t>
        </is>
      </c>
      <c r="M136">
        <v>13</v>
      </c>
      <c r="N136">
        <v>13</v>
      </c>
      <c r="O136">
        <v>13</v>
      </c>
      <c r="P136">
        <v>13</v>
      </c>
      <c r="Q136">
        <v>13</v>
      </c>
      <c r="R136" t="inlineStr">
        <is>
          <t xml:space="preserve"> </t>
        </is>
      </c>
      <c r="S136" s="103" t="inlineStr">
        <is>
          <t xml:space="preserve"> </t>
        </is>
      </c>
      <c r="T136" t="inlineStr">
        <is>
          <t>No se encontró ejecución en PIIP</t>
        </is>
      </c>
      <c r="U136" t="inlineStr">
        <is>
          <t xml:space="preserve"> </t>
        </is>
      </c>
      <c r="V136" s="104" t="inlineStr">
        <is>
          <t xml:space="preserve"> </t>
        </is>
      </c>
      <c r="W136" t="inlineStr">
        <is>
          <t>No se encontró ejecución en PIIP</t>
        </is>
      </c>
    </row>
    <row r="137">
      <c r="A137" t="inlineStr">
        <is>
          <t>IP-135</t>
        </is>
      </c>
      <c r="B137" t="inlineStr">
        <is>
          <t>23</t>
        </is>
      </c>
      <c r="C137" t="inlineStr">
        <is>
          <t>Tecnologías de la información y las comunicaciones</t>
        </is>
      </c>
      <c r="D137" t="inlineStr">
        <is>
          <t>2301</t>
        </is>
      </c>
      <c r="E137" t="inlineStr">
        <is>
          <t>Facilitar el acceso y uso de las Tecnologías de la Información y las Comunicaciones (TIC) en todo el territorio nacional</t>
        </is>
      </c>
      <c r="F137" t="inlineStr">
        <is>
          <t>2301029</t>
        </is>
      </c>
      <c r="G137" t="inlineStr">
        <is>
          <t>Servicio de divulgación de la regulación en materia de Tecnologías de la Información y las comunicaciones, y en materia postal</t>
        </is>
      </c>
      <c r="H137" t="inlineStr">
        <is>
          <t>230102901</t>
        </is>
      </c>
      <c r="I137" t="inlineStr">
        <is>
          <t>Eventos  para la promoción de la oferta de las Tecnologías de la Información y las Comunicaciones realizados</t>
        </is>
      </c>
      <c r="J137" t="inlineStr">
        <is>
          <t>2024257850037</t>
        </is>
      </c>
      <c r="K137" t="inlineStr">
        <is>
          <t>Si</t>
        </is>
      </c>
      <c r="L137" t="inlineStr">
        <is>
          <t>Número</t>
        </is>
      </c>
      <c r="M137">
        <v>10</v>
      </c>
      <c r="N137">
        <v>2</v>
      </c>
      <c r="O137">
        <v>2</v>
      </c>
      <c r="P137">
        <v>3</v>
      </c>
      <c r="Q137">
        <v>3</v>
      </c>
      <c r="R137" t="inlineStr">
        <is>
          <t xml:space="preserve"> </t>
        </is>
      </c>
      <c r="S137" s="103" t="inlineStr">
        <is>
          <t xml:space="preserve"> </t>
        </is>
      </c>
      <c r="T137" t="inlineStr">
        <is>
          <t>No se encontró ejecución en PIIP</t>
        </is>
      </c>
      <c r="U137" t="inlineStr">
        <is>
          <t xml:space="preserve"> </t>
        </is>
      </c>
      <c r="V137" s="104" t="inlineStr">
        <is>
          <t xml:space="preserve"> </t>
        </is>
      </c>
      <c r="W137" t="inlineStr">
        <is>
          <t>No se encontró ejecución en PIIP</t>
        </is>
      </c>
    </row>
    <row r="138">
      <c r="A138" t="inlineStr">
        <is>
          <t>IP-136</t>
        </is>
      </c>
      <c r="B138" t="inlineStr">
        <is>
          <t>23</t>
        </is>
      </c>
      <c r="C138" t="inlineStr">
        <is>
          <t>Tecnologías de la información y las comunicaciones</t>
        </is>
      </c>
      <c r="D138" t="inlineStr">
        <is>
          <t>2302</t>
        </is>
      </c>
      <c r="E138" t="inlineStr">
        <is>
          <t>Fomento del desarrollo de aplicaciones, software y contenidos para impulsar la apropiación de las Tecnologías de la Información y las Comunicaciones (TIC)</t>
        </is>
      </c>
      <c r="F138" t="inlineStr">
        <is>
          <t>2302024</t>
        </is>
      </c>
      <c r="G138" t="inlineStr">
        <is>
          <t>Servicio de asistencia técnica para la implementación de la Estrategia de Gobierno digital</t>
        </is>
      </c>
      <c r="H138" t="inlineStr">
        <is>
          <t>230202403</t>
        </is>
      </c>
      <c r="I138" t="inlineStr">
        <is>
          <t>Servicios del Estado altamente demandados por la sociedad disponibles en línea</t>
        </is>
      </c>
      <c r="J138" t="inlineStr">
        <is>
          <t>2024257850037</t>
        </is>
      </c>
      <c r="K138" t="inlineStr">
        <is>
          <t>No</t>
        </is>
      </c>
      <c r="L138" t="inlineStr">
        <is>
          <t>Número</t>
        </is>
      </c>
      <c r="M138">
        <v>1</v>
      </c>
      <c r="N138">
        <v>1</v>
      </c>
      <c r="O138">
        <v>1</v>
      </c>
      <c r="P138">
        <v>1</v>
      </c>
      <c r="Q138">
        <v>1</v>
      </c>
      <c r="R138" t="inlineStr">
        <is>
          <t xml:space="preserve"> </t>
        </is>
      </c>
      <c r="S138" s="103" t="inlineStr">
        <is>
          <t xml:space="preserve"> </t>
        </is>
      </c>
      <c r="T138" t="inlineStr">
        <is>
          <t>No se encontró ejecución en PIIP</t>
        </is>
      </c>
      <c r="U138" t="inlineStr">
        <is>
          <t xml:space="preserve"> </t>
        </is>
      </c>
      <c r="V138" s="104" t="inlineStr">
        <is>
          <t xml:space="preserve"> </t>
        </is>
      </c>
      <c r="W138" t="inlineStr">
        <is>
          <t>No se encontró ejecución en PIIP</t>
        </is>
      </c>
    </row>
    <row r="139">
      <c r="A139" t="inlineStr">
        <is>
          <t>IP-137</t>
        </is>
      </c>
      <c r="B139" t="inlineStr">
        <is>
          <t>23</t>
        </is>
      </c>
      <c r="C139" t="inlineStr">
        <is>
          <t>Tecnologías de la información y las comunicaciones</t>
        </is>
      </c>
      <c r="D139" t="inlineStr">
        <is>
          <t>2301</t>
        </is>
      </c>
      <c r="E139" t="inlineStr">
        <is>
          <t>Facilitar el acceso y uso de las Tecnologías de la Información y las Comunicaciones (TIC) en todo el territorio nacional</t>
        </is>
      </c>
      <c r="F139" t="inlineStr">
        <is>
          <t>2301076</t>
        </is>
      </c>
      <c r="G139" t="inlineStr">
        <is>
          <t>Servicio de acceso y promoción a las tecnologías de la información y las comunicaciones</t>
        </is>
      </c>
      <c r="H139" t="inlineStr">
        <is>
          <t>230107600</t>
        </is>
      </c>
      <c r="I139" t="inlineStr">
        <is>
          <t>Espacios públicos  para la promoción de las  TIC habilitados</t>
        </is>
      </c>
      <c r="J139" t="inlineStr">
        <is>
          <t>2024257850037</t>
        </is>
      </c>
      <c r="K139" t="inlineStr">
        <is>
          <t>Si</t>
        </is>
      </c>
      <c r="L139" t="inlineStr">
        <is>
          <t>Número</t>
        </is>
      </c>
      <c r="M139">
        <v>4</v>
      </c>
      <c r="N139">
        <v>1</v>
      </c>
      <c r="O139">
        <v>1</v>
      </c>
      <c r="P139">
        <v>1</v>
      </c>
      <c r="Q139">
        <v>1</v>
      </c>
      <c r="R139" t="inlineStr">
        <is>
          <t xml:space="preserve"> </t>
        </is>
      </c>
      <c r="S139" s="103" t="inlineStr">
        <is>
          <t xml:space="preserve"> </t>
        </is>
      </c>
      <c r="T139" t="inlineStr">
        <is>
          <t>No se encontró ejecución en PIIP</t>
        </is>
      </c>
      <c r="U139" t="inlineStr">
        <is>
          <t xml:space="preserve"> </t>
        </is>
      </c>
      <c r="V139" s="104" t="inlineStr">
        <is>
          <t xml:space="preserve"> </t>
        </is>
      </c>
      <c r="W139" t="inlineStr">
        <is>
          <t>No se encontró ejecución en PIIP</t>
        </is>
      </c>
    </row>
    <row r="140">
      <c r="A140" t="inlineStr">
        <is>
          <t>IP-138</t>
        </is>
      </c>
      <c r="B140" t="inlineStr">
        <is>
          <t>23</t>
        </is>
      </c>
      <c r="C140" t="inlineStr">
        <is>
          <t>Tecnologías de la información y las comunicaciones</t>
        </is>
      </c>
      <c r="D140" t="inlineStr">
        <is>
          <t>2302</t>
        </is>
      </c>
      <c r="E140" t="inlineStr">
        <is>
          <t>Fomento del desarrollo de aplicaciones, software y contenidos para impulsar la apropiación de las Tecnologías de la Información y las Comunicaciones (TIC)</t>
        </is>
      </c>
      <c r="F140" t="inlineStr">
        <is>
          <t>2302024</t>
        </is>
      </c>
      <c r="G140" t="inlineStr">
        <is>
          <t>Servicio de asistencia técnica para la implementación de la Estrategia de Gobierno digital</t>
        </is>
      </c>
      <c r="H140" t="inlineStr">
        <is>
          <t>230202403</t>
        </is>
      </c>
      <c r="I140" t="inlineStr">
        <is>
          <t>Servicios del Estado altamente demandados por la sociedad disponibles en línea</t>
        </is>
      </c>
      <c r="J140" t="inlineStr">
        <is>
          <t>2024257850036</t>
        </is>
      </c>
      <c r="K140" t="inlineStr">
        <is>
          <t>Si</t>
        </is>
      </c>
      <c r="L140" t="inlineStr">
        <is>
          <t>Número</t>
        </is>
      </c>
      <c r="M140">
        <v>4</v>
      </c>
      <c r="N140">
        <v>1</v>
      </c>
      <c r="O140">
        <v>1</v>
      </c>
      <c r="P140">
        <v>1</v>
      </c>
      <c r="Q140">
        <v>1</v>
      </c>
      <c r="R140" t="inlineStr">
        <is>
          <t xml:space="preserve"> </t>
        </is>
      </c>
      <c r="S140" s="103" t="inlineStr">
        <is>
          <t xml:space="preserve"> </t>
        </is>
      </c>
      <c r="T140" t="inlineStr">
        <is>
          <t>No se encontró ejecución en PIIP</t>
        </is>
      </c>
      <c r="U140" t="inlineStr">
        <is>
          <t xml:space="preserve"> </t>
        </is>
      </c>
      <c r="V140" s="104" t="inlineStr">
        <is>
          <t xml:space="preserve"> </t>
        </is>
      </c>
      <c r="W140" t="inlineStr">
        <is>
          <t>No se encontró ejecución en PIIP</t>
        </is>
      </c>
    </row>
    <row r="141">
      <c r="A141" t="inlineStr">
        <is>
          <t>IP-139</t>
        </is>
      </c>
      <c r="B141" t="inlineStr">
        <is>
          <t>35</t>
        </is>
      </c>
      <c r="C141" t="inlineStr">
        <is>
          <t>Comercio, industria y turismo</t>
        </is>
      </c>
      <c r="D141" t="inlineStr">
        <is>
          <t>3502</t>
        </is>
      </c>
      <c r="E141" t="inlineStr">
        <is>
          <t>Productividad y competitividad de las empresas colombianas</t>
        </is>
      </c>
      <c r="F141" t="inlineStr">
        <is>
          <t>3502012</t>
        </is>
      </c>
      <c r="G141" t="inlineStr">
        <is>
          <t>Servicio de apoyo para la modernización y fomento de la innovación empresarial</t>
        </is>
      </c>
      <c r="H141" t="inlineStr">
        <is>
          <t>350201202</t>
        </is>
      </c>
      <c r="I141" t="inlineStr">
        <is>
          <t>Proyectos  para la modernización en las Mipymes cofinanciados</t>
        </is>
      </c>
      <c r="J141" t="inlineStr">
        <is>
          <t>2024257850039</t>
        </is>
      </c>
      <c r="K141" t="inlineStr">
        <is>
          <t>Si</t>
        </is>
      </c>
      <c r="L141" t="inlineStr">
        <is>
          <t>Número</t>
        </is>
      </c>
      <c r="M141">
        <v>40</v>
      </c>
      <c r="N141">
        <v>10</v>
      </c>
      <c r="O141">
        <v>10</v>
      </c>
      <c r="P141">
        <v>10</v>
      </c>
      <c r="Q141">
        <v>10</v>
      </c>
      <c r="R141" t="inlineStr">
        <is>
          <t xml:space="preserve"> </t>
        </is>
      </c>
      <c r="S141" s="103" t="inlineStr">
        <is>
          <t xml:space="preserve"> </t>
        </is>
      </c>
      <c r="T141" t="inlineStr">
        <is>
          <t>No se encontró ejecución en PIIP</t>
        </is>
      </c>
      <c r="U141" t="inlineStr">
        <is>
          <t xml:space="preserve"> </t>
        </is>
      </c>
      <c r="V141" s="104" t="inlineStr">
        <is>
          <t xml:space="preserve"> </t>
        </is>
      </c>
      <c r="W141" t="inlineStr">
        <is>
          <t>No se encontró ejecución en PIIP</t>
        </is>
      </c>
    </row>
    <row r="142">
      <c r="A142" t="inlineStr">
        <is>
          <t>IP-140</t>
        </is>
      </c>
      <c r="B142" t="inlineStr">
        <is>
          <t>35</t>
        </is>
      </c>
      <c r="C142" t="inlineStr">
        <is>
          <t>Comercio, industria y turismo</t>
        </is>
      </c>
      <c r="D142" t="inlineStr">
        <is>
          <t>3502</t>
        </is>
      </c>
      <c r="E142" t="inlineStr">
        <is>
          <t>Productividad y competitividad de las empresas colombianas</t>
        </is>
      </c>
      <c r="F142" t="inlineStr">
        <is>
          <t>3502012</t>
        </is>
      </c>
      <c r="G142" t="inlineStr">
        <is>
          <t>Servicio de apoyo para la modernización y fomento de la innovación empresarial</t>
        </is>
      </c>
      <c r="H142" t="inlineStr">
        <is>
          <t>350201204</t>
        </is>
      </c>
      <c r="I142" t="inlineStr">
        <is>
          <t xml:space="preserve">Eventos realizados que fomenten una mentalidad y cultura innovadora </t>
        </is>
      </c>
      <c r="J142" t="inlineStr">
        <is>
          <t>2024257850039</t>
        </is>
      </c>
      <c r="K142" t="inlineStr">
        <is>
          <t>Si</t>
        </is>
      </c>
      <c r="L142" t="inlineStr">
        <is>
          <t>Número</t>
        </is>
      </c>
      <c r="M142">
        <v>4</v>
      </c>
      <c r="N142">
        <v>1</v>
      </c>
      <c r="O142">
        <v>1</v>
      </c>
      <c r="P142">
        <v>1</v>
      </c>
      <c r="Q142">
        <v>1</v>
      </c>
      <c r="R142" t="inlineStr">
        <is>
          <t xml:space="preserve"> </t>
        </is>
      </c>
      <c r="S142" s="103" t="inlineStr">
        <is>
          <t xml:space="preserve"> </t>
        </is>
      </c>
      <c r="T142" t="inlineStr">
        <is>
          <t>No se encontró ejecución en PIIP</t>
        </is>
      </c>
      <c r="U142" t="inlineStr">
        <is>
          <t xml:space="preserve"> </t>
        </is>
      </c>
      <c r="V142" s="104" t="inlineStr">
        <is>
          <t xml:space="preserve"> </t>
        </is>
      </c>
      <c r="W142" t="inlineStr">
        <is>
          <t>No se encontró ejecución en PIIP</t>
        </is>
      </c>
    </row>
    <row r="143">
      <c r="A143" t="inlineStr">
        <is>
          <t>IP-141</t>
        </is>
      </c>
      <c r="B143" t="inlineStr">
        <is>
          <t>35</t>
        </is>
      </c>
      <c r="C143" t="inlineStr">
        <is>
          <t>Comercio, industria y turismo</t>
        </is>
      </c>
      <c r="D143" t="inlineStr">
        <is>
          <t>3502</t>
        </is>
      </c>
      <c r="E143" t="inlineStr">
        <is>
          <t>Productividad y competitividad de las empresas colombianas</t>
        </is>
      </c>
      <c r="F143" t="inlineStr">
        <is>
          <t>3502003</t>
        </is>
      </c>
      <c r="G143" t="inlineStr">
        <is>
          <t>Servicio de asistencia técnica para el fortalecimiento de capacidades gerenciales</t>
        </is>
      </c>
      <c r="H143" t="inlineStr">
        <is>
          <t>350200303</t>
        </is>
      </c>
      <c r="I143" t="inlineStr">
        <is>
          <t>Empresas beneficiarias de programas de fortalecimiento empresarial</t>
        </is>
      </c>
      <c r="J143" t="inlineStr">
        <is>
          <t>2024257850039</t>
        </is>
      </c>
      <c r="K143" t="inlineStr">
        <is>
          <t>Si</t>
        </is>
      </c>
      <c r="L143" t="inlineStr">
        <is>
          <t>Número</t>
        </is>
      </c>
      <c r="M143">
        <v>60</v>
      </c>
      <c r="N143">
        <v>15</v>
      </c>
      <c r="O143">
        <v>15</v>
      </c>
      <c r="P143">
        <v>15</v>
      </c>
      <c r="Q143">
        <v>15</v>
      </c>
      <c r="R143" t="inlineStr">
        <is>
          <t xml:space="preserve"> </t>
        </is>
      </c>
      <c r="S143" s="103" t="inlineStr">
        <is>
          <t xml:space="preserve"> </t>
        </is>
      </c>
      <c r="T143" t="inlineStr">
        <is>
          <t>No se encontró ejecución en PIIP</t>
        </is>
      </c>
      <c r="U143" t="inlineStr">
        <is>
          <t xml:space="preserve"> </t>
        </is>
      </c>
      <c r="V143" s="104" t="inlineStr">
        <is>
          <t xml:space="preserve"> </t>
        </is>
      </c>
      <c r="W143" t="inlineStr">
        <is>
          <t>No se encontró ejecución en PIIP</t>
        </is>
      </c>
    </row>
    <row r="144">
      <c r="A144" t="inlineStr">
        <is>
          <t>IP-142</t>
        </is>
      </c>
      <c r="B144" t="inlineStr">
        <is>
          <t>36</t>
        </is>
      </c>
      <c r="C144" t="inlineStr">
        <is>
          <t>Trabajo</t>
        </is>
      </c>
      <c r="D144" t="inlineStr">
        <is>
          <t>3602</t>
        </is>
      </c>
      <c r="E144" t="inlineStr">
        <is>
          <t>Generación y formalización del empleo</t>
        </is>
      </c>
      <c r="F144" t="inlineStr">
        <is>
          <t>3602029</t>
        </is>
      </c>
      <c r="G144" t="inlineStr">
        <is>
          <t>Servicio de asistencia técnica para la generación y formalización del empleo</t>
        </is>
      </c>
      <c r="H144" t="inlineStr">
        <is>
          <t>360202900</t>
        </is>
      </c>
      <c r="I144" t="inlineStr">
        <is>
          <t>Personas asistidas técnicamente</t>
        </is>
      </c>
      <c r="J144" t="inlineStr">
        <is>
          <t/>
        </is>
      </c>
      <c r="K144" t="inlineStr">
        <is>
          <t>Si</t>
        </is>
      </c>
      <c r="L144" t="inlineStr">
        <is>
          <t>Número</t>
        </is>
      </c>
      <c r="M144">
        <v>1000</v>
      </c>
      <c r="N144">
        <v>250</v>
      </c>
      <c r="O144">
        <v>250</v>
      </c>
      <c r="P144">
        <v>250</v>
      </c>
      <c r="Q144">
        <v>250</v>
      </c>
      <c r="R144" t="inlineStr">
        <is>
          <t xml:space="preserve"> </t>
        </is>
      </c>
      <c r="S144" s="103" t="inlineStr">
        <is>
          <t xml:space="preserve"> </t>
        </is>
      </c>
      <c r="T144" t="inlineStr">
        <is>
          <t>Por falta de código BPIN, no se encontró ejecución en PIIP</t>
        </is>
      </c>
      <c r="U144" t="inlineStr">
        <is>
          <t xml:space="preserve"> </t>
        </is>
      </c>
      <c r="V144" s="104" t="inlineStr">
        <is>
          <t xml:space="preserve"> </t>
        </is>
      </c>
      <c r="W144" t="inlineStr">
        <is>
          <t>Por falta de código BPIN, no se encontró ejecución en PIIP</t>
        </is>
      </c>
    </row>
    <row r="145">
      <c r="A145" t="inlineStr">
        <is>
          <t>IP-143</t>
        </is>
      </c>
      <c r="B145" t="inlineStr">
        <is>
          <t>35</t>
        </is>
      </c>
      <c r="C145" t="inlineStr">
        <is>
          <t>Comercio, industria y turismo</t>
        </is>
      </c>
      <c r="D145" t="inlineStr">
        <is>
          <t>3502</t>
        </is>
      </c>
      <c r="E145" t="inlineStr">
        <is>
          <t>Productividad y competitividad de las empresas colombianas</t>
        </is>
      </c>
      <c r="F145" t="inlineStr">
        <is>
          <t>3502059</t>
        </is>
      </c>
      <c r="G145" t="inlineStr">
        <is>
          <t>Señalización turística construida</t>
        </is>
      </c>
      <c r="H145" t="inlineStr">
        <is>
          <t>350205900</t>
        </is>
      </c>
      <c r="I145" t="inlineStr">
        <is>
          <t>Señalización realizada</t>
        </is>
      </c>
      <c r="J145" t="inlineStr">
        <is>
          <t>2024257850039</t>
        </is>
      </c>
      <c r="K145" t="inlineStr">
        <is>
          <t>No</t>
        </is>
      </c>
      <c r="L145" t="inlineStr">
        <is>
          <t>Número</t>
        </is>
      </c>
      <c r="M145">
        <v>1</v>
      </c>
      <c r="N145">
        <v>0</v>
      </c>
      <c r="O145">
        <v>0</v>
      </c>
      <c r="P145">
        <v>1</v>
      </c>
      <c r="Q145">
        <v>0</v>
      </c>
      <c r="R145" t="inlineStr">
        <is>
          <t xml:space="preserve"> </t>
        </is>
      </c>
      <c r="S145" s="103" t="inlineStr">
        <is>
          <t xml:space="preserve"> </t>
        </is>
      </c>
      <c r="T145" t="inlineStr">
        <is>
          <t>No se encontró ejecución en PIIP</t>
        </is>
      </c>
      <c r="U145" t="inlineStr">
        <is>
          <t xml:space="preserve"> </t>
        </is>
      </c>
      <c r="V145" s="104" t="inlineStr">
        <is>
          <t xml:space="preserve"> </t>
        </is>
      </c>
      <c r="W145" t="inlineStr">
        <is>
          <t>No se encontró ejecución en PIIP</t>
        </is>
      </c>
    </row>
    <row r="146">
      <c r="A146" t="inlineStr">
        <is>
          <t>IP-144</t>
        </is>
      </c>
      <c r="B146" t="inlineStr">
        <is>
          <t>35</t>
        </is>
      </c>
      <c r="C146" t="inlineStr">
        <is>
          <t>Comercio, industria y turismo</t>
        </is>
      </c>
      <c r="D146" t="inlineStr">
        <is>
          <t>3502</t>
        </is>
      </c>
      <c r="E146" t="inlineStr">
        <is>
          <t>Productividad y competitividad de las empresas colombianas</t>
        </is>
      </c>
      <c r="F146" t="inlineStr">
        <is>
          <t>3502055</t>
        </is>
      </c>
      <c r="G146" t="inlineStr">
        <is>
          <t>Centro turístico mantenido</t>
        </is>
      </c>
      <c r="H146" t="inlineStr">
        <is>
          <t>350205500</t>
        </is>
      </c>
      <c r="I146" t="inlineStr">
        <is>
          <t>Centro turístico mantenido</t>
        </is>
      </c>
      <c r="J146" t="inlineStr">
        <is>
          <t>2024257850039</t>
        </is>
      </c>
      <c r="K146" t="inlineStr">
        <is>
          <t>No</t>
        </is>
      </c>
      <c r="L146" t="inlineStr">
        <is>
          <t>Número</t>
        </is>
      </c>
      <c r="M146">
        <v>3</v>
      </c>
      <c r="N146">
        <v>3</v>
      </c>
      <c r="O146">
        <v>3</v>
      </c>
      <c r="P146">
        <v>3</v>
      </c>
      <c r="Q146">
        <v>3</v>
      </c>
      <c r="R146" t="inlineStr">
        <is>
          <t xml:space="preserve"> </t>
        </is>
      </c>
      <c r="S146" s="103" t="inlineStr">
        <is>
          <t xml:space="preserve"> </t>
        </is>
      </c>
      <c r="T146" t="inlineStr">
        <is>
          <t>No se encontró ejecución en PIIP</t>
        </is>
      </c>
      <c r="U146" t="inlineStr">
        <is>
          <t xml:space="preserve"> </t>
        </is>
      </c>
      <c r="V146" s="104" t="inlineStr">
        <is>
          <t xml:space="preserve"> </t>
        </is>
      </c>
      <c r="W146" t="inlineStr">
        <is>
          <t>No se encontró ejecución en PIIP</t>
        </is>
      </c>
    </row>
    <row r="147">
      <c r="A147" t="inlineStr">
        <is>
          <t>IP-145</t>
        </is>
      </c>
      <c r="B147" t="inlineStr">
        <is>
          <t>35</t>
        </is>
      </c>
      <c r="C147" t="inlineStr">
        <is>
          <t>Comercio, industria y turismo</t>
        </is>
      </c>
      <c r="D147" t="inlineStr">
        <is>
          <t>3502</t>
        </is>
      </c>
      <c r="E147" t="inlineStr">
        <is>
          <t>Productividad y competitividad de las empresas colombianas</t>
        </is>
      </c>
      <c r="F147" t="inlineStr">
        <is>
          <t>3502004</t>
        </is>
      </c>
      <c r="G147" t="inlineStr">
        <is>
          <t>Servicio de apoyo financiero para el mejoramiento de productos o procesos</t>
        </is>
      </c>
      <c r="H147" t="inlineStr">
        <is>
          <t>350200405</t>
        </is>
      </c>
      <c r="I147" t="inlineStr">
        <is>
          <t>Empresas beneficiadas con apoyo financiero para el mejoramiento de producto</t>
        </is>
      </c>
      <c r="J147" t="inlineStr">
        <is>
          <t>2024257850039</t>
        </is>
      </c>
      <c r="K147" t="inlineStr">
        <is>
          <t>No</t>
        </is>
      </c>
      <c r="L147" t="inlineStr">
        <is>
          <t>Número</t>
        </is>
      </c>
      <c r="M147">
        <v>1</v>
      </c>
      <c r="N147">
        <v>1</v>
      </c>
      <c r="O147">
        <v>1</v>
      </c>
      <c r="P147">
        <v>1</v>
      </c>
      <c r="Q147">
        <v>1</v>
      </c>
      <c r="R147" t="inlineStr">
        <is>
          <t xml:space="preserve"> </t>
        </is>
      </c>
      <c r="S147" s="103" t="inlineStr">
        <is>
          <t xml:space="preserve"> </t>
        </is>
      </c>
      <c r="T147" t="inlineStr">
        <is>
          <t>No se encontró ejecución en PIIP</t>
        </is>
      </c>
      <c r="U147" t="inlineStr">
        <is>
          <t xml:space="preserve"> </t>
        </is>
      </c>
      <c r="V147" s="104" t="inlineStr">
        <is>
          <t xml:space="preserve"> </t>
        </is>
      </c>
      <c r="W147" t="inlineStr">
        <is>
          <t>No se encontró ejecución en PIIP</t>
        </is>
      </c>
    </row>
    <row r="148">
      <c r="A148" t="inlineStr">
        <is>
          <t>IP-146</t>
        </is>
      </c>
      <c r="B148" t="inlineStr">
        <is>
          <t>35</t>
        </is>
      </c>
      <c r="C148" t="inlineStr">
        <is>
          <t>Comercio, industria y turismo</t>
        </is>
      </c>
      <c r="D148" t="inlineStr">
        <is>
          <t>3502</t>
        </is>
      </c>
      <c r="E148" t="inlineStr">
        <is>
          <t>Productividad y competitividad de las empresas colombianas</t>
        </is>
      </c>
      <c r="F148" t="inlineStr">
        <is>
          <t>3502046</t>
        </is>
      </c>
      <c r="G148" t="inlineStr">
        <is>
          <t>Servicio de promoción turística</t>
        </is>
      </c>
      <c r="H148" t="inlineStr">
        <is>
          <t>350204602</t>
        </is>
      </c>
      <c r="I148" t="inlineStr">
        <is>
          <t>Eventos de promoción realizados</t>
        </is>
      </c>
      <c r="J148" t="inlineStr">
        <is>
          <t>2024257850039</t>
        </is>
      </c>
      <c r="K148" t="inlineStr">
        <is>
          <t>Si</t>
        </is>
      </c>
      <c r="L148" t="inlineStr">
        <is>
          <t>Número</t>
        </is>
      </c>
      <c r="M148">
        <v>20</v>
      </c>
      <c r="N148">
        <v>5</v>
      </c>
      <c r="O148">
        <v>5</v>
      </c>
      <c r="P148">
        <v>5</v>
      </c>
      <c r="Q148">
        <v>5</v>
      </c>
      <c r="R148" t="inlineStr">
        <is>
          <t xml:space="preserve"> </t>
        </is>
      </c>
      <c r="S148" s="103" t="inlineStr">
        <is>
          <t xml:space="preserve"> </t>
        </is>
      </c>
      <c r="T148" t="inlineStr">
        <is>
          <t>No se encontró ejecución en PIIP</t>
        </is>
      </c>
      <c r="U148" t="inlineStr">
        <is>
          <t xml:space="preserve"> </t>
        </is>
      </c>
      <c r="V148" s="104" t="inlineStr">
        <is>
          <t xml:space="preserve"> </t>
        </is>
      </c>
      <c r="W148" t="inlineStr">
        <is>
          <t>No se encontró ejecución en PIIP</t>
        </is>
      </c>
    </row>
    <row r="149">
      <c r="A149" t="inlineStr">
        <is>
          <t>IP-147</t>
        </is>
      </c>
      <c r="B149" t="inlineStr">
        <is>
          <t>35</t>
        </is>
      </c>
      <c r="C149" t="inlineStr">
        <is>
          <t>Comercio, industria y turismo</t>
        </is>
      </c>
      <c r="D149" t="inlineStr">
        <is>
          <t>3502</t>
        </is>
      </c>
      <c r="E149" t="inlineStr">
        <is>
          <t>Productividad y competitividad de las empresas colombianas</t>
        </is>
      </c>
      <c r="F149" t="inlineStr">
        <is>
          <t>3502046</t>
        </is>
      </c>
      <c r="G149" t="inlineStr">
        <is>
          <t>Servicio de promoción turística</t>
        </is>
      </c>
      <c r="H149" t="inlineStr">
        <is>
          <t>350204600</t>
        </is>
      </c>
      <c r="I149" t="inlineStr">
        <is>
          <t>Campañas realizadas</t>
        </is>
      </c>
      <c r="J149" t="inlineStr">
        <is>
          <t>2024257850039</t>
        </is>
      </c>
      <c r="K149" t="inlineStr">
        <is>
          <t>Si</t>
        </is>
      </c>
      <c r="L149" t="inlineStr">
        <is>
          <t>Número</t>
        </is>
      </c>
      <c r="M149">
        <v>4</v>
      </c>
      <c r="N149">
        <v>1</v>
      </c>
      <c r="O149">
        <v>1</v>
      </c>
      <c r="P149">
        <v>1</v>
      </c>
      <c r="Q149">
        <v>1</v>
      </c>
      <c r="R149" t="inlineStr">
        <is>
          <t xml:space="preserve"> </t>
        </is>
      </c>
      <c r="S149" s="103" t="inlineStr">
        <is>
          <t xml:space="preserve"> </t>
        </is>
      </c>
      <c r="T149" t="inlineStr">
        <is>
          <t>No se encontró ejecución en PIIP</t>
        </is>
      </c>
      <c r="U149" t="inlineStr">
        <is>
          <t xml:space="preserve"> </t>
        </is>
      </c>
      <c r="V149" s="104" t="inlineStr">
        <is>
          <t xml:space="preserve"> </t>
        </is>
      </c>
      <c r="W149" t="inlineStr">
        <is>
          <t>No se encontró ejecución en PIIP</t>
        </is>
      </c>
    </row>
    <row r="150">
      <c r="A150" t="inlineStr">
        <is>
          <t>IP-148</t>
        </is>
      </c>
      <c r="B150" t="inlineStr">
        <is>
          <t>35</t>
        </is>
      </c>
      <c r="C150" t="inlineStr">
        <is>
          <t>Comercio, industria y turismo</t>
        </is>
      </c>
      <c r="D150" t="inlineStr">
        <is>
          <t>3502</t>
        </is>
      </c>
      <c r="E150" t="inlineStr">
        <is>
          <t>Productividad y competitividad de las empresas colombianas</t>
        </is>
      </c>
      <c r="F150" t="inlineStr">
        <is>
          <t>3502047</t>
        </is>
      </c>
      <c r="G150" t="inlineStr">
        <is>
          <t>Documentos de planeación</t>
        </is>
      </c>
      <c r="H150" t="inlineStr">
        <is>
          <t>350204700</t>
        </is>
      </c>
      <c r="I150" t="inlineStr">
        <is>
          <t>Documentos de planeación elaborados</t>
        </is>
      </c>
      <c r="J150" t="inlineStr">
        <is>
          <t>2024257850039, 202500000045229</t>
        </is>
      </c>
      <c r="K150" t="inlineStr">
        <is>
          <t>No</t>
        </is>
      </c>
      <c r="L150" t="inlineStr">
        <is>
          <t>Número</t>
        </is>
      </c>
      <c r="M150">
        <v>1</v>
      </c>
      <c r="N150">
        <v>0</v>
      </c>
      <c r="O150">
        <v>0</v>
      </c>
      <c r="P150">
        <v>1</v>
      </c>
      <c r="Q150">
        <v>0</v>
      </c>
      <c r="R150" t="inlineStr">
        <is>
          <t xml:space="preserve"> </t>
        </is>
      </c>
      <c r="S150" s="103" t="inlineStr">
        <is>
          <t xml:space="preserve"> </t>
        </is>
      </c>
      <c r="T150" t="inlineStr">
        <is>
          <t>No se encontró ejecución en PIIP</t>
        </is>
      </c>
      <c r="U150" t="inlineStr">
        <is>
          <t xml:space="preserve"> </t>
        </is>
      </c>
      <c r="V150" s="104" t="inlineStr">
        <is>
          <t xml:space="preserve"> </t>
        </is>
      </c>
      <c r="W150" t="inlineStr">
        <is>
          <t>No se encontró ejecución en PIIP</t>
        </is>
      </c>
    </row>
    <row r="151">
      <c r="A151" t="inlineStr">
        <is>
          <t>IP-149, IP-150</t>
        </is>
      </c>
      <c r="B151" t="inlineStr">
        <is>
          <t>39</t>
        </is>
      </c>
      <c r="C151" t="inlineStr">
        <is>
          <t xml:space="preserve">Ciencia, tecnología e innovación
</t>
        </is>
      </c>
      <c r="D151" t="inlineStr">
        <is>
          <t>3906</t>
        </is>
      </c>
      <c r="E151" t="inlineStr">
        <is>
          <t>Fomento a vocaciones y formación, generación, uso y apropiación social del conocimiento de la ciencia, tecnología e innovación</t>
        </is>
      </c>
      <c r="F151" t="inlineStr">
        <is>
          <t>3906010</t>
        </is>
      </c>
      <c r="G151" t="inlineStr">
        <is>
          <t>Servicios de apoyo financiero para programas y proyectos de apropiación social del conocimiento</t>
        </is>
      </c>
      <c r="H151" t="inlineStr">
        <is>
          <t>390601000</t>
        </is>
      </c>
      <c r="I151" t="inlineStr">
        <is>
          <t>Programas y proyectos financiados</t>
        </is>
      </c>
      <c r="J151" t="inlineStr">
        <is>
          <t>2024257850038</t>
        </is>
      </c>
      <c r="K151" t="inlineStr">
        <is>
          <t>No</t>
        </is>
      </c>
      <c r="L151" t="inlineStr">
        <is>
          <t>Número</t>
        </is>
      </c>
      <c r="M151">
        <v>3</v>
      </c>
      <c r="N151">
        <v>3</v>
      </c>
      <c r="O151">
        <v>3</v>
      </c>
      <c r="P151">
        <v>3</v>
      </c>
      <c r="Q151">
        <v>3</v>
      </c>
      <c r="R151">
        <v>1</v>
      </c>
      <c r="S151" s="103">
        <v>0.333333333333333</v>
      </c>
      <c r="T151" t="inlineStr">
        <is>
          <t>Lo ejecutado está por debajo de lo programado en la vigencia</t>
        </is>
      </c>
      <c r="U151">
        <v>0</v>
      </c>
      <c r="V151" s="104">
        <v>0</v>
      </c>
      <c r="W151" t="inlineStr">
        <is>
          <t>No se ejecutó en la vigencia</t>
        </is>
      </c>
    </row>
    <row r="152">
      <c r="A152" t="inlineStr">
        <is>
          <t>IP-151</t>
        </is>
      </c>
      <c r="B152" t="inlineStr">
        <is>
          <t>17</t>
        </is>
      </c>
      <c r="C152" t="inlineStr">
        <is>
          <t xml:space="preserve">Agricultura y desarrollo rural
</t>
        </is>
      </c>
      <c r="D152" t="inlineStr">
        <is>
          <t>1702</t>
        </is>
      </c>
      <c r="E152" t="inlineStr">
        <is>
          <t>Inclusión productiva de pequeños productores rurales</t>
        </is>
      </c>
      <c r="F152" t="inlineStr">
        <is>
          <t>1702011</t>
        </is>
      </c>
      <c r="G152" t="inlineStr">
        <is>
          <t>Servicio de asesoría para el fortalecimiento de la asociatividad</t>
        </is>
      </c>
      <c r="H152" t="inlineStr">
        <is>
          <t>170201100</t>
        </is>
      </c>
      <c r="I152" t="inlineStr">
        <is>
          <t>Asociaciones fortalecidas</t>
        </is>
      </c>
      <c r="J152" t="inlineStr">
        <is>
          <t>2024257850025</t>
        </is>
      </c>
      <c r="K152" t="inlineStr">
        <is>
          <t>Si</t>
        </is>
      </c>
      <c r="L152" t="inlineStr">
        <is>
          <t>Número</t>
        </is>
      </c>
      <c r="M152">
        <v>3</v>
      </c>
      <c r="N152">
        <v>0</v>
      </c>
      <c r="O152">
        <v>1</v>
      </c>
      <c r="P152">
        <v>1</v>
      </c>
      <c r="Q152">
        <v>1</v>
      </c>
      <c r="R152" t="inlineStr">
        <is>
          <t xml:space="preserve"> </t>
        </is>
      </c>
      <c r="S152" s="103" t="inlineStr">
        <is>
          <t xml:space="preserve"> </t>
        </is>
      </c>
      <c r="T152" t="inlineStr">
        <is>
          <t>No se encontró ejecución en PIIP</t>
        </is>
      </c>
      <c r="U152" t="inlineStr">
        <is>
          <t xml:space="preserve"> </t>
        </is>
      </c>
      <c r="V152" s="104" t="inlineStr">
        <is>
          <t xml:space="preserve"> </t>
        </is>
      </c>
      <c r="W152" t="inlineStr">
        <is>
          <t>No se encontró ejecución en PIIP</t>
        </is>
      </c>
    </row>
    <row r="153">
      <c r="A153" t="inlineStr">
        <is>
          <t>IP-152</t>
        </is>
      </c>
      <c r="B153" t="inlineStr">
        <is>
          <t>45</t>
        </is>
      </c>
      <c r="C153" t="inlineStr">
        <is>
          <t>Gobierno Territorial</t>
        </is>
      </c>
      <c r="D153" t="inlineStr">
        <is>
          <t>4503</t>
        </is>
      </c>
      <c r="E153" t="inlineStr">
        <is>
          <t>Gestión del riesgo de desastres y emergencias</t>
        </is>
      </c>
      <c r="F153" t="inlineStr">
        <is>
          <t>4503002</t>
        </is>
      </c>
      <c r="G153" t="inlineStr">
        <is>
          <t>Servicio de educación informal</t>
        </is>
      </c>
      <c r="H153" t="inlineStr">
        <is>
          <t>450300201</t>
        </is>
      </c>
      <c r="I153" t="inlineStr">
        <is>
          <t>Campañas de educación para la prevención y atención de desastres desarrolladas</t>
        </is>
      </c>
      <c r="J153" t="inlineStr">
        <is>
          <t>2024257850035</t>
        </is>
      </c>
      <c r="K153" t="inlineStr">
        <is>
          <t>Si</t>
        </is>
      </c>
      <c r="L153" t="inlineStr">
        <is>
          <t>Número</t>
        </is>
      </c>
      <c r="M153">
        <v>8</v>
      </c>
      <c r="N153">
        <v>2</v>
      </c>
      <c r="O153">
        <v>2</v>
      </c>
      <c r="P153">
        <v>2</v>
      </c>
      <c r="Q153">
        <v>2</v>
      </c>
      <c r="R153" t="inlineStr">
        <is>
          <t xml:space="preserve"> </t>
        </is>
      </c>
      <c r="S153" s="103" t="inlineStr">
        <is>
          <t xml:space="preserve"> </t>
        </is>
      </c>
      <c r="T153" t="inlineStr">
        <is>
          <t>No se encontró ejecución en PIIP</t>
        </is>
      </c>
      <c r="U153" t="inlineStr">
        <is>
          <t xml:space="preserve"> </t>
        </is>
      </c>
      <c r="V153" s="104" t="inlineStr">
        <is>
          <t xml:space="preserve"> </t>
        </is>
      </c>
      <c r="W153" t="inlineStr">
        <is>
          <t>No se encontró ejecución en PIIP</t>
        </is>
      </c>
    </row>
    <row r="154">
      <c r="S154" s="103"/>
      <c r="V154"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German Andres Gallegos Vargas</cp:lastModifiedBy>
  <dcterms:created xsi:type="dcterms:W3CDTF">2025-07-07T13:41:15Z</dcterms:created>
  <dcterms:modified xsi:type="dcterms:W3CDTF">2025-11-20T23:01:40Z</dcterms:modified>
</cp:coreProperties>
</file>