
<file path=[Content_Types].xml><?xml version="1.0" encoding="utf-8"?>
<Types xmlns="http://schemas.openxmlformats.org/package/2006/content-types">
  <Default Extension="png" ContentType="image/png"/>
  <Default Extension="svg" ContentType="image/sv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charts/chart2.xml" ContentType="application/vnd.openxmlformats-officedocument.drawingml.chart+xml"/>
  <Override PartName="/xl/charts/colors2.xml" ContentType="application/vnd.ms-office.chartcolorstyle+xml"/>
  <Override PartName="/xl/charts/style2.xml" ContentType="application/vnd.ms-office.chartstyle+xml"/>
  <Override PartName="/xl/charts/chart3.xml" ContentType="application/vnd.openxmlformats-officedocument.drawingml.chart+xml"/>
  <Override PartName="/xl/charts/colors3.xml" ContentType="application/vnd.ms-office.chartcolorstyle+xml"/>
  <Override PartName="/xl/charts/style3.xml" ContentType="application/vnd.ms-office.chartstyle+xml"/>
  <Override PartName="/xl/charts/chart4.xml" ContentType="application/vnd.openxmlformats-officedocument.drawingml.chart+xml"/>
  <Override PartName="/xl/charts/colors4.xml" ContentType="application/vnd.ms-office.chartcolorstyle+xml"/>
  <Override PartName="/xl/charts/style4.xml" ContentType="application/vnd.ms-office.chartstyle+xml"/>
  <Override PartName="/xl/charts/chart5.xml" ContentType="application/vnd.openxmlformats-officedocument.drawingml.chart+xml"/>
  <Override PartName="/xl/charts/colors5.xml" ContentType="application/vnd.ms-office.chartcolorstyle+xml"/>
  <Override PartName="/xl/charts/style5.xml" ContentType="application/vnd.ms-office.chartstyle+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planeacionnacional-my.sharepoint.com/personal/gegallegos_dnp_gov_co/Documents/"/>
    </mc:Choice>
  </mc:AlternateContent>
  <xr:revisionPtr revIDLastSave="2545" documentId="8_{3E500AA4-C9A2-4767-9875-2B272A2641EF}" xr6:coauthVersionLast="47" xr6:coauthVersionMax="47" xr10:uidLastSave="{A7CE8F52-050E-4401-930F-797FAE297FD3}"/>
  <bookViews>
    <workbookView xWindow="-120" yWindow="-120" windowWidth="20730" windowHeight="11040" tabRatio="761" xr2:uid="{1F7B78CE-1503-42E0-8A42-FC800A1FFC3D}"/>
  </bookViews>
  <sheets>
    <sheet name="Resumen" sheetId="1" state="visible" r:id="rId1"/>
    <sheet name="Detalle seguimiento financiero" sheetId="11" state="visible" r:id="rId2"/>
    <sheet name="Detalle seguimiento físico" sheetId="3" state="visible" r:id="rId3"/>
  </sheets>
  <definedNames>
    <definedName name="nombreslineasest">Resumen!$P$7:INDEX(Resumen!$P$7:$P$75,COUNT(Resumen!$P$7:$P$75))</definedName>
    <definedName name="valoreslineasest">Resumen!$V$7:INDEX(Resumen!$V$7:$V$75,COUNT(Resumen!$V$7:$V$75))</definedName>
  </definedNam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<sst xmlns="http://schemas.openxmlformats.org/spreadsheetml/2006/main" count="135" uniqueCount="135">
  <si>
    <t>Recursos propios</t>
  </si>
  <si>
    <t>Otros</t>
  </si>
  <si>
    <t>SGP APSB</t>
  </si>
  <si>
    <t>Crédito</t>
  </si>
  <si>
    <t>En el módulo de Presupuesto Ordinario del SisPT, la entidad territorial presenta la siguiente programación financiera de su Plan Indicativo:</t>
  </si>
  <si>
    <t xml:space="preserve">Seleccione una vigencia: </t>
  </si>
  <si>
    <t>Total Cuatrienio</t>
  </si>
  <si>
    <t>Ambiente y desarrollo sostenible</t>
  </si>
  <si>
    <t>Comercio, industria y turismo</t>
  </si>
  <si>
    <t>Cultura</t>
  </si>
  <si>
    <t>Educación</t>
  </si>
  <si>
    <t xml:space="preserve">Inclusión social y reconciliación </t>
  </si>
  <si>
    <t>Justicia y del derecho</t>
  </si>
  <si>
    <t>Salud y protección social</t>
  </si>
  <si>
    <t>Tecnologías de la información y las comunicaciones</t>
  </si>
  <si>
    <t>Trabajo</t>
  </si>
  <si>
    <t>Transporte</t>
  </si>
  <si>
    <t>Vivienda, ciudad y territorio</t>
  </si>
  <si>
    <t>SGP educación</t>
  </si>
  <si>
    <t>SGP salud</t>
  </si>
  <si>
    <t>SGP deporte</t>
  </si>
  <si>
    <t>SGP cultura</t>
  </si>
  <si>
    <t>SGP libre inversión</t>
  </si>
  <si>
    <t>SGP libre destinación</t>
  </si>
  <si>
    <t>SGP alimentación escolar</t>
  </si>
  <si>
    <t>SGP municipios Rio Magdalena</t>
  </si>
  <si>
    <t>Transf. capital - Cof. departamento</t>
  </si>
  <si>
    <t>Transf. capital - Cof. Nación</t>
  </si>
  <si>
    <t>1. Fin de la pobreza</t>
  </si>
  <si>
    <t>2. Hambre cero</t>
  </si>
  <si>
    <t>3. Salud y bienestar</t>
  </si>
  <si>
    <t>4. Educación de calidad</t>
  </si>
  <si>
    <t>5. Igualdad de género</t>
  </si>
  <si>
    <t>6. Agua limpia y saneamiento</t>
  </si>
  <si>
    <t>7. Energía asequible y no contaminante</t>
  </si>
  <si>
    <t>8. Trabajo decente y crecimiento económico</t>
  </si>
  <si>
    <t>9. Industria, innovación e infraestructura</t>
  </si>
  <si>
    <t>10. Reducción de las desigualdades</t>
  </si>
  <si>
    <t>11. Ciudades y comunidades sostenibles</t>
  </si>
  <si>
    <t>12. Producción y consumo responsables</t>
  </si>
  <si>
    <t>13. Acción por el clima</t>
  </si>
  <si>
    <t>14. Vida submarina</t>
  </si>
  <si>
    <t>15. Vida de ecosistemas terrestres</t>
  </si>
  <si>
    <t>16. Paz, justicia e instituciones sólidas</t>
  </si>
  <si>
    <t>17. Alianzas para lograr los objetivos</t>
  </si>
  <si>
    <t>Sector (MGA)</t>
  </si>
  <si>
    <t>Programa (MGA)</t>
  </si>
  <si>
    <t>Producto (MGA)</t>
  </si>
  <si>
    <t>Acumulativo</t>
  </si>
  <si>
    <t>Informe generado con información de SisPT al:</t>
  </si>
  <si>
    <t>2024</t>
  </si>
  <si>
    <t>2025</t>
  </si>
  <si>
    <t>2026</t>
  </si>
  <si>
    <t>2027</t>
  </si>
  <si>
    <t>Nombre Plan de Desarrollo</t>
  </si>
  <si>
    <t>Consecutivos IP (SisPT)</t>
  </si>
  <si>
    <t>Código Sector (MGA)</t>
  </si>
  <si>
    <t>Código Programa (MGA)</t>
  </si>
  <si>
    <t>Código Producto (MGA)</t>
  </si>
  <si>
    <t>Descripción del Producto (MGA)</t>
  </si>
  <si>
    <t>Códigos BPIN Asociados</t>
  </si>
  <si>
    <t>Programado 2024 (SisPT)</t>
  </si>
  <si>
    <t>Programado 2025 (SisPT)</t>
  </si>
  <si>
    <t>Programado 2026 (SisPT)</t>
  </si>
  <si>
    <t>Programado 2027 (SisPT)</t>
  </si>
  <si>
    <t>Compromisos 2024 (CUIPO)</t>
  </si>
  <si>
    <t>Obligaciones 2024 (CUIPO)</t>
  </si>
  <si>
    <t>Pagos 2024 (CUIPO)</t>
  </si>
  <si>
    <t>Ejecución CUIPO 2024</t>
  </si>
  <si>
    <t>Obligaciones como % de lo programado (2024)</t>
  </si>
  <si>
    <t>Código Indicador Producto (MGA)</t>
  </si>
  <si>
    <t>Indicador Producto (MGA)</t>
  </si>
  <si>
    <t>Unidad de Medida</t>
  </si>
  <si>
    <t>Meta del Cuatrenio (SisPT)</t>
  </si>
  <si>
    <t>Avance físico 2024 (%)</t>
  </si>
  <si>
    <t>Ejecución PIIP 2024</t>
  </si>
  <si>
    <t>No tienen BPIN</t>
  </si>
  <si>
    <t>BPIN no encontrado en PIIP</t>
  </si>
  <si>
    <t>BPIN e IP hallados, pero modo de acumulación no fue encontrado en PIIP</t>
  </si>
  <si>
    <t>onlySisPT</t>
  </si>
  <si>
    <t>merged</t>
  </si>
  <si>
    <t>onlyCUIPO</t>
  </si>
  <si>
    <t>Universo SisPT:</t>
  </si>
  <si>
    <t>Universo CUIPO:</t>
  </si>
  <si>
    <t>NA</t>
  </si>
  <si>
    <t xml:space="preserve">Agricultura y desarrollo rural
</t>
  </si>
  <si>
    <t xml:space="preserve">Ciencia, tecnología e innovación
</t>
  </si>
  <si>
    <t>BPIN encontrado, pero no el indicador de producto (IP)</t>
  </si>
  <si>
    <t>Universo PIIP:</t>
  </si>
  <si>
    <t>onlyPIIP</t>
  </si>
  <si>
    <r>
      <rPr>
        <b/>
        <sz val="10"/>
        <color theme="1" tint="0.34998626667073579"/>
        <rFont val="Verdana Pro"/>
        <family val="2"/>
      </rPr>
      <t>Notas:</t>
    </r>
    <r>
      <rPr>
        <sz val="10"/>
        <color theme="1" tint="0.34998626667073579"/>
        <rFont val="Verdana Pro"/>
        <family val="2"/>
      </rPr>
      <t xml:space="preserve"> Si un rubro en SisPT o en CUIPO no tiene información en el campo de BPIN, </t>
    </r>
    <r>
      <rPr>
        <b/>
        <sz val="10"/>
        <color theme="1" tint="0.34998626667073579"/>
        <rFont val="Verdana Pro"/>
        <family val="2"/>
      </rPr>
      <t>no</t>
    </r>
    <r>
      <rPr>
        <sz val="10"/>
        <color theme="1" tint="0.34998626667073579"/>
        <rFont val="Verdana Pro"/>
        <family val="2"/>
      </rPr>
      <t xml:space="preserve"> se cruza la información entre plataformas. Información de CUIPO con códigos BPIN como "xxxx", "NO APLICA", "N/A" etc., se dejaron tal como aparecen en CUIPO.</t>
    </r>
  </si>
  <si>
    <t>BPIN e IP hallados, pero no tienen modo de acumulación</t>
  </si>
  <si>
    <t>BPIN, IP y modo de acumulación encontrados (hay seguimiento físico)</t>
  </si>
  <si>
    <t>Los anteriores diagramas de Venn pueden unificarse en uno solo si la información de PIIP también se agrega a nivel de producto y no de indicador de producto. Esto implica que los números del diagrama con PIIP cambian ligeramente, pero de todas maneras es útil acceder a esta vista integrada de los tres sistemas y su nivel agregado de coincidencias.</t>
  </si>
  <si>
    <t>Universo de combinaciones BPIN-Producto existentes entre las tres plataformas:</t>
  </si>
  <si>
    <t>Combinaciones BPIN-Producto halladas en la triple intersección:</t>
  </si>
  <si>
    <t>Porcentaje de coincidencia entre las tres plataformas:</t>
  </si>
  <si>
    <t>1iCUIPO</t>
  </si>
  <si>
    <t>2iPIIP</t>
  </si>
  <si>
    <t>3iSISPT</t>
  </si>
  <si>
    <t>4CUIPOPIIP</t>
  </si>
  <si>
    <t>5CUIPOSISPT</t>
  </si>
  <si>
    <t>6PIIPSISPT</t>
  </si>
  <si>
    <t>7TRIPLE</t>
  </si>
  <si>
    <t>.</t>
  </si>
  <si>
    <t>Resumen de la Programación Financiera (Presupuesto Ordinario) en SisPT</t>
  </si>
  <si>
    <t>Avance Físico Ejecutado Acumulado (PIIP)</t>
  </si>
  <si>
    <t>Detalle Seguimiento Financiero Preliminar</t>
  </si>
  <si>
    <r>
      <t xml:space="preserve">Por ejemplo, la columna "Obligaciones como % de lo programado (2024)" se calcula como la razón entre el monto total obligado en 2024 traído de CUIPO, y la programación financiera de 2024 de SisPT. Los valores superiores al 100% se resaltan en </t>
    </r>
    <r>
      <rPr>
        <b/>
        <sz val="11"/>
        <color rgb="FFE399DC"/>
        <rFont val="Verdana"/>
        <family val="2"/>
      </rPr>
      <t>rosado</t>
    </r>
    <r>
      <rPr>
        <sz val="11"/>
        <color theme="1"/>
        <rFont val="Verdana"/>
        <family val="2"/>
      </rPr>
      <t xml:space="preserve"> para facilitar su revisión, validación, y eventual corrección.</t>
    </r>
  </si>
  <si>
    <t>Programación Cuatrienio SisPT</t>
  </si>
  <si>
    <t>Defensa y policía</t>
  </si>
  <si>
    <t>Deporte y recreación</t>
  </si>
  <si>
    <t>Gobierno territorial</t>
  </si>
  <si>
    <t>Información estadística</t>
  </si>
  <si>
    <t>Minas y energía</t>
  </si>
  <si>
    <t>Organismos de control</t>
  </si>
  <si>
    <t>Detalle Seguimiento Físico Preliminar</t>
  </si>
  <si>
    <t>Esta tabla contrasta la información de Plan Indicativo - Presupuesto Ordinario de SisPT con la ejecución reportada en PIIP. El seguimiento físico es condicional a que el BPIN, el código de indicador de producto, y tipo de acumulación, correspondan en ambas plataformas. En caso de tener indicadores de producto y proyectos duplicados con nombre personalizado diferente en SisPT, este seguimiento agrega los montos ya que nos es imposible identificar cada rubro en PIIP. Utilice el consecutivo de SisPT para poder rastrear los rubros en el formato de Plan Indicativo.</t>
  </si>
  <si>
    <t>Esta tabla contrasta la información de Plan Indicativo - Presupuesto Ordinario de SisPT con la ejecución reportada en CUIPO. El seguimiento financiero es condicional a tener código BPIN y código de producto en ambas plataformas. En caso de tener productos y proyectos duplicados con nombre personalizado diferente en SisPT, este seguimiento agrega los montos ya que nos es imposible identificar cada rubro en CUIPO. Utilice el consecutivo de SisPT para poder rastrear los rubros en el formato de Plan Indicativo.</t>
  </si>
  <si>
    <r>
      <t xml:space="preserve">Por ejemplo, la columna "Avance físico 2024 (%)" se calcula como la razón entre la ejecución física acumulada de 2024 traída de PIIP, y la programación física de 2024 de SisPT. Los valores superiores al 100% se resaltan en </t>
    </r>
    <r>
      <rPr>
        <b/>
        <sz val="11"/>
        <color rgb="FFE399DC"/>
        <rFont val="Verdana"/>
        <family val="2"/>
      </rPr>
      <t>rosado</t>
    </r>
    <r>
      <rPr>
        <sz val="11"/>
        <color theme="1"/>
        <rFont val="Verdana"/>
        <family val="2"/>
      </rPr>
      <t xml:space="preserve"> para facilitar su revisión, validación, y eventual corrección.</t>
    </r>
  </si>
  <si>
    <t>Obligaciones como % de lo programado (2025)</t>
  </si>
  <si>
    <t>Compromisos 2025 (CUIPO)</t>
  </si>
  <si>
    <t>Obligaciones 2025 (CUIPO)</t>
  </si>
  <si>
    <t>Pagos 2025 (CUIPO)</t>
  </si>
  <si>
    <t>Programación financiera SisPT</t>
  </si>
  <si>
    <t>Explicación del valor 2024</t>
  </si>
  <si>
    <t>Explicación del valor 2025</t>
  </si>
  <si>
    <t>Nombre Entidad Territorial</t>
  </si>
  <si>
    <t>En esta hoja encontrará un resumen de la información de programación cargada en SisPT, y un resumen del cruce de información con las plataformas PIIP y CUIPO. En la hoja "Seguimiento al Plan" encontrará el cálculo de avance físico del Plan por vigencia. Finalmente, las hojas de Detalle seguimiento financiero y Detalle seguimiento físico contienen valores a nivel de indicador de producto, para poder entender de dónde proviene el total que calculamos cada vigencia.</t>
  </si>
  <si>
    <t>En la hoja "Detalle seguimiento financiero" encontrará la información detallada de las combinaciones que cruzaron con CUIPO, y las combinaciones que no cruzaron aparecerán sin datos de compromisos, obligaciones ni pagos.</t>
  </si>
  <si>
    <t>En la hoja "Detalle seguimiento físico" encontrará la información detallada de las combinaciones que cruzaron con PIIP, y las combinaciones que no cruzaron aparecerán sin datos de ejecución física en la vigencia respectiva.</t>
  </si>
  <si>
    <t>Las columnas "Explicación" buscan dar contexto al cálculo de obligaciones como % de lo programado, para cada vigencia.</t>
  </si>
  <si>
    <t>Las columnas "Explicación" buscan dar contexto al cálculo de avance físico (%) para cada vigencia.</t>
  </si>
  <si>
    <t>Programación física SisPT</t>
  </si>
  <si>
    <t>(Dar clic en Habilitar Edición)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</si>
</sst>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00000"/>
    <numFmt numFmtId="165" formatCode="0.0%"/>
    <numFmt numFmtId="166" formatCode="#,##0"/>
    <numFmt numFmtId="167" formatCode="0%"/>
    <numFmt numFmtId="168" formatCode="#,##0"/>
    <numFmt numFmtId="169" formatCode="0%"/>
    <numFmt numFmtId="170" formatCode="0%"/>
    <numFmt numFmtId="171" formatCode="0%"/>
  </numFmts>
  <fonts count="27">
    <font>
      <sz val="11"/>
      <color theme="1"/>
      <name val="Calibri"/>
      <family val="2"/>
      <scheme val="minor"/>
    </font>
    <font>
      <sz val="11"/>
      <color theme="1"/>
      <name val="Calibri"/>
      <family val="2"/>
      <scheme val="minor"/>
    </font>
    <font>
      <sz val="11"/>
      <name val="Calibri"/>
      <family val="2"/>
      <scheme val="minor"/>
    </font>
    <font>
      <b/>
      <sz val="18"/>
      <color rgb="FF3C8C7B"/>
      <name val="Segoe UI"/>
      <family val="2"/>
      <scheme val="major"/>
    </font>
    <font>
      <sz val="11"/>
      <color theme="1"/>
      <name val="Segoe UI"/>
      <family val="2"/>
      <scheme val="major"/>
    </font>
    <font>
      <b/>
      <sz val="16"/>
      <name val="Segoe UI"/>
      <family val="2"/>
      <scheme val="major"/>
    </font>
    <font>
      <sz val="11"/>
      <color theme="8" tint="0.39997558519241921"/>
      <name val="Calibri"/>
      <family val="2"/>
      <scheme val="minor"/>
    </font>
    <font>
      <b/>
      <sz val="11"/>
      <color theme="1"/>
      <name val="Segoe UI"/>
      <family val="2"/>
      <scheme val="major"/>
    </font>
    <font>
      <b/>
      <sz val="11"/>
      <color theme="0"/>
      <name val="Segoe UI"/>
      <family val="2"/>
      <scheme val="major"/>
    </font>
    <font>
      <sz val="11"/>
      <color theme="0"/>
      <name val="Calibri"/>
      <family val="2"/>
      <scheme val="minor"/>
    </font>
    <font>
      <b/>
      <i/>
      <sz val="16"/>
      <color rgb="FF295D52"/>
      <name val="Segoe UI"/>
      <family val="2"/>
      <scheme val="major"/>
    </font>
    <font>
      <b/>
      <sz val="12"/>
      <color rgb="FF3C8C7B"/>
      <name val="Segoe UI"/>
      <family val="2"/>
      <scheme val="major"/>
    </font>
    <font>
      <sz val="11"/>
      <color theme="1"/>
      <name val="Verdana"/>
      <family val="2"/>
    </font>
    <font>
      <sz val="11"/>
      <color theme="1"/>
      <name val="Verdana Pro"/>
      <family val="2"/>
    </font>
    <font>
      <sz val="10"/>
      <color theme="1" tint="0.34998626667073579"/>
      <name val="Verdana Pro"/>
      <family val="2"/>
    </font>
    <font>
      <b/>
      <sz val="11"/>
      <color theme="1"/>
      <name val="Verdana Pro"/>
      <family val="2"/>
    </font>
    <font>
      <b/>
      <sz val="11"/>
      <name val="Verdana Pro"/>
      <family val="2"/>
    </font>
    <font>
      <sz val="10"/>
      <color theme="1"/>
      <name val="Verdana Pro"/>
      <family val="2"/>
    </font>
    <font>
      <b/>
      <sz val="11"/>
      <color rgb="FF3C8C7B"/>
      <name val="Verdana"/>
      <family val="2"/>
    </font>
    <font>
      <b/>
      <sz val="11"/>
      <color rgb="FFAFA927"/>
      <name val="Verdana"/>
      <family val="2"/>
    </font>
    <font>
      <b/>
      <sz val="11"/>
      <color rgb="FF786256"/>
      <name val="Verdana"/>
      <family val="2"/>
    </font>
    <font>
      <b/>
      <sz val="10"/>
      <color theme="1" tint="0.34998626667073579"/>
      <name val="Verdana Pro"/>
      <family val="2"/>
    </font>
    <font>
      <sz val="11"/>
      <name val="Verdana Pro"/>
      <family val="2"/>
    </font>
    <font>
      <sz val="11"/>
      <color rgb="FFFF0000"/>
      <name val="Calibri"/>
      <family val="2"/>
      <scheme val="minor"/>
    </font>
    <font>
      <b/>
      <sz val="11"/>
      <color rgb="FFE399DC"/>
      <name val="Verdana"/>
      <family val="2"/>
    </font>
    <font>
      <sz val="11"/>
      <color rgb="FFE399DC"/>
      <name val="Segoe UI"/>
      <family val="2"/>
      <scheme val="major"/>
    </font>
    <font>
      <sz val="11"/>
      <color rgb="FFFF0000"/>
      <name val="Verdana Pro"/>
      <family val="2"/>
    </font>
  </fonts>
  <fills count="21">
    <fill>
      <patternFill patternType="none"/>
    </fill>
    <fill>
      <patternFill patternType="gray125"/>
    </fill>
    <fill>
      <patternFill patternType="solid">
        <fgColor theme="0"/>
        <bgColor indexed="64"/>
      </patternFill>
    </fill>
    <fill>
      <patternFill patternType="solid">
        <fgColor rgb="FFEBFBF6"/>
        <bgColor indexed="64"/>
      </patternFill>
    </fill>
    <fill>
      <patternFill patternType="solid">
        <fgColor rgb="FFFDF7D7"/>
        <bgColor indexed="64"/>
      </patternFill>
    </fill>
    <fill>
      <patternFill patternType="solid">
        <fgColor rgb="FFE2F2EF"/>
        <bgColor indexed="64"/>
      </patternFill>
    </fill>
    <fill>
      <patternFill patternType="solid">
        <fgColor rgb="FFF2FADA"/>
        <bgColor indexed="64"/>
      </patternFill>
    </fill>
    <fill>
      <patternFill patternType="solid">
        <fgColor theme="3" tint="0.249977111117893"/>
        <bgColor indexed="64"/>
      </patternFill>
    </fill>
    <fill>
      <patternFill patternType="solid">
        <fgColor rgb="FFE68297"/>
        <bgColor indexed="64"/>
      </patternFill>
    </fill>
    <fill>
      <patternFill patternType="solid">
        <fgColor rgb="FFF8A39A"/>
        <bgColor indexed="64"/>
      </patternFill>
    </fill>
    <fill>
      <patternFill patternType="solid">
        <fgColor rgb="FFADEC9E"/>
        <bgColor indexed="64"/>
      </patternFill>
    </fill>
    <fill>
      <patternFill patternType="solid">
        <fgColor rgb="FFA8A831"/>
        <bgColor indexed="64"/>
      </patternFill>
    </fill>
    <fill>
      <patternFill patternType="solid">
        <fgColor rgb="FFA65CC4"/>
        <bgColor indexed="64"/>
      </patternFill>
    </fill>
    <fill>
      <patternFill patternType="solid">
        <fgColor rgb="FFD165AA"/>
        <bgColor indexed="64"/>
      </patternFill>
    </fill>
    <fill>
      <patternFill patternType="solid">
        <fgColor rgb="FFFFBD97"/>
        <bgColor indexed="64"/>
      </patternFill>
    </fill>
    <fill>
      <patternFill patternType="solid">
        <fgColor rgb="FF215C98"/>
        <bgColor indexed="64"/>
      </patternFill>
    </fill>
    <fill>
      <patternFill patternType="solid">
        <fgColor theme="5" tint="0.59999389629810485"/>
        <bgColor indexed="64"/>
      </patternFill>
    </fill>
    <fill>
      <patternFill patternType="solid">
        <fgColor rgb="FFF7F7AF"/>
        <bgColor indexed="64"/>
      </patternFill>
    </fill>
    <fill>
      <patternFill patternType="solid">
        <fgColor rgb="FFDAE9F9"/>
        <bgColor indexed="64"/>
      </patternFill>
    </fill>
    <fill>
      <patternFill patternType="solid">
        <fgColor rgb="FFBAD7F4"/>
        <bgColor indexed="64"/>
      </patternFill>
    </fill>
    <fill>
      <patternFill patternType="solid">
        <fgColor rgb="FF9FC5EB"/>
        <bgColor indexed="64"/>
      </patternFill>
    </fill>
  </fills>
  <borders count="1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3C8C7B"/>
      </left>
      <right style="thin">
        <color rgb="FF3C8C7B"/>
      </right>
      <top style="thin">
        <color rgb="FF3C8C7B"/>
      </top>
      <bottom style="thin">
        <color rgb="FF3C8C7B"/>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105">
    <xf numFmtId="0" fontId="0" fillId="0" borderId="0" xfId="0"/>
    <xf numFmtId="0" fontId="0" fillId="2" borderId="0" xfId="0" applyFill="1"/>
    <xf numFmtId="0" fontId="0" fillId="2" borderId="0" xfId="0" applyFill="1" applyAlignment="1">
      <alignment horizontal="left"/>
    </xf>
    <xf numFmtId="0" fontId="2" fillId="2" borderId="0" xfId="0" applyFont="1" applyFill="1"/>
    <xf numFmtId="0" fontId="4" fillId="2" borderId="0" xfId="0" applyFont="1" applyFill="1"/>
    <xf numFmtId="164" fontId="0" fillId="2" borderId="0" xfId="0" applyNumberFormat="1" applyFill="1"/>
    <xf numFmtId="0" fontId="6" fillId="2" borderId="0" xfId="0" applyFont="1" applyFill="1"/>
    <xf numFmtId="1" fontId="0" fillId="3" borderId="0" xfId="0" applyNumberFormat="1" applyFill="1"/>
    <xf numFmtId="3" fontId="0" fillId="3" borderId="0" xfId="0" applyNumberFormat="1" applyFill="1"/>
    <xf numFmtId="0" fontId="9" fillId="2" borderId="0" xfId="0" applyFont="1" applyFill="1"/>
    <xf numFmtId="0" fontId="0" fillId="2" borderId="0" xfId="0" applyFill="1" applyAlignment="1">
      <alignment horizontal="left" wrapText="1"/>
    </xf>
    <xf numFmtId="0" fontId="11" fillId="5" borderId="0" xfId="0" applyFont="1" applyFill="1"/>
    <xf numFmtId="0" fontId="0" fillId="5" borderId="0" xfId="0" applyFill="1"/>
    <xf numFmtId="3" fontId="9" fillId="2" borderId="0" xfId="0" applyNumberFormat="1" applyFont="1" applyFill="1"/>
    <xf numFmtId="1" fontId="9" fillId="2" borderId="0" xfId="0" applyNumberFormat="1" applyFont="1" applyFill="1"/>
    <xf numFmtId="0" fontId="0" fillId="2" borderId="0" xfId="0" applyFill="1" applyAlignment="1">
      <alignment horizontal="left" vertical="center" wrapText="1"/>
    </xf>
    <xf numFmtId="0" fontId="7" fillId="6" borderId="0" xfId="0" applyFont="1" applyFill="1" applyAlignment="1">
      <alignment horizontal="center" vertical="center" wrapText="1"/>
    </xf>
    <xf numFmtId="0" fontId="9" fillId="2" borderId="0" xfId="0" applyFont="1" applyFill="1" applyAlignment="1">
      <alignment horizontal="left" vertical="center"/>
    </xf>
    <xf numFmtId="3" fontId="4" fillId="2" borderId="0" xfId="0" applyNumberFormat="1" applyFont="1" applyFill="1"/>
    <xf numFmtId="9" fontId="4" fillId="2" borderId="0" xfId="1" applyFont="1" applyFill="1" applyAlignment="1">
      <alignment horizontal="center" vertical="center"/>
    </xf>
    <xf numFmtId="0" fontId="4" fillId="0" borderId="0" xfId="0" applyFont="1"/>
    <xf numFmtId="0" fontId="13" fillId="12" borderId="0" xfId="0" applyFont="1" applyFill="1" applyAlignment="1">
      <alignment vertical="center"/>
    </xf>
    <xf numFmtId="0" fontId="13" fillId="2" borderId="0" xfId="0" applyFont="1" applyFill="1" applyAlignment="1">
      <alignment horizontal="left" vertical="center"/>
    </xf>
    <xf numFmtId="0" fontId="13" fillId="13" borderId="0" xfId="0" applyFont="1" applyFill="1" applyAlignment="1">
      <alignment vertical="center"/>
    </xf>
    <xf numFmtId="0" fontId="13" fillId="8" borderId="0" xfId="0" applyFont="1" applyFill="1" applyAlignment="1">
      <alignment vertical="center"/>
    </xf>
    <xf numFmtId="0" fontId="13" fillId="9" borderId="0" xfId="0" applyFont="1" applyFill="1" applyAlignment="1">
      <alignment vertical="center"/>
    </xf>
    <xf numFmtId="0" fontId="13" fillId="14" borderId="0" xfId="0" applyFont="1" applyFill="1" applyAlignment="1">
      <alignment vertical="center"/>
    </xf>
    <xf numFmtId="0" fontId="13" fillId="10" borderId="0" xfId="0" applyFont="1" applyFill="1" applyAlignment="1">
      <alignment vertical="center"/>
    </xf>
    <xf numFmtId="0" fontId="13" fillId="2" borderId="0" xfId="0" applyFont="1" applyFill="1"/>
    <xf numFmtId="0" fontId="15" fillId="2" borderId="0" xfId="0" applyFont="1" applyFill="1"/>
    <xf numFmtId="0" fontId="13" fillId="2" borderId="0" xfId="0" applyFont="1" applyFill="1" applyAlignment="1">
      <alignment horizontal="right"/>
    </xf>
    <xf numFmtId="0" fontId="3" fillId="2" borderId="0" xfId="0" applyFont="1" applyFill="1" applyAlignment="1">
      <alignment horizontal="left" vertical="center" indent="2"/>
    </xf>
    <xf numFmtId="0" fontId="12" fillId="2" borderId="0" xfId="0" applyFont="1" applyFill="1"/>
    <xf numFmtId="0" fontId="12" fillId="2" borderId="0" xfId="0" applyFont="1" applyFill="1" applyAlignment="1">
      <alignment horizontal="left" wrapText="1"/>
    </xf>
    <xf numFmtId="0" fontId="12" fillId="2" borderId="0" xfId="0" applyFont="1" applyFill="1" applyAlignment="1">
      <alignment horizontal="left"/>
    </xf>
    <xf numFmtId="0" fontId="22" fillId="2" borderId="0" xfId="0" applyFont="1" applyFill="1"/>
    <xf numFmtId="0" fontId="2" fillId="2" borderId="0" xfId="0" applyFont="1" applyFill="1" applyAlignment="1">
      <alignment vertical="center" wrapText="1"/>
    </xf>
    <xf numFmtId="3" fontId="0" fillId="0" borderId="0" xfId="0" applyNumberFormat="1"/>
    <xf numFmtId="9" fontId="0" fillId="0" borderId="0" xfId="1" applyFont="1" applyAlignment="1">
      <alignment horizontal="center" vertical="center"/>
    </xf>
    <xf numFmtId="0" fontId="18" fillId="2" borderId="0" xfId="0" applyFont="1" applyFill="1" applyAlignment="1">
      <alignment horizontal="center" vertical="center"/>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0" fillId="4" borderId="0" xfId="0" applyFill="1"/>
    <xf numFmtId="0" fontId="23" fillId="2" borderId="0" xfId="0" applyFont="1" applyFill="1"/>
    <xf numFmtId="0" fontId="18" fillId="2" borderId="0" xfId="0" applyFont="1" applyFill="1" applyAlignment="1">
      <alignment vertical="center"/>
    </xf>
    <xf numFmtId="0" fontId="13" fillId="2" borderId="0" xfId="0" applyFont="1" applyFill="1" applyAlignment="1">
      <alignment horizontal="center"/>
    </xf>
    <xf numFmtId="0" fontId="12" fillId="2" borderId="0" xfId="0" applyFont="1" applyFill="1" applyAlignment="1">
      <alignment vertical="center" wrapText="1"/>
    </xf>
    <xf numFmtId="0" fontId="4" fillId="2" borderId="0" xfId="0" applyFont="1" applyFill="1" applyAlignment="1">
      <alignment horizontal="center" vertical="center"/>
    </xf>
    <xf numFmtId="0" fontId="0" fillId="0" borderId="0" xfId="0" applyAlignment="1">
      <alignment horizontal="center" vertical="center"/>
    </xf>
    <xf numFmtId="0" fontId="7" fillId="2" borderId="0" xfId="0" applyFont="1" applyFill="1"/>
    <xf numFmtId="0" fontId="0" fillId="16" borderId="4" xfId="0" applyFill="1" applyBorder="1"/>
    <xf numFmtId="3" fontId="7" fillId="6" borderId="0" xfId="0" applyNumberFormat="1" applyFont="1" applyFill="1" applyAlignment="1">
      <alignment horizontal="center" vertical="center" wrapText="1"/>
    </xf>
    <xf numFmtId="3" fontId="7" fillId="6" borderId="7" xfId="0" applyNumberFormat="1" applyFont="1" applyFill="1" applyBorder="1" applyAlignment="1">
      <alignment horizontal="center" vertical="center" wrapText="1"/>
    </xf>
    <xf numFmtId="0" fontId="25" fillId="2" borderId="0" xfId="0" applyFont="1" applyFill="1"/>
    <xf numFmtId="0" fontId="7" fillId="6" borderId="7" xfId="0" applyFont="1" applyFill="1" applyBorder="1" applyAlignment="1">
      <alignment horizontal="center" vertical="center" wrapText="1"/>
    </xf>
    <xf numFmtId="0" fontId="0" fillId="17" borderId="0" xfId="0" applyFill="1"/>
    <xf numFmtId="0" fontId="26" fillId="2" borderId="0" xfId="0" applyFont="1" applyFill="1" applyAlignment="1">
      <alignment vertical="center" wrapText="1"/>
    </xf>
    <xf numFmtId="0" fontId="7" fillId="18" borderId="8" xfId="0" applyFont="1" applyFill="1" applyBorder="1" applyAlignment="1">
      <alignment horizontal="center" vertical="center" wrapText="1"/>
    </xf>
    <xf numFmtId="3" fontId="7" fillId="18" borderId="0" xfId="0" applyNumberFormat="1" applyFont="1" applyFill="1" applyAlignment="1">
      <alignment horizontal="center" vertical="center" wrapText="1"/>
    </xf>
    <xf numFmtId="3" fontId="7" fillId="18" borderId="8" xfId="0" applyNumberFormat="1" applyFont="1" applyFill="1" applyBorder="1" applyAlignment="1">
      <alignment horizontal="center" vertical="center" wrapText="1"/>
    </xf>
    <xf numFmtId="3" fontId="7" fillId="6" borderId="9" xfId="0" applyNumberFormat="1" applyFont="1" applyFill="1" applyBorder="1" applyAlignment="1">
      <alignment horizontal="center" vertical="center" wrapText="1"/>
    </xf>
    <xf numFmtId="0" fontId="7" fillId="6" borderId="8" xfId="0" applyFont="1" applyFill="1" applyBorder="1" applyAlignment="1">
      <alignment horizontal="center" vertical="center" wrapText="1"/>
    </xf>
    <xf numFmtId="0" fontId="23" fillId="2" borderId="0" xfId="0" applyFont="1" applyFill="1" applyAlignment="1">
      <alignment horizontal="left" vertical="center"/>
    </xf>
    <xf numFmtId="0" fontId="23" fillId="2" borderId="0" xfId="0" applyFont="1" applyFill="1" applyAlignment="1">
      <alignment horizontal="left" wrapText="1"/>
    </xf>
    <xf numFmtId="9" fontId="7" fillId="19" borderId="0" xfId="1" applyFont="1" applyFill="1" applyBorder="1" applyAlignment="1">
      <alignment horizontal="center" vertical="center" wrapText="1"/>
    </xf>
    <xf numFmtId="0" fontId="7" fillId="19" borderId="0" xfId="0" applyFont="1" applyFill="1" applyAlignment="1">
      <alignment horizontal="center" vertical="center" wrapText="1"/>
    </xf>
    <xf numFmtId="0" fontId="7" fillId="20" borderId="7" xfId="0" applyFont="1" applyFill="1" applyBorder="1" applyAlignment="1">
      <alignment horizontal="center" vertical="center" wrapText="1"/>
    </xf>
    <xf numFmtId="9" fontId="7" fillId="20" borderId="7" xfId="1" applyFont="1" applyFill="1" applyBorder="1" applyAlignment="1">
      <alignment horizontal="center" vertical="center" wrapText="1"/>
    </xf>
    <xf numFmtId="0" fontId="12" fillId="2" borderId="0" xfId="0" applyFont="1" applyFill="1" applyAlignment="1">
      <alignment horizontal="center" vertical="top" wrapText="1"/>
    </xf>
    <xf numFmtId="0" fontId="14" fillId="2" borderId="0" xfId="0" applyFont="1" applyFill="1" applyAlignment="1">
      <alignment horizontal="left" vertical="center" wrapText="1"/>
    </xf>
    <xf numFmtId="0" fontId="13" fillId="2" borderId="0" xfId="0" applyFont="1" applyFill="1" applyAlignment="1">
      <alignment horizontal="left" vertical="center" wrapText="1"/>
    </xf>
    <xf numFmtId="0" fontId="18" fillId="2" borderId="0" xfId="0" applyFont="1" applyFill="1" applyAlignment="1">
      <alignment horizontal="center" vertical="center"/>
    </xf>
    <xf numFmtId="0" fontId="12" fillId="2" borderId="0" xfId="0" applyFont="1" applyFill="1" applyAlignment="1">
      <alignment horizontal="center" vertical="center" wrapText="1"/>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22" fillId="2" borderId="0" xfId="0" applyFont="1" applyFill="1" applyAlignment="1">
      <alignment horizontal="left" vertical="center" wrapText="1"/>
    </xf>
    <xf numFmtId="0" fontId="16" fillId="2" borderId="0" xfId="0" applyFont="1" applyFill="1" applyAlignment="1">
      <alignment horizontal="left" vertical="center"/>
    </xf>
    <xf numFmtId="0" fontId="17" fillId="2" borderId="0" xfId="0" applyFont="1" applyFill="1" applyAlignment="1">
      <alignment horizontal="left" vertical="center" wrapText="1" indent="1"/>
    </xf>
    <xf numFmtId="0" fontId="10" fillId="2" borderId="0" xfId="0" applyFont="1" applyFill="1" applyAlignment="1">
      <alignment horizontal="center" vertical="center" wrapText="1"/>
    </xf>
    <xf numFmtId="0" fontId="5" fillId="2" borderId="0" xfId="0" applyFont="1" applyFill="1" applyAlignment="1">
      <alignment horizontal="center"/>
    </xf>
    <xf numFmtId="0" fontId="3" fillId="2" borderId="0" xfId="0" applyFont="1" applyFill="1" applyAlignment="1">
      <alignment horizontal="center" vertical="center" wrapText="1"/>
    </xf>
    <xf numFmtId="0" fontId="13" fillId="2" borderId="0" xfId="0" applyFont="1" applyFill="1" applyAlignment="1">
      <alignment horizontal="right"/>
    </xf>
    <xf numFmtId="0" fontId="13" fillId="3" borderId="1" xfId="0" applyFont="1" applyFill="1" applyBorder="1" applyAlignment="1" applyProtection="1">
      <alignment horizontal="left"/>
      <protection locked="0"/>
    </xf>
    <xf numFmtId="0" fontId="13" fillId="3" borderId="2" xfId="0" applyFont="1" applyFill="1" applyBorder="1" applyAlignment="1" applyProtection="1">
      <alignment horizontal="left"/>
      <protection locked="0"/>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xf>
    <xf numFmtId="165" fontId="13" fillId="2" borderId="5" xfId="1" applyNumberFormat="1" applyFont="1" applyFill="1" applyBorder="1" applyAlignment="1">
      <alignment horizontal="center" vertical="center"/>
    </xf>
    <xf numFmtId="165" fontId="13" fillId="2" borderId="6" xfId="1" applyNumberFormat="1" applyFont="1" applyFill="1" applyBorder="1" applyAlignment="1">
      <alignment horizontal="center" vertical="center"/>
    </xf>
    <xf numFmtId="0" fontId="8" fillId="7" borderId="1"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2" xfId="0" applyFont="1" applyFill="1" applyBorder="1" applyAlignment="1">
      <alignment horizontal="center" vertical="center"/>
    </xf>
    <xf numFmtId="0" fontId="8" fillId="11" borderId="1" xfId="0" applyFont="1" applyFill="1" applyBorder="1" applyAlignment="1">
      <alignment horizontal="center" vertical="center"/>
    </xf>
    <xf numFmtId="0" fontId="8" fillId="11" borderId="3" xfId="0" applyFont="1" applyFill="1" applyBorder="1" applyAlignment="1">
      <alignment horizontal="center" vertical="center"/>
    </xf>
    <xf numFmtId="0" fontId="8" fillId="11" borderId="2" xfId="0" applyFont="1" applyFill="1" applyBorder="1" applyAlignment="1">
      <alignment horizontal="center" vertical="center"/>
    </xf>
    <xf numFmtId="0" fontId="12" fillId="2" borderId="0" xfId="0" applyFont="1" applyFill="1" applyAlignment="1">
      <alignment horizontal="left" vertical="center" wrapText="1" indent="2"/>
    </xf>
    <xf numFmtId="0" fontId="12" fillId="2" borderId="0" xfId="0" applyFont="1" applyFill="1" applyAlignment="1">
      <alignment horizontal="left" vertical="center" indent="2"/>
    </xf>
    <xf numFmtId="0" fontId="8" fillId="15" borderId="1" xfId="0" applyFont="1" applyFill="1" applyBorder="1" applyAlignment="1">
      <alignment horizontal="center" vertical="center"/>
    </xf>
    <xf numFmtId="0" fontId="8" fillId="15" borderId="3" xfId="0" applyFont="1" applyFill="1" applyBorder="1" applyAlignment="1">
      <alignment horizontal="center" vertical="center"/>
    </xf>
    <xf numFmtId="0" fontId="8" fillId="15" borderId="2" xfId="0" applyFont="1" applyFill="1" applyBorder="1" applyAlignment="1">
      <alignment horizontal="center" vertical="center"/>
    </xf>
    <xf applyNumberFormat="1" borderId="0" fillId="0" fontId="0" numFmtId="166" xfId="0"/>
    <xf applyNumberFormat="1" borderId="0" fillId="0" fontId="0" numFmtId="167" xfId="0"/>
    <xf applyNumberFormat="1" borderId="0" fillId="0" fontId="0" numFmtId="168" xfId="0"/>
    <xf applyNumberFormat="1" borderId="0" fillId="0" fontId="0" numFmtId="169" xfId="0"/>
    <xf applyNumberFormat="1" borderId="0" fillId="0" fontId="0" numFmtId="170" xfId="0"/>
    <xf applyNumberFormat="1" borderId="0" fillId="0" fontId="0" numFmtId="171" xfId="0"/>
  </cellXfs>
  <cellStyles count="2">
    <cellStyle name="Normal" xfId="0" builtinId="0"/>
    <cellStyle name="Porcentaje" xfId="1" builtinId="5"/>
  </cellStyles>
  <dxfs count="4">
    <dxf>
      <fill>
        <patternFill>
          <bgColor rgb="FFE399DC"/>
        </patternFill>
      </fill>
    </dxf>
    <dxf>
      <fill>
        <patternFill>
          <bgColor rgb="FFE399DC"/>
        </patternFill>
      </fill>
    </dxf>
    <dxf>
      <fill>
        <patternFill>
          <bgColor rgb="FFE399DC"/>
        </patternFill>
      </fill>
    </dxf>
    <dxf>
      <fill>
        <patternFill>
          <bgColor rgb="FFE399DC"/>
        </patternFill>
      </fill>
    </dxf>
  </dxfs>
  <colors>
    <mruColors>
      <color rgb="FFBAD7F4"/>
      <color rgb="FF9FC5EB"/>
      <color rgb="FFDAE9F9"/>
      <color rgb="FF000000"/>
      <color rgb="FFFEBFBA"/>
      <color rgb="FFFFFA9F"/>
      <color rgb="FF3A3A3A"/>
      <color rgb="FF9BF5C4"/>
      <color rgb="FF00DA63"/>
      <color rgb="FFFFF6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charts/_rels/chart1.xml.rels><?xml version="1.0" encoding="UTF-8" standalone="yes"?><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Sector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8285211219379314"/>
          <c:y val="8.7741223811904287E-2"/>
          <c:w val="0.66819877250944681"/>
          <c:h val="0.83957062058195309"/>
        </c:manualLayout>
      </c:layout>
      <c:barChart>
        <c:barDir val="bar"/>
        <c:grouping val="clustered"/>
        <c:varyColors val="0"/>
        <c:ser>
          <c:idx val="0"/>
          <c:order val="0"/>
          <c:spPr>
            <a:solidFill>
              <a:srgbClr val="60B99A"/>
            </a:solidFill>
            <a:ln>
              <a:noFill/>
            </a:ln>
            <a:effectLst/>
          </c:spPr>
          <c:invertIfNegative val="0"/>
          <c:dLbls>
            <c:dLbl>
              <c:idx val="0"/>
              <c:tx>
                <c:rich>
                  <a:bodyPr/>
                  <a:lstStyle/>
                  <a:p>
                    <a:fld id="{86708646-06F0-44BF-B40F-8187AA71B70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F2B-459C-AC47-38F1A835D05B}"/>
                </c:ext>
              </c:extLst>
            </c:dLbl>
            <c:dLbl>
              <c:idx val="1"/>
              <c:tx>
                <c:rich>
                  <a:bodyPr/>
                  <a:lstStyle/>
                  <a:p>
                    <a:fld id="{2C7022E3-3026-45EE-BBAA-C14909683298}"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F2B-459C-AC47-38F1A835D05B}"/>
                </c:ext>
              </c:extLst>
            </c:dLbl>
            <c:dLbl>
              <c:idx val="2"/>
              <c:tx>
                <c:rich>
                  <a:bodyPr/>
                  <a:lstStyle/>
                  <a:p>
                    <a:fld id="{78AA829D-06C3-44E9-A13E-C43AE53F1AC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F2B-459C-AC47-38F1A835D05B}"/>
                </c:ext>
              </c:extLst>
            </c:dLbl>
            <c:dLbl>
              <c:idx val="3"/>
              <c:tx>
                <c:rich>
                  <a:bodyPr/>
                  <a:lstStyle/>
                  <a:p>
                    <a:fld id="{D7D10F66-7E09-4EED-955D-B625B5DB552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F2B-459C-AC47-38F1A835D05B}"/>
                </c:ext>
              </c:extLst>
            </c:dLbl>
            <c:dLbl>
              <c:idx val="4"/>
              <c:tx>
                <c:rich>
                  <a:bodyPr/>
                  <a:lstStyle/>
                  <a:p>
                    <a:fld id="{C8A54928-30D5-44DC-BD36-028F3AE9CD1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F2B-459C-AC47-38F1A835D05B}"/>
                </c:ext>
              </c:extLst>
            </c:dLbl>
            <c:dLbl>
              <c:idx val="5"/>
              <c:tx>
                <c:rich>
                  <a:bodyPr/>
                  <a:lstStyle/>
                  <a:p>
                    <a:fld id="{97172F8E-1965-4A90-9198-0988BC6E696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F2B-459C-AC47-38F1A835D05B}"/>
                </c:ext>
              </c:extLst>
            </c:dLbl>
            <c:dLbl>
              <c:idx val="6"/>
              <c:tx>
                <c:rich>
                  <a:bodyPr/>
                  <a:lstStyle/>
                  <a:p>
                    <a:fld id="{49611170-3CBD-425A-A8EC-D314CB7C085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F2B-459C-AC47-38F1A835D05B}"/>
                </c:ext>
              </c:extLst>
            </c:dLbl>
            <c:dLbl>
              <c:idx val="7"/>
              <c:tx>
                <c:rich>
                  <a:bodyPr/>
                  <a:lstStyle/>
                  <a:p>
                    <a:fld id="{F109D7FC-81F2-4199-BD85-F88BDFB7278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F2B-459C-AC47-38F1A835D05B}"/>
                </c:ext>
              </c:extLst>
            </c:dLbl>
            <c:dLbl>
              <c:idx val="8"/>
              <c:tx>
                <c:rich>
                  <a:bodyPr/>
                  <a:lstStyle/>
                  <a:p>
                    <a:fld id="{E02D7E04-CD3E-4E75-82C0-2F3E4DFC1470}"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F2B-459C-AC47-38F1A835D05B}"/>
                </c:ext>
              </c:extLst>
            </c:dLbl>
            <c:dLbl>
              <c:idx val="9"/>
              <c:tx>
                <c:rich>
                  <a:bodyPr/>
                  <a:lstStyle/>
                  <a:p>
                    <a:fld id="{AF052F5F-396D-4EEE-999B-B986DD033C2B}"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F2B-459C-AC47-38F1A835D05B}"/>
                </c:ext>
              </c:extLst>
            </c:dLbl>
            <c:dLbl>
              <c:idx val="10"/>
              <c:tx>
                <c:rich>
                  <a:bodyPr/>
                  <a:lstStyle/>
                  <a:p>
                    <a:fld id="{D5E2608F-9C10-499B-B8BA-E305709532B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F2B-459C-AC47-38F1A835D05B}"/>
                </c:ext>
              </c:extLst>
            </c:dLbl>
            <c:dLbl>
              <c:idx val="11"/>
              <c:tx>
                <c:rich>
                  <a:bodyPr/>
                  <a:lstStyle/>
                  <a:p>
                    <a:fld id="{39E62150-EF8F-4D6B-844D-9C62C347D3B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F2B-459C-AC47-38F1A835D05B}"/>
                </c:ext>
              </c:extLst>
            </c:dLbl>
            <c:dLbl>
              <c:idx val="12"/>
              <c:tx>
                <c:rich>
                  <a:bodyPr/>
                  <a:lstStyle/>
                  <a:p>
                    <a:fld id="{264EBC48-1D27-4E15-8F61-8E11FCE406C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F2B-459C-AC47-38F1A835D05B}"/>
                </c:ext>
              </c:extLst>
            </c:dLbl>
            <c:dLbl>
              <c:idx val="13"/>
              <c:tx>
                <c:rich>
                  <a:bodyPr/>
                  <a:lstStyle/>
                  <a:p>
                    <a:fld id="{AD24E199-D8D9-4065-BBCE-418B024AA63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F2B-459C-AC47-38F1A835D05B}"/>
                </c:ext>
              </c:extLst>
            </c:dLbl>
            <c:dLbl>
              <c:idx val="14"/>
              <c:tx>
                <c:rich>
                  <a:bodyPr/>
                  <a:lstStyle/>
                  <a:p>
                    <a:fld id="{02388BC9-250E-4D3A-B0F9-19857A5FF0D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F2B-459C-AC47-38F1A835D05B}"/>
                </c:ext>
              </c:extLst>
            </c:dLbl>
            <c:dLbl>
              <c:idx val="15"/>
              <c:tx>
                <c:rich>
                  <a:bodyPr/>
                  <a:lstStyle/>
                  <a:p>
                    <a:fld id="{24F79D1B-D92E-41AB-A845-0C3F366CF115}"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F2B-459C-AC47-38F1A835D05B}"/>
                </c:ext>
              </c:extLst>
            </c:dLbl>
            <c:dLbl>
              <c:idx val="16"/>
              <c:tx>
                <c:rich>
                  <a:bodyPr/>
                  <a:lstStyle/>
                  <a:p>
                    <a:fld id="{C5DCE0FB-86E1-467A-9A09-53027ACFD2A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F2B-459C-AC47-38F1A835D05B}"/>
                </c:ext>
              </c:extLst>
            </c:dLbl>
            <c:dLbl>
              <c:idx val="17"/>
              <c:tx>
                <c:rich>
                  <a:bodyPr/>
                  <a:lstStyle/>
                  <a:p>
                    <a:fld id="{2B424381-83F0-4D59-BEFC-C48692F2295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5C1-4C7A-88EA-67AAE2953991}"/>
                </c:ext>
              </c:extLst>
            </c:dLbl>
            <c:dLbl>
              <c:idx val="18"/>
              <c:tx>
                <c:rich>
                  <a:bodyPr/>
                  <a:lstStyle/>
                  <a:p>
                    <a:fld id="{CD61F6A7-3480-4FDE-99C1-7161DF8A22F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5C1-4C7A-88EA-67AAE295399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Resumen!$B$24:$B$42</c:f>
              <c:strCache>
                <c:ptCount val="19"/>
                <c:pt idx="0">
                  <c:v>Agricultura y desarrollo rural
</c:v>
                </c:pt>
                <c:pt idx="1">
                  <c:v>Ambiente y desarrollo sostenible</c:v>
                </c:pt>
                <c:pt idx="2">
                  <c:v>Ciencia, tecnología e innovación
</c:v>
                </c:pt>
                <c:pt idx="3">
                  <c:v>Comercio, industria y turismo</c:v>
                </c:pt>
                <c:pt idx="4">
                  <c:v>Cultura</c:v>
                </c:pt>
                <c:pt idx="5">
                  <c:v>Defensa y policía</c:v>
                </c:pt>
                <c:pt idx="6">
                  <c:v>Deporte y recreación</c:v>
                </c:pt>
                <c:pt idx="7">
                  <c:v>Educación</c:v>
                </c:pt>
                <c:pt idx="8">
                  <c:v>Gobierno territorial</c:v>
                </c:pt>
                <c:pt idx="9">
                  <c:v>Inclusión social y reconciliación </c:v>
                </c:pt>
                <c:pt idx="10">
                  <c:v>Información estadística</c:v>
                </c:pt>
                <c:pt idx="11">
                  <c:v>Justicia y del derecho</c:v>
                </c:pt>
                <c:pt idx="12">
                  <c:v>Minas y energía</c:v>
                </c:pt>
                <c:pt idx="13">
                  <c:v>Organismos de control</c:v>
                </c:pt>
                <c:pt idx="14">
                  <c:v>Salud y protección social</c:v>
                </c:pt>
                <c:pt idx="15">
                  <c:v>Tecnologías de la información y las comunicaciones</c:v>
                </c:pt>
                <c:pt idx="16">
                  <c:v>Trabajo</c:v>
                </c:pt>
                <c:pt idx="17">
                  <c:v>Transporte</c:v>
                </c:pt>
                <c:pt idx="18">
                  <c:v>Vivienda, ciudad y territorio</c:v>
                </c:pt>
              </c:strCache>
            </c:strRef>
          </c:cat>
          <c:val>
            <c:numRef>
              <c:f>Resumen!$H$24:$H$42</c:f>
              <c:numCache>
                <c:formatCode>#,##0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5="http://schemas.microsoft.com/office/drawing/2012/chart" uri="{02D57815-91ED-43cb-92C2-25804820EDAC}">
              <c15:datalabelsRange>
                <c15:f>Resumen!$I$24:$I$42</c15:f>
                <c15:dlblRangeCache>
                  <c:ptCount val="19"/>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pt idx="14">
                    <c:v>#¡DIV/0!</c:v>
                  </c:pt>
                  <c:pt idx="15">
                    <c:v>#¡DIV/0!</c:v>
                  </c:pt>
                  <c:pt idx="16">
                    <c:v>#¡DIV/0!</c:v>
                  </c:pt>
                  <c:pt idx="17">
                    <c:v>#¡DIV/0!</c:v>
                  </c:pt>
                  <c:pt idx="18">
                    <c:v>#¡DIV/0!</c:v>
                  </c:pt>
                </c15:dlblRangeCache>
              </c15:datalabelsRange>
            </c:ext>
            <c:ext xmlns:c16="http://schemas.microsoft.com/office/drawing/2014/chart" uri="{C3380CC4-5D6E-409C-BE32-E72D297353CC}">
              <c16:uniqueId val="{00000000-D22C-4ED8-BDA6-0A0B48D78EAC}"/>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Fuente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813606656108496"/>
          <c:y val="0.11659932659932661"/>
          <c:w val="0.66195950718624774"/>
          <c:h val="0.81071263819295314"/>
        </c:manualLayout>
      </c:layout>
      <c:barChart>
        <c:barDir val="bar"/>
        <c:grouping val="clustered"/>
        <c:varyColors val="0"/>
        <c:ser>
          <c:idx val="0"/>
          <c:order val="0"/>
          <c:spPr>
            <a:solidFill>
              <a:srgbClr val="60B99A"/>
            </a:solidFill>
            <a:ln>
              <a:noFill/>
            </a:ln>
            <a:effectLst/>
          </c:spPr>
          <c:invertIfNegative val="0"/>
          <c:dLbls>
            <c:dLbl>
              <c:idx val="0"/>
              <c:tx>
                <c:rich>
                  <a:bodyPr/>
                  <a:lstStyle/>
                  <a:p>
                    <a:fld id="{AF31F109-E2A0-474B-B3A5-3A9A5DB496FC}"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617-4F11-BAC5-7BA1F1DD7D9F}"/>
                </c:ext>
              </c:extLst>
            </c:dLbl>
            <c:dLbl>
              <c:idx val="1"/>
              <c:tx>
                <c:rich>
                  <a:bodyPr/>
                  <a:lstStyle/>
                  <a:p>
                    <a:fld id="{060257C4-140B-42A8-A2D9-38EFBC2E755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617-4F11-BAC5-7BA1F1DD7D9F}"/>
                </c:ext>
              </c:extLst>
            </c:dLbl>
            <c:dLbl>
              <c:idx val="2"/>
              <c:tx>
                <c:rich>
                  <a:bodyPr/>
                  <a:lstStyle/>
                  <a:p>
                    <a:fld id="{7C94BC16-5003-41C8-B7A4-4542297968E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617-4F11-BAC5-7BA1F1DD7D9F}"/>
                </c:ext>
              </c:extLst>
            </c:dLbl>
            <c:dLbl>
              <c:idx val="3"/>
              <c:tx>
                <c:rich>
                  <a:bodyPr/>
                  <a:lstStyle/>
                  <a:p>
                    <a:fld id="{E6150B31-7895-4C1C-8C69-A84BDDD5300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617-4F11-BAC5-7BA1F1DD7D9F}"/>
                </c:ext>
              </c:extLst>
            </c:dLbl>
            <c:dLbl>
              <c:idx val="4"/>
              <c:tx>
                <c:rich>
                  <a:bodyPr/>
                  <a:lstStyle/>
                  <a:p>
                    <a:fld id="{C19A5466-F034-47EE-941A-5F0A3869D00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617-4F11-BAC5-7BA1F1DD7D9F}"/>
                </c:ext>
              </c:extLst>
            </c:dLbl>
            <c:dLbl>
              <c:idx val="5"/>
              <c:tx>
                <c:rich>
                  <a:bodyPr/>
                  <a:lstStyle/>
                  <a:p>
                    <a:fld id="{5947835D-2CD4-4DFF-BC64-45F77FD0F88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617-4F11-BAC5-7BA1F1DD7D9F}"/>
                </c:ext>
              </c:extLst>
            </c:dLbl>
            <c:dLbl>
              <c:idx val="6"/>
              <c:tx>
                <c:rich>
                  <a:bodyPr/>
                  <a:lstStyle/>
                  <a:p>
                    <a:fld id="{52049E1F-F3E6-430C-AD4C-7504BB5ABB8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617-4F11-BAC5-7BA1F1DD7D9F}"/>
                </c:ext>
              </c:extLst>
            </c:dLbl>
            <c:dLbl>
              <c:idx val="7"/>
              <c:tx>
                <c:rich>
                  <a:bodyPr/>
                  <a:lstStyle/>
                  <a:p>
                    <a:fld id="{EFD07103-F02D-40DF-92C7-414533F835F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617-4F11-BAC5-7BA1F1DD7D9F}"/>
                </c:ext>
              </c:extLst>
            </c:dLbl>
            <c:dLbl>
              <c:idx val="8"/>
              <c:tx>
                <c:rich>
                  <a:bodyPr/>
                  <a:lstStyle/>
                  <a:p>
                    <a:fld id="{8D9C4F3B-D655-4FC5-A40C-231B90085D6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617-4F11-BAC5-7BA1F1DD7D9F}"/>
                </c:ext>
              </c:extLst>
            </c:dLbl>
            <c:dLbl>
              <c:idx val="9"/>
              <c:tx>
                <c:rich>
                  <a:bodyPr/>
                  <a:lstStyle/>
                  <a:p>
                    <a:fld id="{5C0CDC46-A759-4ED3-A91F-E795A25EAC58}"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617-4F11-BAC5-7BA1F1DD7D9F}"/>
                </c:ext>
              </c:extLst>
            </c:dLbl>
            <c:dLbl>
              <c:idx val="10"/>
              <c:tx>
                <c:rich>
                  <a:bodyPr/>
                  <a:lstStyle/>
                  <a:p>
                    <a:fld id="{1DA2A256-7981-40DD-B0CD-1B491907602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617-4F11-BAC5-7BA1F1DD7D9F}"/>
                </c:ext>
              </c:extLst>
            </c:dLbl>
            <c:dLbl>
              <c:idx val="11"/>
              <c:tx>
                <c:rich>
                  <a:bodyPr/>
                  <a:lstStyle/>
                  <a:p>
                    <a:fld id="{52AFE0E4-2604-44D2-A878-1E251E0083B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617-4F11-BAC5-7BA1F1DD7D9F}"/>
                </c:ext>
              </c:extLst>
            </c:dLbl>
            <c:dLbl>
              <c:idx val="12"/>
              <c:tx>
                <c:rich>
                  <a:bodyPr/>
                  <a:lstStyle/>
                  <a:p>
                    <a:fld id="{AEFD0834-552C-445A-84EF-D2E10976A9C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617-4F11-BAC5-7BA1F1DD7D9F}"/>
                </c:ext>
              </c:extLst>
            </c:dLbl>
            <c:dLbl>
              <c:idx val="13"/>
              <c:tx>
                <c:rich>
                  <a:bodyPr/>
                  <a:lstStyle/>
                  <a:p>
                    <a:fld id="{25901E1D-616C-4851-B06C-C50099DBE46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617-4F11-BAC5-7BA1F1DD7D9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Resumen!$B$43:$B$56</c:f>
              <c:strCache>
                <c:ptCount val="14"/>
                <c:pt idx="0">
                  <c:v>Recursos propios</c:v>
                </c:pt>
                <c:pt idx="1">
                  <c:v>SGP educación</c:v>
                </c:pt>
                <c:pt idx="2">
                  <c:v>SGP salud</c:v>
                </c:pt>
                <c:pt idx="3">
                  <c:v>SGP deporte</c:v>
                </c:pt>
                <c:pt idx="4">
                  <c:v>SGP cultura</c:v>
                </c:pt>
                <c:pt idx="5">
                  <c:v>SGP libre inversión</c:v>
                </c:pt>
                <c:pt idx="6">
                  <c:v>SGP libre destinación</c:v>
                </c:pt>
                <c:pt idx="7">
                  <c:v>SGP alimentación escolar</c:v>
                </c:pt>
                <c:pt idx="8">
                  <c:v>SGP municipios Rio Magdalena</c:v>
                </c:pt>
                <c:pt idx="9">
                  <c:v>SGP APSB</c:v>
                </c:pt>
                <c:pt idx="10">
                  <c:v>Crédito</c:v>
                </c:pt>
                <c:pt idx="11">
                  <c:v>Transf. capital - Cof. departamento</c:v>
                </c:pt>
                <c:pt idx="12">
                  <c:v>Transf. capital - Cof. Nación</c:v>
                </c:pt>
                <c:pt idx="13">
                  <c:v>Otros</c:v>
                </c:pt>
              </c:strCache>
            </c:strRef>
          </c:cat>
          <c:val>
            <c:numRef>
              <c:f>Resumen!$H$43:$H$56</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5="http://schemas.microsoft.com/office/drawing/2012/chart" uri="{02D57815-91ED-43cb-92C2-25804820EDAC}">
              <c15:datalabelsRange>
                <c15:f>Resumen!$I$43:$I$56</c15:f>
                <c15:dlblRangeCache>
                  <c:ptCount val="14"/>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15:dlblRangeCache>
              </c15:datalabelsRange>
            </c:ext>
            <c:ext xmlns:c16="http://schemas.microsoft.com/office/drawing/2014/chart" uri="{C3380CC4-5D6E-409C-BE32-E72D297353CC}">
              <c16:uniqueId val="{00000000-2975-4577-BF15-5AE863F38509}"/>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ODS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30024638334349618"/>
          <c:y val="0.11659932659932661"/>
          <c:w val="0.64307378244386126"/>
          <c:h val="0.81071263819295314"/>
        </c:manualLayout>
      </c:layout>
      <c:barChart>
        <c:barDir val="bar"/>
        <c:grouping val="clustered"/>
        <c:varyColors val="0"/>
        <c:ser>
          <c:idx val="0"/>
          <c:order val="0"/>
          <c:spPr>
            <a:solidFill>
              <a:srgbClr val="E5243B"/>
            </a:solidFill>
            <a:ln>
              <a:noFill/>
            </a:ln>
            <a:effectLst/>
          </c:spPr>
          <c:invertIfNegative val="0"/>
          <c:dPt>
            <c:idx val="1"/>
            <c:invertIfNegative val="0"/>
            <c:bubble3D val="0"/>
            <c:spPr>
              <a:solidFill>
                <a:srgbClr val="DDA83A"/>
              </a:solidFill>
              <a:ln>
                <a:noFill/>
              </a:ln>
              <a:effectLst/>
            </c:spPr>
            <c:extLst>
              <c:ext xmlns:c16="http://schemas.microsoft.com/office/drawing/2014/chart" uri="{C3380CC4-5D6E-409C-BE32-E72D297353CC}">
                <c16:uniqueId val="{00000001-53F3-4BB8-BEDE-49888A2550F4}"/>
              </c:ext>
            </c:extLst>
          </c:dPt>
          <c:dPt>
            <c:idx val="2"/>
            <c:invertIfNegative val="0"/>
            <c:bubble3D val="0"/>
            <c:spPr>
              <a:solidFill>
                <a:srgbClr val="4C9F38"/>
              </a:solidFill>
              <a:ln>
                <a:noFill/>
              </a:ln>
              <a:effectLst/>
            </c:spPr>
            <c:extLst>
              <c:ext xmlns:c16="http://schemas.microsoft.com/office/drawing/2014/chart" uri="{C3380CC4-5D6E-409C-BE32-E72D297353CC}">
                <c16:uniqueId val="{00000002-53F3-4BB8-BEDE-49888A2550F4}"/>
              </c:ext>
            </c:extLst>
          </c:dPt>
          <c:dPt>
            <c:idx val="3"/>
            <c:invertIfNegative val="0"/>
            <c:bubble3D val="0"/>
            <c:spPr>
              <a:solidFill>
                <a:srgbClr val="C5192D"/>
              </a:solidFill>
              <a:ln>
                <a:noFill/>
              </a:ln>
              <a:effectLst/>
            </c:spPr>
            <c:extLst>
              <c:ext xmlns:c16="http://schemas.microsoft.com/office/drawing/2014/chart" uri="{C3380CC4-5D6E-409C-BE32-E72D297353CC}">
                <c16:uniqueId val="{00000003-53F3-4BB8-BEDE-49888A2550F4}"/>
              </c:ext>
            </c:extLst>
          </c:dPt>
          <c:dPt>
            <c:idx val="4"/>
            <c:invertIfNegative val="0"/>
            <c:bubble3D val="0"/>
            <c:spPr>
              <a:solidFill>
                <a:srgbClr val="FF3A21"/>
              </a:solidFill>
              <a:ln>
                <a:noFill/>
              </a:ln>
              <a:effectLst/>
            </c:spPr>
            <c:extLst>
              <c:ext xmlns:c16="http://schemas.microsoft.com/office/drawing/2014/chart" uri="{C3380CC4-5D6E-409C-BE32-E72D297353CC}">
                <c16:uniqueId val="{00000004-53F3-4BB8-BEDE-49888A2550F4}"/>
              </c:ext>
            </c:extLst>
          </c:dPt>
          <c:dPt>
            <c:idx val="5"/>
            <c:invertIfNegative val="0"/>
            <c:bubble3D val="0"/>
            <c:spPr>
              <a:solidFill>
                <a:srgbClr val="26BDE2"/>
              </a:solidFill>
              <a:ln>
                <a:noFill/>
              </a:ln>
              <a:effectLst/>
            </c:spPr>
            <c:extLst>
              <c:ext xmlns:c16="http://schemas.microsoft.com/office/drawing/2014/chart" uri="{C3380CC4-5D6E-409C-BE32-E72D297353CC}">
                <c16:uniqueId val="{00000005-53F3-4BB8-BEDE-49888A2550F4}"/>
              </c:ext>
            </c:extLst>
          </c:dPt>
          <c:dPt>
            <c:idx val="6"/>
            <c:invertIfNegative val="0"/>
            <c:bubble3D val="0"/>
            <c:spPr>
              <a:solidFill>
                <a:srgbClr val="FCC30B"/>
              </a:solidFill>
              <a:ln>
                <a:noFill/>
              </a:ln>
              <a:effectLst/>
            </c:spPr>
            <c:extLst>
              <c:ext xmlns:c16="http://schemas.microsoft.com/office/drawing/2014/chart" uri="{C3380CC4-5D6E-409C-BE32-E72D297353CC}">
                <c16:uniqueId val="{00000006-53F3-4BB8-BEDE-49888A2550F4}"/>
              </c:ext>
            </c:extLst>
          </c:dPt>
          <c:dPt>
            <c:idx val="7"/>
            <c:invertIfNegative val="0"/>
            <c:bubble3D val="0"/>
            <c:spPr>
              <a:solidFill>
                <a:srgbClr val="A21942"/>
              </a:solidFill>
              <a:ln>
                <a:noFill/>
              </a:ln>
              <a:effectLst/>
            </c:spPr>
            <c:extLst>
              <c:ext xmlns:c16="http://schemas.microsoft.com/office/drawing/2014/chart" uri="{C3380CC4-5D6E-409C-BE32-E72D297353CC}">
                <c16:uniqueId val="{00000007-53F3-4BB8-BEDE-49888A2550F4}"/>
              </c:ext>
            </c:extLst>
          </c:dPt>
          <c:dPt>
            <c:idx val="8"/>
            <c:invertIfNegative val="0"/>
            <c:bubble3D val="0"/>
            <c:spPr>
              <a:solidFill>
                <a:srgbClr val="FD6925"/>
              </a:solidFill>
              <a:ln>
                <a:noFill/>
              </a:ln>
              <a:effectLst/>
            </c:spPr>
            <c:extLst>
              <c:ext xmlns:c16="http://schemas.microsoft.com/office/drawing/2014/chart" uri="{C3380CC4-5D6E-409C-BE32-E72D297353CC}">
                <c16:uniqueId val="{00000008-53F3-4BB8-BEDE-49888A2550F4}"/>
              </c:ext>
            </c:extLst>
          </c:dPt>
          <c:dPt>
            <c:idx val="9"/>
            <c:invertIfNegative val="0"/>
            <c:bubble3D val="0"/>
            <c:spPr>
              <a:solidFill>
                <a:srgbClr val="DD1367"/>
              </a:solidFill>
              <a:ln>
                <a:noFill/>
              </a:ln>
              <a:effectLst/>
            </c:spPr>
            <c:extLst>
              <c:ext xmlns:c16="http://schemas.microsoft.com/office/drawing/2014/chart" uri="{C3380CC4-5D6E-409C-BE32-E72D297353CC}">
                <c16:uniqueId val="{00000009-53F3-4BB8-BEDE-49888A2550F4}"/>
              </c:ext>
            </c:extLst>
          </c:dPt>
          <c:dPt>
            <c:idx val="10"/>
            <c:invertIfNegative val="0"/>
            <c:bubble3D val="0"/>
            <c:spPr>
              <a:solidFill>
                <a:srgbClr val="FD9D24"/>
              </a:solidFill>
              <a:ln>
                <a:noFill/>
              </a:ln>
              <a:effectLst/>
            </c:spPr>
            <c:extLst>
              <c:ext xmlns:c16="http://schemas.microsoft.com/office/drawing/2014/chart" uri="{C3380CC4-5D6E-409C-BE32-E72D297353CC}">
                <c16:uniqueId val="{0000000A-53F3-4BB8-BEDE-49888A2550F4}"/>
              </c:ext>
            </c:extLst>
          </c:dPt>
          <c:dPt>
            <c:idx val="11"/>
            <c:invertIfNegative val="0"/>
            <c:bubble3D val="0"/>
            <c:spPr>
              <a:solidFill>
                <a:srgbClr val="BF8B2E"/>
              </a:solidFill>
              <a:ln>
                <a:noFill/>
              </a:ln>
              <a:effectLst/>
            </c:spPr>
            <c:extLst>
              <c:ext xmlns:c16="http://schemas.microsoft.com/office/drawing/2014/chart" uri="{C3380CC4-5D6E-409C-BE32-E72D297353CC}">
                <c16:uniqueId val="{0000000B-53F3-4BB8-BEDE-49888A2550F4}"/>
              </c:ext>
            </c:extLst>
          </c:dPt>
          <c:dPt>
            <c:idx val="12"/>
            <c:invertIfNegative val="0"/>
            <c:bubble3D val="0"/>
            <c:spPr>
              <a:solidFill>
                <a:srgbClr val="3F7E44"/>
              </a:solidFill>
              <a:ln>
                <a:noFill/>
              </a:ln>
              <a:effectLst/>
            </c:spPr>
            <c:extLst>
              <c:ext xmlns:c16="http://schemas.microsoft.com/office/drawing/2014/chart" uri="{C3380CC4-5D6E-409C-BE32-E72D297353CC}">
                <c16:uniqueId val="{0000000C-53F3-4BB8-BEDE-49888A2550F4}"/>
              </c:ext>
            </c:extLst>
          </c:dPt>
          <c:dPt>
            <c:idx val="13"/>
            <c:invertIfNegative val="0"/>
            <c:bubble3D val="0"/>
            <c:spPr>
              <a:solidFill>
                <a:srgbClr val="0A97D9"/>
              </a:solidFill>
              <a:ln>
                <a:noFill/>
              </a:ln>
              <a:effectLst/>
            </c:spPr>
            <c:extLst>
              <c:ext xmlns:c16="http://schemas.microsoft.com/office/drawing/2014/chart" uri="{C3380CC4-5D6E-409C-BE32-E72D297353CC}">
                <c16:uniqueId val="{0000000D-53F3-4BB8-BEDE-49888A2550F4}"/>
              </c:ext>
            </c:extLst>
          </c:dPt>
          <c:dPt>
            <c:idx val="14"/>
            <c:invertIfNegative val="0"/>
            <c:bubble3D val="0"/>
            <c:spPr>
              <a:solidFill>
                <a:srgbClr val="56C02B"/>
              </a:solidFill>
              <a:ln>
                <a:noFill/>
              </a:ln>
              <a:effectLst/>
            </c:spPr>
            <c:extLst>
              <c:ext xmlns:c16="http://schemas.microsoft.com/office/drawing/2014/chart" uri="{C3380CC4-5D6E-409C-BE32-E72D297353CC}">
                <c16:uniqueId val="{0000000E-53F3-4BB8-BEDE-49888A2550F4}"/>
              </c:ext>
            </c:extLst>
          </c:dPt>
          <c:dPt>
            <c:idx val="15"/>
            <c:invertIfNegative val="0"/>
            <c:bubble3D val="0"/>
            <c:spPr>
              <a:solidFill>
                <a:srgbClr val="00689D"/>
              </a:solidFill>
              <a:ln>
                <a:noFill/>
              </a:ln>
              <a:effectLst/>
            </c:spPr>
            <c:extLst>
              <c:ext xmlns:c16="http://schemas.microsoft.com/office/drawing/2014/chart" uri="{C3380CC4-5D6E-409C-BE32-E72D297353CC}">
                <c16:uniqueId val="{0000000F-53F3-4BB8-BEDE-49888A2550F4}"/>
              </c:ext>
            </c:extLst>
          </c:dPt>
          <c:dPt>
            <c:idx val="16"/>
            <c:invertIfNegative val="0"/>
            <c:bubble3D val="0"/>
            <c:spPr>
              <a:solidFill>
                <a:srgbClr val="19486A"/>
              </a:solidFill>
              <a:ln>
                <a:noFill/>
              </a:ln>
              <a:effectLst/>
            </c:spPr>
            <c:extLst>
              <c:ext xmlns:c16="http://schemas.microsoft.com/office/drawing/2014/chart" uri="{C3380CC4-5D6E-409C-BE32-E72D297353CC}">
                <c16:uniqueId val="{00000010-53F3-4BB8-BEDE-49888A2550F4}"/>
              </c:ext>
            </c:extLst>
          </c:dPt>
          <c:dLbls>
            <c:dLbl>
              <c:idx val="0"/>
              <c:tx>
                <c:rich>
                  <a:bodyPr/>
                  <a:lstStyle/>
                  <a:p>
                    <a:fld id="{95F31C71-4B0F-44BE-A7A2-79BFF34C705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CBBC-46F3-A28A-52E739701722}"/>
                </c:ext>
              </c:extLst>
            </c:dLbl>
            <c:dLbl>
              <c:idx val="1"/>
              <c:tx>
                <c:rich>
                  <a:bodyPr/>
                  <a:lstStyle/>
                  <a:p>
                    <a:fld id="{4543A26A-DD93-4AE9-B989-8EA46ECEE43E}"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3F3-4BB8-BEDE-49888A2550F4}"/>
                </c:ext>
              </c:extLst>
            </c:dLbl>
            <c:dLbl>
              <c:idx val="2"/>
              <c:tx>
                <c:rich>
                  <a:bodyPr/>
                  <a:lstStyle/>
                  <a:p>
                    <a:fld id="{87A535A8-5761-43E1-B6E0-9EA25E7B8FB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3F3-4BB8-BEDE-49888A2550F4}"/>
                </c:ext>
              </c:extLst>
            </c:dLbl>
            <c:dLbl>
              <c:idx val="3"/>
              <c:tx>
                <c:rich>
                  <a:bodyPr/>
                  <a:lstStyle/>
                  <a:p>
                    <a:fld id="{B9C2BA72-5580-45B0-8CE4-7E2D896CE42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3F3-4BB8-BEDE-49888A2550F4}"/>
                </c:ext>
              </c:extLst>
            </c:dLbl>
            <c:dLbl>
              <c:idx val="4"/>
              <c:tx>
                <c:rich>
                  <a:bodyPr/>
                  <a:lstStyle/>
                  <a:p>
                    <a:fld id="{D9951E17-7184-41F5-8859-B856DFC73890}"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3F3-4BB8-BEDE-49888A2550F4}"/>
                </c:ext>
              </c:extLst>
            </c:dLbl>
            <c:dLbl>
              <c:idx val="5"/>
              <c:tx>
                <c:rich>
                  <a:bodyPr/>
                  <a:lstStyle/>
                  <a:p>
                    <a:fld id="{0791B2CB-C2DC-4BCB-9A09-90D145631DB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3F3-4BB8-BEDE-49888A2550F4}"/>
                </c:ext>
              </c:extLst>
            </c:dLbl>
            <c:dLbl>
              <c:idx val="6"/>
              <c:tx>
                <c:rich>
                  <a:bodyPr/>
                  <a:lstStyle/>
                  <a:p>
                    <a:fld id="{7F6CE039-90F7-471C-9102-3B58031251D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3F3-4BB8-BEDE-49888A2550F4}"/>
                </c:ext>
              </c:extLst>
            </c:dLbl>
            <c:dLbl>
              <c:idx val="7"/>
              <c:tx>
                <c:rich>
                  <a:bodyPr/>
                  <a:lstStyle/>
                  <a:p>
                    <a:fld id="{E1E466B3-A6F8-46A9-8271-B2855043A5A5}"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3F3-4BB8-BEDE-49888A2550F4}"/>
                </c:ext>
              </c:extLst>
            </c:dLbl>
            <c:dLbl>
              <c:idx val="8"/>
              <c:tx>
                <c:rich>
                  <a:bodyPr/>
                  <a:lstStyle/>
                  <a:p>
                    <a:fld id="{27836B91-7814-48CE-8062-A6EF713AC21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3F3-4BB8-BEDE-49888A2550F4}"/>
                </c:ext>
              </c:extLst>
            </c:dLbl>
            <c:dLbl>
              <c:idx val="9"/>
              <c:tx>
                <c:rich>
                  <a:bodyPr/>
                  <a:lstStyle/>
                  <a:p>
                    <a:fld id="{2183AA1C-B8ED-4273-BBAC-88BDCAE4EC8E}"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3F3-4BB8-BEDE-49888A2550F4}"/>
                </c:ext>
              </c:extLst>
            </c:dLbl>
            <c:dLbl>
              <c:idx val="10"/>
              <c:tx>
                <c:rich>
                  <a:bodyPr/>
                  <a:lstStyle/>
                  <a:p>
                    <a:fld id="{381D3F61-5D17-48B1-8110-EDB4FC3A8F5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3F3-4BB8-BEDE-49888A2550F4}"/>
                </c:ext>
              </c:extLst>
            </c:dLbl>
            <c:dLbl>
              <c:idx val="11"/>
              <c:tx>
                <c:rich>
                  <a:bodyPr/>
                  <a:lstStyle/>
                  <a:p>
                    <a:fld id="{E2C84284-2FA7-4373-85D0-589B521ADF6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3F3-4BB8-BEDE-49888A2550F4}"/>
                </c:ext>
              </c:extLst>
            </c:dLbl>
            <c:dLbl>
              <c:idx val="12"/>
              <c:tx>
                <c:rich>
                  <a:bodyPr/>
                  <a:lstStyle/>
                  <a:p>
                    <a:fld id="{236AD458-E866-4359-8F6D-A09CD15AD8E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3F3-4BB8-BEDE-49888A2550F4}"/>
                </c:ext>
              </c:extLst>
            </c:dLbl>
            <c:dLbl>
              <c:idx val="13"/>
              <c:tx>
                <c:rich>
                  <a:bodyPr/>
                  <a:lstStyle/>
                  <a:p>
                    <a:fld id="{E89234FE-5B6A-4C7D-B29E-452F182B50B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3F3-4BB8-BEDE-49888A2550F4}"/>
                </c:ext>
              </c:extLst>
            </c:dLbl>
            <c:dLbl>
              <c:idx val="14"/>
              <c:tx>
                <c:rich>
                  <a:bodyPr/>
                  <a:lstStyle/>
                  <a:p>
                    <a:fld id="{64806DC4-E469-4B7B-9803-714270098FA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3F3-4BB8-BEDE-49888A2550F4}"/>
                </c:ext>
              </c:extLst>
            </c:dLbl>
            <c:dLbl>
              <c:idx val="15"/>
              <c:tx>
                <c:rich>
                  <a:bodyPr/>
                  <a:lstStyle/>
                  <a:p>
                    <a:fld id="{621E1A9D-54EA-4323-A6BB-446764CDD87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3F3-4BB8-BEDE-49888A2550F4}"/>
                </c:ext>
              </c:extLst>
            </c:dLbl>
            <c:dLbl>
              <c:idx val="16"/>
              <c:tx>
                <c:rich>
                  <a:bodyPr/>
                  <a:lstStyle/>
                  <a:p>
                    <a:fld id="{B76DF89F-72E3-4BA4-8D08-089348A0218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3F3-4BB8-BEDE-49888A2550F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Resumen!$B$57:$B$73</c:f>
              <c:strCache>
                <c:ptCount val="17"/>
                <c:pt idx="0">
                  <c:v>1. Fin de la pobreza</c:v>
                </c:pt>
                <c:pt idx="1">
                  <c:v>2. Hambre cero</c:v>
                </c:pt>
                <c:pt idx="2">
                  <c:v>3. Salud y bienestar</c:v>
                </c:pt>
                <c:pt idx="3">
                  <c:v>4. Educación de calidad</c:v>
                </c:pt>
                <c:pt idx="4">
                  <c:v>5. Igualdad de género</c:v>
                </c:pt>
                <c:pt idx="5">
                  <c:v>6. Agua limpia y saneamiento</c:v>
                </c:pt>
                <c:pt idx="6">
                  <c:v>7. Energía asequible y no contaminante</c:v>
                </c:pt>
                <c:pt idx="7">
                  <c:v>8. Trabajo decente y crecimiento económico</c:v>
                </c:pt>
                <c:pt idx="8">
                  <c:v>9. Industria, innovación e infraestructura</c:v>
                </c:pt>
                <c:pt idx="9">
                  <c:v>10. Reducción de las desigualdades</c:v>
                </c:pt>
                <c:pt idx="10">
                  <c:v>11. Ciudades y comunidades sostenibles</c:v>
                </c:pt>
                <c:pt idx="11">
                  <c:v>12. Producción y consumo responsables</c:v>
                </c:pt>
                <c:pt idx="12">
                  <c:v>13. Acción por el clima</c:v>
                </c:pt>
                <c:pt idx="13">
                  <c:v>14. Vida submarina</c:v>
                </c:pt>
                <c:pt idx="14">
                  <c:v>15. Vida de ecosistemas terrestres</c:v>
                </c:pt>
                <c:pt idx="15">
                  <c:v>16. Paz, justicia e instituciones sólidas</c:v>
                </c:pt>
                <c:pt idx="16">
                  <c:v>17. Alianzas para lograr los objetivos</c:v>
                </c:pt>
              </c:strCache>
            </c:strRef>
          </c:cat>
          <c:val>
            <c:numRef>
              <c:f>Resumen!$H$57:$H$73</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5="http://schemas.microsoft.com/office/drawing/2012/chart" uri="{02D57815-91ED-43cb-92C2-25804820EDAC}">
              <c15:datalabelsRange>
                <c15:f>Resumen!$I$57:$I$73</c15:f>
                <c15:dlblRangeCache>
                  <c:ptCount val="17"/>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pt idx="14">
                    <c:v>#¡DIV/0!</c:v>
                  </c:pt>
                  <c:pt idx="15">
                    <c:v>#¡DIV/0!</c:v>
                  </c:pt>
                  <c:pt idx="16">
                    <c:v>#¡DIV/0!</c:v>
                  </c:pt>
                </c15:dlblRangeCache>
              </c15:datalabelsRange>
            </c:ext>
            <c:ext xmlns:c16="http://schemas.microsoft.com/office/drawing/2014/chart" uri="{C3380CC4-5D6E-409C-BE32-E72D297353CC}">
              <c16:uniqueId val="{00000000-53F3-4BB8-BEDE-49888A2550F4}"/>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línea estratégica*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7898671917919748"/>
          <c:y val="0.11659932659932661"/>
          <c:w val="0.66433337949485105"/>
          <c:h val="0.83710667416572926"/>
        </c:manualLayout>
      </c:layout>
      <c:barChart>
        <c:barDir val="bar"/>
        <c:grouping val="clustered"/>
        <c:varyColors val="0"/>
        <c:ser>
          <c:idx val="0"/>
          <c:order val="0"/>
          <c:spPr>
            <a:solidFill>
              <a:srgbClr val="60B99A"/>
            </a:solidFill>
            <a:ln>
              <a:noFill/>
            </a:ln>
            <a:effectLst/>
          </c:spPr>
          <c:invertIfNegative val="0"/>
          <c:dLbls>
            <c:dLbl>
              <c:idx val="0"/>
              <c:tx>
                <c:rich>
                  <a:bodyPr/>
                  <a:lstStyle/>
                  <a:p>
                    <a:fld id="{49A901A0-6390-4DDB-B0B9-E75752929833}" type="CELLRANGE">
                      <a:rPr lang="en-US"/>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3F4-43EE-A6A9-753ABBA3EEF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[0]!nombreslineasest</c:f>
              <c:strCache>
                <c:ptCount val="1"/>
                <c:pt idx="0">
                  <c:v>NA</c:v>
                </c:pt>
              </c:strCache>
            </c:strRef>
          </c:cat>
          <c:val>
            <c:numRef>
              <c:f>[0]!valoreslineasest</c:f>
              <c:numCache>
                <c:formatCode>#,##0</c:formatCode>
                <c:ptCount val="1"/>
                <c:pt idx="0">
                  <c:v>0</c:v>
                </c:pt>
              </c:numCache>
            </c:numRef>
          </c:val>
          <c:extLst>
            <c:ext xmlns:c15="http://schemas.microsoft.com/office/drawing/2012/chart" uri="{02D57815-91ED-43cb-92C2-25804820EDAC}">
              <c15:datalabelsRange>
                <c15:f>Resumen!$W$7:$W$75</c15:f>
                <c15:dlblRangeCache>
                  <c:ptCount val="69"/>
                </c15:dlblRangeCache>
              </c15:datalabelsRange>
            </c:ext>
            <c:ext xmlns:c16="http://schemas.microsoft.com/office/drawing/2014/chart" uri="{C3380CC4-5D6E-409C-BE32-E72D297353CC}">
              <c16:uniqueId val="{00000020-EAAB-468A-8713-3B6913F63213}"/>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0"/>
    <c:dispBlanksAs val="gap"/>
    <c:showDLblsOverMax val="0"/>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400018957477453"/>
          <c:y val="1.4814814814814815E-2"/>
          <c:w val="0.38169262531008191"/>
          <c:h val="0.96296296296296291"/>
        </c:manualLayout>
      </c:layout>
      <c:pieChart>
        <c:varyColors val="1"/>
        <c:ser>
          <c:idx val="0"/>
          <c:order val="0"/>
          <c:spPr>
            <a:solidFill>
              <a:srgbClr val="C373B6"/>
            </a:solidFill>
            <a:ln>
              <a:noFill/>
            </a:ln>
          </c:spPr>
          <c:dPt>
            <c:idx val="0"/>
            <c:bubble3D val="0"/>
            <c:spPr>
              <a:solidFill>
                <a:srgbClr val="A65CC4"/>
              </a:solidFill>
              <a:ln w="19050">
                <a:noFill/>
              </a:ln>
              <a:effectLst/>
            </c:spPr>
            <c:extLst>
              <c:ext xmlns:c16="http://schemas.microsoft.com/office/drawing/2014/chart" uri="{C3380CC4-5D6E-409C-BE32-E72D297353CC}">
                <c16:uniqueId val="{00000001-772A-4EA5-895F-383FD42FDA66}"/>
              </c:ext>
            </c:extLst>
          </c:dPt>
          <c:dPt>
            <c:idx val="1"/>
            <c:bubble3D val="0"/>
            <c:spPr>
              <a:solidFill>
                <a:srgbClr val="D165AA"/>
              </a:solidFill>
              <a:ln w="19050">
                <a:noFill/>
              </a:ln>
              <a:effectLst/>
            </c:spPr>
            <c:extLst>
              <c:ext xmlns:c16="http://schemas.microsoft.com/office/drawing/2014/chart" uri="{C3380CC4-5D6E-409C-BE32-E72D297353CC}">
                <c16:uniqueId val="{00000003-772A-4EA5-895F-383FD42FDA66}"/>
              </c:ext>
            </c:extLst>
          </c:dPt>
          <c:dPt>
            <c:idx val="2"/>
            <c:bubble3D val="0"/>
            <c:spPr>
              <a:solidFill>
                <a:srgbClr val="E68297"/>
              </a:solidFill>
              <a:ln w="19050">
                <a:noFill/>
              </a:ln>
              <a:effectLst/>
            </c:spPr>
            <c:extLst>
              <c:ext xmlns:c16="http://schemas.microsoft.com/office/drawing/2014/chart" uri="{C3380CC4-5D6E-409C-BE32-E72D297353CC}">
                <c16:uniqueId val="{00000005-772A-4EA5-895F-383FD42FDA66}"/>
              </c:ext>
            </c:extLst>
          </c:dPt>
          <c:dPt>
            <c:idx val="3"/>
            <c:bubble3D val="0"/>
            <c:spPr>
              <a:solidFill>
                <a:srgbClr val="F8A39A"/>
              </a:solidFill>
              <a:ln w="19050">
                <a:noFill/>
              </a:ln>
              <a:effectLst/>
            </c:spPr>
            <c:extLst>
              <c:ext xmlns:c16="http://schemas.microsoft.com/office/drawing/2014/chart" uri="{C3380CC4-5D6E-409C-BE32-E72D297353CC}">
                <c16:uniqueId val="{00000007-772A-4EA5-895F-383FD42FDA66}"/>
              </c:ext>
            </c:extLst>
          </c:dPt>
          <c:dPt>
            <c:idx val="4"/>
            <c:bubble3D val="0"/>
            <c:spPr>
              <a:solidFill>
                <a:srgbClr val="FBC997"/>
              </a:solidFill>
              <a:ln w="19050">
                <a:noFill/>
              </a:ln>
              <a:effectLst/>
            </c:spPr>
            <c:extLst>
              <c:ext xmlns:c16="http://schemas.microsoft.com/office/drawing/2014/chart" uri="{C3380CC4-5D6E-409C-BE32-E72D297353CC}">
                <c16:uniqueId val="{00000009-772A-4EA5-895F-383FD42FDA66}"/>
              </c:ext>
            </c:extLst>
          </c:dPt>
          <c:dPt>
            <c:idx val="5"/>
            <c:bubble3D val="0"/>
            <c:spPr>
              <a:solidFill>
                <a:srgbClr val="ADEC9E"/>
              </a:solidFill>
              <a:ln w="19050">
                <a:noFill/>
              </a:ln>
              <a:effectLst/>
            </c:spPr>
            <c:extLst>
              <c:ext xmlns:c16="http://schemas.microsoft.com/office/drawing/2014/chart" uri="{C3380CC4-5D6E-409C-BE32-E72D297353CC}">
                <c16:uniqueId val="{0000000B-9686-43CC-A90F-CD97B669F8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Resumen!$B$95:$B$100</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A-772A-4EA5-895F-383FD42FDA66}"/>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0</xdr:col>
      <xdr:colOff>249554</xdr:colOff>
      <xdr:row>0</xdr:row>
      <xdr:rowOff>171450</xdr:rowOff>
    </xdr:from>
    <xdr:to>
      <xdr:col>2</xdr:col>
      <xdr:colOff>373379</xdr:colOff>
      <xdr:row>1</xdr:row>
      <xdr:rowOff>22025</xdr:rowOff>
    </xdr:to>
    <xdr:pic>
      <xdr:nvPicPr>
        <xdr:cNvPr id="9" name="Imagen 8">
          <a:extLst>
            <a:ext uri="{FF2B5EF4-FFF2-40B4-BE49-F238E27FC236}">
              <a16:creationId xmlns:a16="http://schemas.microsoft.com/office/drawing/2014/main" id="{429447C4-62D8-7086-51BB-9F33F393A8DD}"/>
            </a:ext>
          </a:extLst>
        </xdr:cNvPr>
        <xdr:cNvPicPr>
          <a:picLocks noChangeAspect="1"/>
        </xdr:cNvPicPr>
      </xdr:nvPicPr>
      <xdr:blipFill>
        <a:blip xmlns:r="http://schemas.openxmlformats.org/officeDocument/2006/relationships" r:embed="rId1"/>
        <a:stretch>
          <a:fillRect/>
        </a:stretch>
      </xdr:blipFill>
      <xdr:spPr>
        <a:xfrm>
          <a:off x="249554" y="171450"/>
          <a:ext cx="1716405" cy="810695"/>
        </a:xfrm>
        <a:prstGeom prst="rect">
          <a:avLst/>
        </a:prstGeom>
      </xdr:spPr>
    </xdr:pic>
    <xdr:clientData/>
  </xdr:twoCellAnchor>
  <xdr:twoCellAnchor editAs="absolute">
    <xdr:from>
      <xdr:col>1</xdr:col>
      <xdr:colOff>0</xdr:colOff>
      <xdr:row>46</xdr:row>
      <xdr:rowOff>0</xdr:rowOff>
    </xdr:from>
    <xdr:to>
      <xdr:col>7</xdr:col>
      <xdr:colOff>0</xdr:colOff>
      <xdr:row>74</xdr:row>
      <xdr:rowOff>0</xdr:rowOff>
    </xdr:to>
    <xdr:graphicFrame macro="">
      <xdr:nvGraphicFramePr>
        <xdr:cNvPr id="10" name="Gráfico 9">
          <a:extLst>
            <a:ext uri="{FF2B5EF4-FFF2-40B4-BE49-F238E27FC236}">
              <a16:creationId xmlns:a16="http://schemas.microsoft.com/office/drawing/2014/main" id="{0E6B3274-7F69-07E7-C2ED-13BBD9E54B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0</xdr:colOff>
      <xdr:row>46</xdr:row>
      <xdr:rowOff>0</xdr:rowOff>
    </xdr:from>
    <xdr:to>
      <xdr:col>13</xdr:col>
      <xdr:colOff>0</xdr:colOff>
      <xdr:row>74</xdr:row>
      <xdr:rowOff>0</xdr:rowOff>
    </xdr:to>
    <xdr:graphicFrame macro="">
      <xdr:nvGraphicFramePr>
        <xdr:cNvPr id="11" name="Gráfico 10">
          <a:extLst>
            <a:ext uri="{FF2B5EF4-FFF2-40B4-BE49-F238E27FC236}">
              <a16:creationId xmlns:a16="http://schemas.microsoft.com/office/drawing/2014/main" id="{DDD922E9-F3B1-4056-AD1E-D584EDB0B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xdr:col>
      <xdr:colOff>0</xdr:colOff>
      <xdr:row>17</xdr:row>
      <xdr:rowOff>0</xdr:rowOff>
    </xdr:from>
    <xdr:to>
      <xdr:col>13</xdr:col>
      <xdr:colOff>0</xdr:colOff>
      <xdr:row>46</xdr:row>
      <xdr:rowOff>0</xdr:rowOff>
    </xdr:to>
    <xdr:graphicFrame macro="">
      <xdr:nvGraphicFramePr>
        <xdr:cNvPr id="29" name="Gráfico 28">
          <a:extLst>
            <a:ext uri="{FF2B5EF4-FFF2-40B4-BE49-F238E27FC236}">
              <a16:creationId xmlns:a16="http://schemas.microsoft.com/office/drawing/2014/main" id="{F900B710-7DA2-43DD-BF7C-83ADE202F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0</xdr:colOff>
      <xdr:row>18</xdr:row>
      <xdr:rowOff>0</xdr:rowOff>
    </xdr:from>
    <xdr:to>
      <xdr:col>7</xdr:col>
      <xdr:colOff>0</xdr:colOff>
      <xdr:row>43</xdr:row>
      <xdr:rowOff>0</xdr:rowOff>
    </xdr:to>
    <xdr:graphicFrame macro="">
      <xdr:nvGraphicFramePr>
        <xdr:cNvPr id="30" name="Gráfico 29">
          <a:extLst>
            <a:ext uri="{FF2B5EF4-FFF2-40B4-BE49-F238E27FC236}">
              <a16:creationId xmlns:a16="http://schemas.microsoft.com/office/drawing/2014/main" id="{F5C341FE-74B7-4B89-8812-8722A34F1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9</xdr:col>
      <xdr:colOff>0</xdr:colOff>
      <xdr:row>93</xdr:row>
      <xdr:rowOff>0</xdr:rowOff>
    </xdr:from>
    <xdr:to>
      <xdr:col>13</xdr:col>
      <xdr:colOff>0</xdr:colOff>
      <xdr:row>101</xdr:row>
      <xdr:rowOff>0</xdr:rowOff>
    </xdr:to>
    <xdr:graphicFrame macro="">
      <xdr:nvGraphicFramePr>
        <xdr:cNvPr id="3" name="Gráfico 2">
          <a:extLst>
            <a:ext uri="{FF2B5EF4-FFF2-40B4-BE49-F238E27FC236}">
              <a16:creationId xmlns:a16="http://schemas.microsoft.com/office/drawing/2014/main" id="{E951E863-527F-4EC4-B409-F5B020577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5</xdr:col>
      <xdr:colOff>0</xdr:colOff>
      <xdr:row>112</xdr:row>
      <xdr:rowOff>0</xdr:rowOff>
    </xdr:from>
    <xdr:to>
      <xdr:col>9</xdr:col>
      <xdr:colOff>0</xdr:colOff>
      <xdr:row>120</xdr:row>
      <xdr:rowOff>0</xdr:rowOff>
    </xdr:to>
    <xdr:grpSp>
      <xdr:nvGrpSpPr>
        <xdr:cNvPr id="4" name="Grupo 3">
          <a:extLst>
            <a:ext uri="{FF2B5EF4-FFF2-40B4-BE49-F238E27FC236}">
              <a16:creationId xmlns:a16="http://schemas.microsoft.com/office/drawing/2014/main" id="{80528A17-19CF-4C80-8F40-C3938E99294E}"/>
            </a:ext>
          </a:extLst>
        </xdr:cNvPr>
        <xdr:cNvGrpSpPr>
          <a:grpSpLocks noChangeAspect="1"/>
        </xdr:cNvGrpSpPr>
      </xdr:nvGrpSpPr>
      <xdr:grpSpPr>
        <a:xfrm>
          <a:off x="4650441" y="22860000"/>
          <a:ext cx="4123765" cy="1524000"/>
          <a:chOff x="6902824" y="29619388"/>
          <a:chExt cx="3270325" cy="2006526"/>
        </a:xfrm>
      </xdr:grpSpPr>
      <xdr:sp macro="" textlink="$R$110">
        <xdr:nvSpPr>
          <xdr:cNvPr id="5" name="Forma libre: forma 4">
            <a:extLst>
              <a:ext uri="{FF2B5EF4-FFF2-40B4-BE49-F238E27FC236}">
                <a16:creationId xmlns:a16="http://schemas.microsoft.com/office/drawing/2014/main" id="{E52B1A9E-CA54-4AB7-7433-644E9F541614}"/>
              </a:ext>
            </a:extLst>
          </xdr:cNvPr>
          <xdr:cNvSpPr/>
        </xdr:nvSpPr>
        <xdr:spPr>
          <a:xfrm>
            <a:off x="7931971" y="29731264"/>
            <a:ext cx="1216961" cy="1782776"/>
          </a:xfrm>
          <a:custGeom>
            <a:avLst/>
            <a:gdLst>
              <a:gd name="connsiteX0" fmla="*/ 607812 w 1216961"/>
              <a:gd name="connsiteY0" fmla="*/ 0 h 1782776"/>
              <a:gd name="connsiteX1" fmla="*/ 629221 w 1216961"/>
              <a:gd name="connsiteY1" fmla="*/ 9213 h 1782776"/>
              <a:gd name="connsiteX2" fmla="*/ 1216961 w 1216961"/>
              <a:gd name="connsiteY2" fmla="*/ 891388 h 1782776"/>
              <a:gd name="connsiteX3" fmla="*/ 629221 w 1216961"/>
              <a:gd name="connsiteY3" fmla="*/ 1773563 h 1782776"/>
              <a:gd name="connsiteX4" fmla="*/ 607812 w 1216961"/>
              <a:gd name="connsiteY4" fmla="*/ 1782776 h 1782776"/>
              <a:gd name="connsiteX5" fmla="*/ 586450 w 1216961"/>
              <a:gd name="connsiteY5" fmla="*/ 1773563 h 1782776"/>
              <a:gd name="connsiteX6" fmla="*/ 0 w 1216961"/>
              <a:gd name="connsiteY6" fmla="*/ 891388 h 1782776"/>
              <a:gd name="connsiteX7" fmla="*/ 586450 w 1216961"/>
              <a:gd name="connsiteY7" fmla="*/ 9213 h 1782776"/>
              <a:gd name="connsiteX8" fmla="*/ 607812 w 1216961"/>
              <a:gd name="connsiteY8" fmla="*/ 0 h 1782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6961" h="1782776">
                <a:moveTo>
                  <a:pt x="607812" y="0"/>
                </a:moveTo>
                <a:lnTo>
                  <a:pt x="629221" y="9213"/>
                </a:lnTo>
                <a:cubicBezTo>
                  <a:pt x="979306" y="179105"/>
                  <a:pt x="1216961" y="510453"/>
                  <a:pt x="1216961" y="891388"/>
                </a:cubicBezTo>
                <a:cubicBezTo>
                  <a:pt x="1216961" y="1272323"/>
                  <a:pt x="979306" y="1603671"/>
                  <a:pt x="629221" y="1773563"/>
                </a:cubicBezTo>
                <a:lnTo>
                  <a:pt x="607812" y="1782776"/>
                </a:lnTo>
                <a:lnTo>
                  <a:pt x="586450" y="1773563"/>
                </a:lnTo>
                <a:cubicBezTo>
                  <a:pt x="237134" y="1603671"/>
                  <a:pt x="0" y="1272323"/>
                  <a:pt x="0" y="891388"/>
                </a:cubicBezTo>
                <a:cubicBezTo>
                  <a:pt x="0" y="510453"/>
                  <a:pt x="237134" y="179105"/>
                  <a:pt x="586450" y="9213"/>
                </a:cubicBezTo>
                <a:lnTo>
                  <a:pt x="607812" y="0"/>
                </a:lnTo>
                <a:close/>
              </a:path>
            </a:pathLst>
          </a:custGeom>
          <a:solidFill>
            <a:srgbClr val="CFDC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2379054B-11B5-42D2-A69C-E3DE5BC30DC8}" type="TxLink">
              <a:rPr lang="en-US" sz="1400" b="0" i="0" u="none" strike="noStrike">
                <a:solidFill>
                  <a:srgbClr val="000000"/>
                </a:solidFill>
                <a:latin typeface="+mn-lt"/>
                <a:ea typeface="Verdana"/>
              </a:rPr>
              <a:pPr algn="ctr"/>
              <a:t>0 coincidencias</a:t>
            </a:fld>
            <a:endParaRPr lang="en-US" sz="1400">
              <a:latin typeface="+mn-lt"/>
            </a:endParaRPr>
          </a:p>
        </xdr:txBody>
      </xdr:sp>
      <xdr:sp macro="" textlink="$Q$109">
        <xdr:nvSpPr>
          <xdr:cNvPr id="6" name="Forma libre: forma 5">
            <a:extLst>
              <a:ext uri="{FF2B5EF4-FFF2-40B4-BE49-F238E27FC236}">
                <a16:creationId xmlns:a16="http://schemas.microsoft.com/office/drawing/2014/main" id="{7B6FDB5E-EF03-F8BE-D836-B39A11E8C503}"/>
              </a:ext>
            </a:extLst>
          </xdr:cNvPr>
          <xdr:cNvSpPr/>
        </xdr:nvSpPr>
        <xdr:spPr>
          <a:xfrm>
            <a:off x="6902824" y="29619388"/>
            <a:ext cx="1636959" cy="2006526"/>
          </a:xfrm>
          <a:custGeom>
            <a:avLst/>
            <a:gdLst>
              <a:gd name="connsiteX0" fmla="*/ 1123054 w 1636959"/>
              <a:gd name="connsiteY0" fmla="*/ 0 h 2006526"/>
              <a:gd name="connsiteX1" fmla="*/ 1560197 w 1636959"/>
              <a:gd name="connsiteY1" fmla="*/ 78841 h 2006526"/>
              <a:gd name="connsiteX2" fmla="*/ 1636959 w 1636959"/>
              <a:gd name="connsiteY2" fmla="*/ 111875 h 2006526"/>
              <a:gd name="connsiteX3" fmla="*/ 1615597 w 1636959"/>
              <a:gd name="connsiteY3" fmla="*/ 121088 h 2006526"/>
              <a:gd name="connsiteX4" fmla="*/ 1029147 w 1636959"/>
              <a:gd name="connsiteY4" fmla="*/ 1003263 h 2006526"/>
              <a:gd name="connsiteX5" fmla="*/ 1615597 w 1636959"/>
              <a:gd name="connsiteY5" fmla="*/ 1885438 h 2006526"/>
              <a:gd name="connsiteX6" fmla="*/ 1636959 w 1636959"/>
              <a:gd name="connsiteY6" fmla="*/ 1894651 h 2006526"/>
              <a:gd name="connsiteX7" fmla="*/ 1560197 w 1636959"/>
              <a:gd name="connsiteY7" fmla="*/ 1927685 h 2006526"/>
              <a:gd name="connsiteX8" fmla="*/ 1123054 w 1636959"/>
              <a:gd name="connsiteY8" fmla="*/ 2006526 h 2006526"/>
              <a:gd name="connsiteX9" fmla="*/ 0 w 1636959"/>
              <a:gd name="connsiteY9" fmla="*/ 1003263 h 2006526"/>
              <a:gd name="connsiteX10" fmla="*/ 1123054 w 1636959"/>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6959" h="2006526">
                <a:moveTo>
                  <a:pt x="1123054" y="0"/>
                </a:moveTo>
                <a:cubicBezTo>
                  <a:pt x="1278116" y="0"/>
                  <a:pt x="1425837" y="28074"/>
                  <a:pt x="1560197" y="78841"/>
                </a:cubicBezTo>
                <a:lnTo>
                  <a:pt x="1636959" y="111875"/>
                </a:lnTo>
                <a:lnTo>
                  <a:pt x="1615597" y="121088"/>
                </a:lnTo>
                <a:cubicBezTo>
                  <a:pt x="1266281" y="290980"/>
                  <a:pt x="1029147" y="622328"/>
                  <a:pt x="1029147" y="1003263"/>
                </a:cubicBezTo>
                <a:cubicBezTo>
                  <a:pt x="1029147" y="1384198"/>
                  <a:pt x="1266281" y="1715546"/>
                  <a:pt x="1615597" y="1885438"/>
                </a:cubicBezTo>
                <a:lnTo>
                  <a:pt x="1636959" y="1894651"/>
                </a:lnTo>
                <a:lnTo>
                  <a:pt x="1560197" y="1927685"/>
                </a:lnTo>
                <a:cubicBezTo>
                  <a:pt x="1425837" y="1978453"/>
                  <a:pt x="1278116" y="2006526"/>
                  <a:pt x="1123054" y="2006526"/>
                </a:cubicBezTo>
                <a:cubicBezTo>
                  <a:pt x="502808" y="2006526"/>
                  <a:pt x="0" y="1557350"/>
                  <a:pt x="0" y="1003263"/>
                </a:cubicBezTo>
                <a:cubicBezTo>
                  <a:pt x="0" y="449176"/>
                  <a:pt x="502808" y="0"/>
                  <a:pt x="1123054"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208795D3-8938-4287-88D2-820E25FB89B4}" type="TxLink">
              <a:rPr lang="en-US" sz="1400" b="0" i="0" u="none" strike="noStrike">
                <a:solidFill>
                  <a:srgbClr val="000000"/>
                </a:solidFill>
                <a:latin typeface="+mn-lt"/>
                <a:ea typeface="Verdana"/>
              </a:rPr>
              <a:pPr algn="ctr"/>
              <a:t>0</a:t>
            </a:fld>
            <a:endParaRPr lang="en-US" sz="1400">
              <a:latin typeface="+mn-lt"/>
            </a:endParaRPr>
          </a:p>
        </xdr:txBody>
      </xdr:sp>
      <xdr:sp macro="" textlink="$Q$111">
        <xdr:nvSpPr>
          <xdr:cNvPr id="8" name="Forma libre: forma 7">
            <a:extLst>
              <a:ext uri="{FF2B5EF4-FFF2-40B4-BE49-F238E27FC236}">
                <a16:creationId xmlns:a16="http://schemas.microsoft.com/office/drawing/2014/main" id="{E5122033-FB52-1742-0D32-AABD621BFC67}"/>
              </a:ext>
            </a:extLst>
          </xdr:cNvPr>
          <xdr:cNvSpPr/>
        </xdr:nvSpPr>
        <xdr:spPr>
          <a:xfrm>
            <a:off x="8539783" y="29619388"/>
            <a:ext cx="1633366" cy="2006526"/>
          </a:xfrm>
          <a:custGeom>
            <a:avLst/>
            <a:gdLst>
              <a:gd name="connsiteX0" fmla="*/ 512777 w 1633366"/>
              <a:gd name="connsiteY0" fmla="*/ 0 h 2006526"/>
              <a:gd name="connsiteX1" fmla="*/ 1633366 w 1633366"/>
              <a:gd name="connsiteY1" fmla="*/ 1003263 h 2006526"/>
              <a:gd name="connsiteX2" fmla="*/ 512777 w 1633366"/>
              <a:gd name="connsiteY2" fmla="*/ 2006526 h 2006526"/>
              <a:gd name="connsiteX3" fmla="*/ 76593 w 1633366"/>
              <a:gd name="connsiteY3" fmla="*/ 1927685 h 2006526"/>
              <a:gd name="connsiteX4" fmla="*/ 0 w 1633366"/>
              <a:gd name="connsiteY4" fmla="*/ 1894651 h 2006526"/>
              <a:gd name="connsiteX5" fmla="*/ 21409 w 1633366"/>
              <a:gd name="connsiteY5" fmla="*/ 1885438 h 2006526"/>
              <a:gd name="connsiteX6" fmla="*/ 609149 w 1633366"/>
              <a:gd name="connsiteY6" fmla="*/ 1003263 h 2006526"/>
              <a:gd name="connsiteX7" fmla="*/ 21409 w 1633366"/>
              <a:gd name="connsiteY7" fmla="*/ 121088 h 2006526"/>
              <a:gd name="connsiteX8" fmla="*/ 0 w 1633366"/>
              <a:gd name="connsiteY8" fmla="*/ 111875 h 2006526"/>
              <a:gd name="connsiteX9" fmla="*/ 76593 w 1633366"/>
              <a:gd name="connsiteY9" fmla="*/ 78841 h 2006526"/>
              <a:gd name="connsiteX10" fmla="*/ 512777 w 1633366"/>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3366" h="2006526">
                <a:moveTo>
                  <a:pt x="512777" y="0"/>
                </a:moveTo>
                <a:cubicBezTo>
                  <a:pt x="1131661" y="0"/>
                  <a:pt x="1633366" y="449176"/>
                  <a:pt x="1633366" y="1003263"/>
                </a:cubicBezTo>
                <a:cubicBezTo>
                  <a:pt x="1633366" y="1557350"/>
                  <a:pt x="1131661" y="2006526"/>
                  <a:pt x="512777" y="2006526"/>
                </a:cubicBezTo>
                <a:cubicBezTo>
                  <a:pt x="358056" y="2006526"/>
                  <a:pt x="210659" y="1978453"/>
                  <a:pt x="76593" y="1927685"/>
                </a:cubicBezTo>
                <a:lnTo>
                  <a:pt x="0" y="1894651"/>
                </a:lnTo>
                <a:lnTo>
                  <a:pt x="21409" y="1885438"/>
                </a:lnTo>
                <a:cubicBezTo>
                  <a:pt x="371494" y="1715546"/>
                  <a:pt x="609149" y="1384198"/>
                  <a:pt x="609149" y="1003263"/>
                </a:cubicBezTo>
                <a:cubicBezTo>
                  <a:pt x="609149" y="622328"/>
                  <a:pt x="371494" y="290980"/>
                  <a:pt x="21409" y="121088"/>
                </a:cubicBezTo>
                <a:lnTo>
                  <a:pt x="0" y="111875"/>
                </a:lnTo>
                <a:lnTo>
                  <a:pt x="76593" y="78841"/>
                </a:lnTo>
                <a:cubicBezTo>
                  <a:pt x="210659" y="28074"/>
                  <a:pt x="358056" y="0"/>
                  <a:pt x="512777" y="0"/>
                </a:cubicBezTo>
                <a:close/>
              </a:path>
            </a:pathLst>
          </a:custGeom>
          <a:solidFill>
            <a:srgbClr val="EAE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C6624074-2077-4ED6-960C-0C5783F361EB}" type="TxLink">
              <a:rPr lang="en-US" sz="1400" b="0" i="0" u="none" strike="noStrike">
                <a:solidFill>
                  <a:srgbClr val="000000"/>
                </a:solidFill>
                <a:latin typeface="+mn-lt"/>
                <a:ea typeface="Verdana"/>
              </a:rPr>
              <a:pPr algn="ctr"/>
              <a:t>0</a:t>
            </a:fld>
            <a:endParaRPr lang="en-US" sz="1400">
              <a:latin typeface="+mn-lt"/>
            </a:endParaRPr>
          </a:p>
        </xdr:txBody>
      </xdr:sp>
      <xdr:sp macro="" textlink="">
        <xdr:nvSpPr>
          <xdr:cNvPr id="12" name="Elipse 11">
            <a:extLst>
              <a:ext uri="{FF2B5EF4-FFF2-40B4-BE49-F238E27FC236}">
                <a16:creationId xmlns:a16="http://schemas.microsoft.com/office/drawing/2014/main" id="{B394540E-B2D4-8E32-0D03-75E3A50C1C70}"/>
              </a:ext>
            </a:extLst>
          </xdr:cNvPr>
          <xdr:cNvSpPr/>
        </xdr:nvSpPr>
        <xdr:spPr>
          <a:xfrm>
            <a:off x="6902824" y="29619389"/>
            <a:ext cx="2246107" cy="2006525"/>
          </a:xfrm>
          <a:prstGeom prst="ellipse">
            <a:avLst/>
          </a:prstGeom>
          <a:noFill/>
          <a:ln>
            <a:solidFill>
              <a:srgbClr val="4D947B">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sp macro="" textlink="">
        <xdr:nvSpPr>
          <xdr:cNvPr id="13" name="Elipse 12">
            <a:extLst>
              <a:ext uri="{FF2B5EF4-FFF2-40B4-BE49-F238E27FC236}">
                <a16:creationId xmlns:a16="http://schemas.microsoft.com/office/drawing/2014/main" id="{ADC1EE1E-0A1F-0360-A947-DA330CCCF791}"/>
              </a:ext>
            </a:extLst>
          </xdr:cNvPr>
          <xdr:cNvSpPr/>
        </xdr:nvSpPr>
        <xdr:spPr>
          <a:xfrm>
            <a:off x="7931971" y="29619389"/>
            <a:ext cx="2241177" cy="2006525"/>
          </a:xfrm>
          <a:prstGeom prst="ellipse">
            <a:avLst/>
          </a:prstGeom>
          <a:noFill/>
          <a:ln>
            <a:solidFill>
              <a:srgbClr val="AFA927">
                <a:alpha val="4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grpSp>
    <xdr:clientData/>
  </xdr:twoCellAnchor>
  <xdr:twoCellAnchor editAs="absolute">
    <xdr:from>
      <xdr:col>5</xdr:col>
      <xdr:colOff>0</xdr:colOff>
      <xdr:row>82</xdr:row>
      <xdr:rowOff>0</xdr:rowOff>
    </xdr:from>
    <xdr:to>
      <xdr:col>9</xdr:col>
      <xdr:colOff>0</xdr:colOff>
      <xdr:row>90</xdr:row>
      <xdr:rowOff>0</xdr:rowOff>
    </xdr:to>
    <xdr:grpSp>
      <xdr:nvGrpSpPr>
        <xdr:cNvPr id="2" name="Grupo 1">
          <a:extLst>
            <a:ext uri="{FF2B5EF4-FFF2-40B4-BE49-F238E27FC236}">
              <a16:creationId xmlns:a16="http://schemas.microsoft.com/office/drawing/2014/main" id="{8F678206-92CC-46F4-A511-C844D62EAFB7}"/>
            </a:ext>
          </a:extLst>
        </xdr:cNvPr>
        <xdr:cNvGrpSpPr>
          <a:grpSpLocks noChangeAspect="1"/>
        </xdr:cNvGrpSpPr>
      </xdr:nvGrpSpPr>
      <xdr:grpSpPr>
        <a:xfrm>
          <a:off x="4650441" y="17111382"/>
          <a:ext cx="4123765" cy="1524000"/>
          <a:chOff x="6902824" y="29619388"/>
          <a:chExt cx="3270325" cy="2006526"/>
        </a:xfrm>
      </xdr:grpSpPr>
      <xdr:sp macro="" textlink="$R$93">
        <xdr:nvSpPr>
          <xdr:cNvPr id="14" name="Forma libre: forma 13">
            <a:extLst>
              <a:ext uri="{FF2B5EF4-FFF2-40B4-BE49-F238E27FC236}">
                <a16:creationId xmlns:a16="http://schemas.microsoft.com/office/drawing/2014/main" id="{6B786AE8-2ACB-26E4-90D6-ABB60D0553F0}"/>
              </a:ext>
            </a:extLst>
          </xdr:cNvPr>
          <xdr:cNvSpPr/>
        </xdr:nvSpPr>
        <xdr:spPr>
          <a:xfrm>
            <a:off x="7931971" y="29731264"/>
            <a:ext cx="1216961" cy="1782776"/>
          </a:xfrm>
          <a:custGeom>
            <a:avLst/>
            <a:gdLst>
              <a:gd name="connsiteX0" fmla="*/ 607812 w 1216961"/>
              <a:gd name="connsiteY0" fmla="*/ 0 h 1782776"/>
              <a:gd name="connsiteX1" fmla="*/ 629221 w 1216961"/>
              <a:gd name="connsiteY1" fmla="*/ 9213 h 1782776"/>
              <a:gd name="connsiteX2" fmla="*/ 1216961 w 1216961"/>
              <a:gd name="connsiteY2" fmla="*/ 891388 h 1782776"/>
              <a:gd name="connsiteX3" fmla="*/ 629221 w 1216961"/>
              <a:gd name="connsiteY3" fmla="*/ 1773563 h 1782776"/>
              <a:gd name="connsiteX4" fmla="*/ 607812 w 1216961"/>
              <a:gd name="connsiteY4" fmla="*/ 1782776 h 1782776"/>
              <a:gd name="connsiteX5" fmla="*/ 586450 w 1216961"/>
              <a:gd name="connsiteY5" fmla="*/ 1773563 h 1782776"/>
              <a:gd name="connsiteX6" fmla="*/ 0 w 1216961"/>
              <a:gd name="connsiteY6" fmla="*/ 891388 h 1782776"/>
              <a:gd name="connsiteX7" fmla="*/ 586450 w 1216961"/>
              <a:gd name="connsiteY7" fmla="*/ 9213 h 1782776"/>
              <a:gd name="connsiteX8" fmla="*/ 607812 w 1216961"/>
              <a:gd name="connsiteY8" fmla="*/ 0 h 1782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6961" h="1782776">
                <a:moveTo>
                  <a:pt x="607812" y="0"/>
                </a:moveTo>
                <a:lnTo>
                  <a:pt x="629221" y="9213"/>
                </a:lnTo>
                <a:cubicBezTo>
                  <a:pt x="979306" y="179105"/>
                  <a:pt x="1216961" y="510453"/>
                  <a:pt x="1216961" y="891388"/>
                </a:cubicBezTo>
                <a:cubicBezTo>
                  <a:pt x="1216961" y="1272323"/>
                  <a:pt x="979306" y="1603671"/>
                  <a:pt x="629221" y="1773563"/>
                </a:cubicBezTo>
                <a:lnTo>
                  <a:pt x="607812" y="1782776"/>
                </a:lnTo>
                <a:lnTo>
                  <a:pt x="586450" y="1773563"/>
                </a:lnTo>
                <a:cubicBezTo>
                  <a:pt x="237134" y="1603671"/>
                  <a:pt x="0" y="1272323"/>
                  <a:pt x="0" y="891388"/>
                </a:cubicBezTo>
                <a:cubicBezTo>
                  <a:pt x="0" y="510453"/>
                  <a:pt x="237134" y="179105"/>
                  <a:pt x="586450" y="9213"/>
                </a:cubicBezTo>
                <a:lnTo>
                  <a:pt x="607812" y="0"/>
                </a:lnTo>
                <a:close/>
              </a:path>
            </a:pathLst>
          </a:custGeom>
          <a:solidFill>
            <a:srgbClr val="9CB3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fld id="{042FA624-CE2C-4285-95D0-E93D82F1F817}" type="TxLink">
              <a:rPr lang="en-US" sz="1400" b="0" i="0" u="none" strike="noStrike">
                <a:solidFill>
                  <a:srgbClr val="000000"/>
                </a:solidFill>
                <a:latin typeface="Calibri"/>
                <a:ea typeface="Calibri"/>
                <a:cs typeface="Calibri"/>
              </a:rPr>
              <a:pPr algn="ctr"/>
              <a:t>0 coincidencias</a:t>
            </a:fld>
            <a:endParaRPr lang="en-US" sz="1400">
              <a:latin typeface="+mn-lt"/>
            </a:endParaRPr>
          </a:p>
        </xdr:txBody>
      </xdr:sp>
      <xdr:sp macro="" textlink="$Q$92">
        <xdr:nvSpPr>
          <xdr:cNvPr id="15" name="Forma libre: forma 14">
            <a:extLst>
              <a:ext uri="{FF2B5EF4-FFF2-40B4-BE49-F238E27FC236}">
                <a16:creationId xmlns:a16="http://schemas.microsoft.com/office/drawing/2014/main" id="{B22F5328-AB0F-050A-2DE1-EB10E804ABC9}"/>
              </a:ext>
            </a:extLst>
          </xdr:cNvPr>
          <xdr:cNvSpPr/>
        </xdr:nvSpPr>
        <xdr:spPr>
          <a:xfrm>
            <a:off x="6902824" y="29619388"/>
            <a:ext cx="1636959" cy="2006526"/>
          </a:xfrm>
          <a:custGeom>
            <a:avLst/>
            <a:gdLst>
              <a:gd name="connsiteX0" fmla="*/ 1123054 w 1636959"/>
              <a:gd name="connsiteY0" fmla="*/ 0 h 2006526"/>
              <a:gd name="connsiteX1" fmla="*/ 1560197 w 1636959"/>
              <a:gd name="connsiteY1" fmla="*/ 78841 h 2006526"/>
              <a:gd name="connsiteX2" fmla="*/ 1636959 w 1636959"/>
              <a:gd name="connsiteY2" fmla="*/ 111875 h 2006526"/>
              <a:gd name="connsiteX3" fmla="*/ 1615597 w 1636959"/>
              <a:gd name="connsiteY3" fmla="*/ 121088 h 2006526"/>
              <a:gd name="connsiteX4" fmla="*/ 1029147 w 1636959"/>
              <a:gd name="connsiteY4" fmla="*/ 1003263 h 2006526"/>
              <a:gd name="connsiteX5" fmla="*/ 1615597 w 1636959"/>
              <a:gd name="connsiteY5" fmla="*/ 1885438 h 2006526"/>
              <a:gd name="connsiteX6" fmla="*/ 1636959 w 1636959"/>
              <a:gd name="connsiteY6" fmla="*/ 1894651 h 2006526"/>
              <a:gd name="connsiteX7" fmla="*/ 1560197 w 1636959"/>
              <a:gd name="connsiteY7" fmla="*/ 1927685 h 2006526"/>
              <a:gd name="connsiteX8" fmla="*/ 1123054 w 1636959"/>
              <a:gd name="connsiteY8" fmla="*/ 2006526 h 2006526"/>
              <a:gd name="connsiteX9" fmla="*/ 0 w 1636959"/>
              <a:gd name="connsiteY9" fmla="*/ 1003263 h 2006526"/>
              <a:gd name="connsiteX10" fmla="*/ 1123054 w 1636959"/>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6959" h="2006526">
                <a:moveTo>
                  <a:pt x="1123054" y="0"/>
                </a:moveTo>
                <a:cubicBezTo>
                  <a:pt x="1278116" y="0"/>
                  <a:pt x="1425837" y="28074"/>
                  <a:pt x="1560197" y="78841"/>
                </a:cubicBezTo>
                <a:lnTo>
                  <a:pt x="1636959" y="111875"/>
                </a:lnTo>
                <a:lnTo>
                  <a:pt x="1615597" y="121088"/>
                </a:lnTo>
                <a:cubicBezTo>
                  <a:pt x="1266281" y="290980"/>
                  <a:pt x="1029147" y="622328"/>
                  <a:pt x="1029147" y="1003263"/>
                </a:cubicBezTo>
                <a:cubicBezTo>
                  <a:pt x="1029147" y="1384198"/>
                  <a:pt x="1266281" y="1715546"/>
                  <a:pt x="1615597" y="1885438"/>
                </a:cubicBezTo>
                <a:lnTo>
                  <a:pt x="1636959" y="1894651"/>
                </a:lnTo>
                <a:lnTo>
                  <a:pt x="1560197" y="1927685"/>
                </a:lnTo>
                <a:cubicBezTo>
                  <a:pt x="1425837" y="1978453"/>
                  <a:pt x="1278116" y="2006526"/>
                  <a:pt x="1123054" y="2006526"/>
                </a:cubicBezTo>
                <a:cubicBezTo>
                  <a:pt x="502808" y="2006526"/>
                  <a:pt x="0" y="1557350"/>
                  <a:pt x="0" y="1003263"/>
                </a:cubicBezTo>
                <a:cubicBezTo>
                  <a:pt x="0" y="449176"/>
                  <a:pt x="502808" y="0"/>
                  <a:pt x="1123054"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EEFE0424-834C-48B2-ABE1-292AEFB58B6E}" type="TxLink">
              <a:rPr lang="en-US" sz="1400" b="0" i="0" u="none" strike="noStrike">
                <a:solidFill>
                  <a:srgbClr val="000000"/>
                </a:solidFill>
                <a:latin typeface="+mn-lt"/>
                <a:ea typeface="Verdana"/>
              </a:rPr>
              <a:pPr algn="ctr"/>
              <a:t>0</a:t>
            </a:fld>
            <a:endParaRPr lang="en-US" sz="1400">
              <a:latin typeface="+mn-lt"/>
            </a:endParaRPr>
          </a:p>
        </xdr:txBody>
      </xdr:sp>
      <xdr:sp macro="" textlink="$Q$94">
        <xdr:nvSpPr>
          <xdr:cNvPr id="16" name="Forma libre: forma 15">
            <a:extLst>
              <a:ext uri="{FF2B5EF4-FFF2-40B4-BE49-F238E27FC236}">
                <a16:creationId xmlns:a16="http://schemas.microsoft.com/office/drawing/2014/main" id="{3695FD02-B6AD-5344-8F70-C380438A91F6}"/>
              </a:ext>
            </a:extLst>
          </xdr:cNvPr>
          <xdr:cNvSpPr/>
        </xdr:nvSpPr>
        <xdr:spPr>
          <a:xfrm>
            <a:off x="8539783" y="29619388"/>
            <a:ext cx="1633366" cy="2006526"/>
          </a:xfrm>
          <a:custGeom>
            <a:avLst/>
            <a:gdLst>
              <a:gd name="connsiteX0" fmla="*/ 512777 w 1633366"/>
              <a:gd name="connsiteY0" fmla="*/ 0 h 2006526"/>
              <a:gd name="connsiteX1" fmla="*/ 1633366 w 1633366"/>
              <a:gd name="connsiteY1" fmla="*/ 1003263 h 2006526"/>
              <a:gd name="connsiteX2" fmla="*/ 512777 w 1633366"/>
              <a:gd name="connsiteY2" fmla="*/ 2006526 h 2006526"/>
              <a:gd name="connsiteX3" fmla="*/ 76593 w 1633366"/>
              <a:gd name="connsiteY3" fmla="*/ 1927685 h 2006526"/>
              <a:gd name="connsiteX4" fmla="*/ 0 w 1633366"/>
              <a:gd name="connsiteY4" fmla="*/ 1894651 h 2006526"/>
              <a:gd name="connsiteX5" fmla="*/ 21409 w 1633366"/>
              <a:gd name="connsiteY5" fmla="*/ 1885438 h 2006526"/>
              <a:gd name="connsiteX6" fmla="*/ 609149 w 1633366"/>
              <a:gd name="connsiteY6" fmla="*/ 1003263 h 2006526"/>
              <a:gd name="connsiteX7" fmla="*/ 21409 w 1633366"/>
              <a:gd name="connsiteY7" fmla="*/ 121088 h 2006526"/>
              <a:gd name="connsiteX8" fmla="*/ 0 w 1633366"/>
              <a:gd name="connsiteY8" fmla="*/ 111875 h 2006526"/>
              <a:gd name="connsiteX9" fmla="*/ 76593 w 1633366"/>
              <a:gd name="connsiteY9" fmla="*/ 78841 h 2006526"/>
              <a:gd name="connsiteX10" fmla="*/ 512777 w 1633366"/>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3366" h="2006526">
                <a:moveTo>
                  <a:pt x="512777" y="0"/>
                </a:moveTo>
                <a:cubicBezTo>
                  <a:pt x="1131661" y="0"/>
                  <a:pt x="1633366" y="449176"/>
                  <a:pt x="1633366" y="1003263"/>
                </a:cubicBezTo>
                <a:cubicBezTo>
                  <a:pt x="1633366" y="1557350"/>
                  <a:pt x="1131661" y="2006526"/>
                  <a:pt x="512777" y="2006526"/>
                </a:cubicBezTo>
                <a:cubicBezTo>
                  <a:pt x="358056" y="2006526"/>
                  <a:pt x="210659" y="1978453"/>
                  <a:pt x="76593" y="1927685"/>
                </a:cubicBezTo>
                <a:lnTo>
                  <a:pt x="0" y="1894651"/>
                </a:lnTo>
                <a:lnTo>
                  <a:pt x="21409" y="1885438"/>
                </a:lnTo>
                <a:cubicBezTo>
                  <a:pt x="371494" y="1715546"/>
                  <a:pt x="609149" y="1384198"/>
                  <a:pt x="609149" y="1003263"/>
                </a:cubicBezTo>
                <a:cubicBezTo>
                  <a:pt x="609149" y="622328"/>
                  <a:pt x="371494" y="290980"/>
                  <a:pt x="21409" y="121088"/>
                </a:cubicBezTo>
                <a:lnTo>
                  <a:pt x="0" y="111875"/>
                </a:lnTo>
                <a:lnTo>
                  <a:pt x="76593" y="78841"/>
                </a:lnTo>
                <a:cubicBezTo>
                  <a:pt x="210659" y="28074"/>
                  <a:pt x="358056" y="0"/>
                  <a:pt x="512777" y="0"/>
                </a:cubicBezTo>
                <a:close/>
              </a:path>
            </a:pathLst>
          </a:custGeom>
          <a:solidFill>
            <a:srgbClr val="B0A2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5D5CE236-CC04-44F4-8E4F-8203FD51087E}" type="TxLink">
              <a:rPr lang="en-US" sz="1400" b="0" i="0" u="none" strike="noStrike">
                <a:solidFill>
                  <a:srgbClr val="000000"/>
                </a:solidFill>
                <a:latin typeface="+mn-lt"/>
                <a:ea typeface="Verdana"/>
              </a:rPr>
              <a:pPr algn="ctr"/>
              <a:t>0</a:t>
            </a:fld>
            <a:endParaRPr lang="en-US" sz="1400">
              <a:latin typeface="+mn-lt"/>
            </a:endParaRPr>
          </a:p>
        </xdr:txBody>
      </xdr:sp>
      <xdr:sp macro="" textlink="">
        <xdr:nvSpPr>
          <xdr:cNvPr id="17" name="Elipse 16">
            <a:extLst>
              <a:ext uri="{FF2B5EF4-FFF2-40B4-BE49-F238E27FC236}">
                <a16:creationId xmlns:a16="http://schemas.microsoft.com/office/drawing/2014/main" id="{E992395C-DA69-DEBA-6374-EAF453941EF4}"/>
              </a:ext>
            </a:extLst>
          </xdr:cNvPr>
          <xdr:cNvSpPr/>
        </xdr:nvSpPr>
        <xdr:spPr>
          <a:xfrm>
            <a:off x="6902824" y="29619389"/>
            <a:ext cx="2246107" cy="2006525"/>
          </a:xfrm>
          <a:prstGeom prst="ellipse">
            <a:avLst/>
          </a:prstGeom>
          <a:noFill/>
          <a:ln>
            <a:solidFill>
              <a:srgbClr val="4D947B">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sp macro="" textlink="">
        <xdr:nvSpPr>
          <xdr:cNvPr id="18" name="Elipse 17">
            <a:extLst>
              <a:ext uri="{FF2B5EF4-FFF2-40B4-BE49-F238E27FC236}">
                <a16:creationId xmlns:a16="http://schemas.microsoft.com/office/drawing/2014/main" id="{579E954C-2A7C-837B-ED34-247BE398BD67}"/>
              </a:ext>
            </a:extLst>
          </xdr:cNvPr>
          <xdr:cNvSpPr/>
        </xdr:nvSpPr>
        <xdr:spPr>
          <a:xfrm>
            <a:off x="7931971" y="29619389"/>
            <a:ext cx="2241177" cy="2006525"/>
          </a:xfrm>
          <a:prstGeom prst="ellipse">
            <a:avLst/>
          </a:prstGeom>
          <a:noFill/>
          <a:ln>
            <a:solidFill>
              <a:srgbClr val="786256">
                <a:alpha val="4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grpSp>
    <xdr:clientData/>
  </xdr:twoCellAnchor>
  <xdr:twoCellAnchor editAs="absolute">
    <xdr:from>
      <xdr:col>11</xdr:col>
      <xdr:colOff>152401</xdr:colOff>
      <xdr:row>0</xdr:row>
      <xdr:rowOff>295836</xdr:rowOff>
    </xdr:from>
    <xdr:to>
      <xdr:col>12</xdr:col>
      <xdr:colOff>1184014</xdr:colOff>
      <xdr:row>0</xdr:row>
      <xdr:rowOff>889160</xdr:rowOff>
    </xdr:to>
    <xdr:pic>
      <xdr:nvPicPr>
        <xdr:cNvPr id="19" name="Gráfico 18">
          <a:extLst>
            <a:ext uri="{FF2B5EF4-FFF2-40B4-BE49-F238E27FC236}">
              <a16:creationId xmlns:a16="http://schemas.microsoft.com/office/drawing/2014/main" id="{3747326D-EBAD-46C7-A748-B1D2C284484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1268636" y="295836"/>
          <a:ext cx="2089449" cy="593324"/>
        </a:xfrm>
        <a:prstGeom prst="rect">
          <a:avLst/>
        </a:prstGeom>
      </xdr:spPr>
    </xdr:pic>
    <xdr:clientData/>
  </xdr:twoCellAnchor>
  <xdr:twoCellAnchor editAs="absolute">
    <xdr:from>
      <xdr:col>1</xdr:col>
      <xdr:colOff>818029</xdr:colOff>
      <xdr:row>133</xdr:row>
      <xdr:rowOff>123264</xdr:rowOff>
    </xdr:from>
    <xdr:to>
      <xdr:col>5</xdr:col>
      <xdr:colOff>851647</xdr:colOff>
      <xdr:row>150</xdr:row>
      <xdr:rowOff>123263</xdr:rowOff>
    </xdr:to>
    <xdr:grpSp>
      <xdr:nvGrpSpPr>
        <xdr:cNvPr id="42" name="Grupo 41">
          <a:extLst>
            <a:ext uri="{FF2B5EF4-FFF2-40B4-BE49-F238E27FC236}">
              <a16:creationId xmlns:a16="http://schemas.microsoft.com/office/drawing/2014/main" id="{DC9A9036-9FAA-1CC4-59B2-63A29C5EFD5E}"/>
            </a:ext>
          </a:extLst>
        </xdr:cNvPr>
        <xdr:cNvGrpSpPr/>
      </xdr:nvGrpSpPr>
      <xdr:grpSpPr>
        <a:xfrm>
          <a:off x="1143000" y="27006176"/>
          <a:ext cx="4359088" cy="3238499"/>
          <a:chOff x="1467970" y="26737235"/>
          <a:chExt cx="4235824" cy="3238499"/>
        </a:xfrm>
      </xdr:grpSpPr>
      <xdr:grpSp>
        <xdr:nvGrpSpPr>
          <xdr:cNvPr id="21" name="Grupo 20">
            <a:extLst>
              <a:ext uri="{FF2B5EF4-FFF2-40B4-BE49-F238E27FC236}">
                <a16:creationId xmlns:a16="http://schemas.microsoft.com/office/drawing/2014/main" id="{CA32201B-FF8D-3BE4-78C7-6E6672A40871}"/>
              </a:ext>
            </a:extLst>
          </xdr:cNvPr>
          <xdr:cNvGrpSpPr/>
        </xdr:nvGrpSpPr>
        <xdr:grpSpPr>
          <a:xfrm>
            <a:off x="1467970" y="26737235"/>
            <a:ext cx="4235824" cy="3238499"/>
            <a:chOff x="3575352" y="239547"/>
            <a:chExt cx="5084165" cy="4634459"/>
          </a:xfrm>
        </xdr:grpSpPr>
        <xdr:grpSp>
          <xdr:nvGrpSpPr>
            <xdr:cNvPr id="22" name="Grupo 21">
              <a:extLst>
                <a:ext uri="{FF2B5EF4-FFF2-40B4-BE49-F238E27FC236}">
                  <a16:creationId xmlns:a16="http://schemas.microsoft.com/office/drawing/2014/main" id="{EC8CEA55-0D96-5FA0-5420-F8BEDA7A4B2F}"/>
                </a:ext>
              </a:extLst>
            </xdr:cNvPr>
            <xdr:cNvGrpSpPr/>
          </xdr:nvGrpSpPr>
          <xdr:grpSpPr>
            <a:xfrm>
              <a:off x="3575352" y="239547"/>
              <a:ext cx="5084165" cy="4634459"/>
              <a:chOff x="6627099" y="239547"/>
              <a:chExt cx="5084165" cy="4634459"/>
            </a:xfrm>
          </xdr:grpSpPr>
          <xdr:sp macro="" textlink="">
            <xdr:nvSpPr>
              <xdr:cNvPr id="27" name="Forma libre: forma 26">
                <a:extLst>
                  <a:ext uri="{FF2B5EF4-FFF2-40B4-BE49-F238E27FC236}">
                    <a16:creationId xmlns:a16="http://schemas.microsoft.com/office/drawing/2014/main" id="{81A819C1-C771-06A5-DFFD-8EBB17E79FD5}"/>
                  </a:ext>
                </a:extLst>
              </xdr:cNvPr>
              <xdr:cNvSpPr/>
            </xdr:nvSpPr>
            <xdr:spPr>
              <a:xfrm>
                <a:off x="8159645" y="402360"/>
                <a:ext cx="2019073" cy="1466782"/>
              </a:xfrm>
              <a:custGeom>
                <a:avLst/>
                <a:gdLst>
                  <a:gd name="connsiteX0" fmla="*/ 1009536 w 2019073"/>
                  <a:gd name="connsiteY0" fmla="*/ 0 h 1466782"/>
                  <a:gd name="connsiteX1" fmla="*/ 1090496 w 2019073"/>
                  <a:gd name="connsiteY1" fmla="*/ 36203 h 1466782"/>
                  <a:gd name="connsiteX2" fmla="*/ 2010953 w 2019073"/>
                  <a:gd name="connsiteY2" fmla="*/ 1317513 h 1466782"/>
                  <a:gd name="connsiteX3" fmla="*/ 2019073 w 2019073"/>
                  <a:gd name="connsiteY3" fmla="*/ 1466781 h 1466782"/>
                  <a:gd name="connsiteX4" fmla="*/ 2002703 w 2019073"/>
                  <a:gd name="connsiteY4" fmla="*/ 1455418 h 1466782"/>
                  <a:gd name="connsiteX5" fmla="*/ 1009537 w 2019073"/>
                  <a:gd name="connsiteY5" fmla="*/ 1173809 h 1466782"/>
                  <a:gd name="connsiteX6" fmla="*/ 16371 w 2019073"/>
                  <a:gd name="connsiteY6" fmla="*/ 1455418 h 1466782"/>
                  <a:gd name="connsiteX7" fmla="*/ 0 w 2019073"/>
                  <a:gd name="connsiteY7" fmla="*/ 1466782 h 1466782"/>
                  <a:gd name="connsiteX8" fmla="*/ 8120 w 2019073"/>
                  <a:gd name="connsiteY8" fmla="*/ 1317513 h 1466782"/>
                  <a:gd name="connsiteX9" fmla="*/ 928577 w 2019073"/>
                  <a:gd name="connsiteY9" fmla="*/ 36203 h 1466782"/>
                  <a:gd name="connsiteX10" fmla="*/ 1009536 w 2019073"/>
                  <a:gd name="connsiteY10" fmla="*/ 0 h 1466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019073" h="1466782">
                    <a:moveTo>
                      <a:pt x="1009536" y="0"/>
                    </a:moveTo>
                    <a:lnTo>
                      <a:pt x="1090496" y="36203"/>
                    </a:lnTo>
                    <a:cubicBezTo>
                      <a:pt x="1593885" y="290045"/>
                      <a:pt x="1950309" y="763195"/>
                      <a:pt x="2010953" y="1317513"/>
                    </a:cubicBezTo>
                    <a:lnTo>
                      <a:pt x="2019073" y="1466781"/>
                    </a:lnTo>
                    <a:lnTo>
                      <a:pt x="2002703" y="1455418"/>
                    </a:lnTo>
                    <a:cubicBezTo>
                      <a:pt x="1719198" y="1277625"/>
                      <a:pt x="1377428" y="1173809"/>
                      <a:pt x="1009537" y="1173809"/>
                    </a:cubicBezTo>
                    <a:cubicBezTo>
                      <a:pt x="641646" y="1173809"/>
                      <a:pt x="299876" y="1277625"/>
                      <a:pt x="16371" y="1455418"/>
                    </a:cubicBezTo>
                    <a:lnTo>
                      <a:pt x="0" y="1466782"/>
                    </a:lnTo>
                    <a:lnTo>
                      <a:pt x="8120" y="1317513"/>
                    </a:lnTo>
                    <a:cubicBezTo>
                      <a:pt x="68764" y="763195"/>
                      <a:pt x="425188" y="290045"/>
                      <a:pt x="928577" y="36203"/>
                    </a:cubicBezTo>
                    <a:lnTo>
                      <a:pt x="1009536" y="0"/>
                    </a:lnTo>
                    <a:close/>
                  </a:path>
                </a:pathLst>
              </a:custGeom>
              <a:solidFill>
                <a:srgbClr val="CFDC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8" name="Forma libre: forma 27">
                <a:extLst>
                  <a:ext uri="{FF2B5EF4-FFF2-40B4-BE49-F238E27FC236}">
                    <a16:creationId xmlns:a16="http://schemas.microsoft.com/office/drawing/2014/main" id="{675AB424-9C3B-21C5-A1F2-D284DD473788}"/>
                  </a:ext>
                </a:extLst>
              </xdr:cNvPr>
              <xdr:cNvSpPr/>
            </xdr:nvSpPr>
            <xdr:spPr>
              <a:xfrm>
                <a:off x="9169181" y="1869141"/>
                <a:ext cx="1776336" cy="1668242"/>
              </a:xfrm>
              <a:custGeom>
                <a:avLst/>
                <a:gdLst>
                  <a:gd name="connsiteX0" fmla="*/ 1009537 w 1776336"/>
                  <a:gd name="connsiteY0" fmla="*/ 0 h 1668242"/>
                  <a:gd name="connsiteX1" fmla="*/ 1129915 w 1776336"/>
                  <a:gd name="connsiteY1" fmla="*/ 83561 h 1668242"/>
                  <a:gd name="connsiteX2" fmla="*/ 1776336 w 1776336"/>
                  <a:gd name="connsiteY2" fmla="*/ 1355946 h 1668242"/>
                  <a:gd name="connsiteX3" fmla="*/ 1775285 w 1776336"/>
                  <a:gd name="connsiteY3" fmla="*/ 1375269 h 1668242"/>
                  <a:gd name="connsiteX4" fmla="*/ 1758914 w 1776336"/>
                  <a:gd name="connsiteY4" fmla="*/ 1386633 h 1668242"/>
                  <a:gd name="connsiteX5" fmla="*/ 765748 w 1776336"/>
                  <a:gd name="connsiteY5" fmla="*/ 1668242 h 1668242"/>
                  <a:gd name="connsiteX6" fmla="*/ 74318 w 1776336"/>
                  <a:gd name="connsiteY6" fmla="*/ 1538662 h 1668242"/>
                  <a:gd name="connsiteX7" fmla="*/ 0 w 1776336"/>
                  <a:gd name="connsiteY7" fmla="*/ 1505429 h 1668242"/>
                  <a:gd name="connsiteX8" fmla="*/ 80960 w 1776336"/>
                  <a:gd name="connsiteY8" fmla="*/ 1469226 h 1668242"/>
                  <a:gd name="connsiteX9" fmla="*/ 1010588 w 1776336"/>
                  <a:gd name="connsiteY9" fmla="*/ 19324 h 1668242"/>
                  <a:gd name="connsiteX10" fmla="*/ 1009537 w 1776336"/>
                  <a:gd name="connsiteY10" fmla="*/ 0 h 16682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776336" h="1668242">
                    <a:moveTo>
                      <a:pt x="1009537" y="0"/>
                    </a:moveTo>
                    <a:lnTo>
                      <a:pt x="1129915" y="83561"/>
                    </a:lnTo>
                    <a:cubicBezTo>
                      <a:pt x="1524701" y="385997"/>
                      <a:pt x="1776336" y="843693"/>
                      <a:pt x="1776336" y="1355946"/>
                    </a:cubicBezTo>
                    <a:lnTo>
                      <a:pt x="1775285" y="1375269"/>
                    </a:lnTo>
                    <a:lnTo>
                      <a:pt x="1758914" y="1386633"/>
                    </a:lnTo>
                    <a:cubicBezTo>
                      <a:pt x="1475409" y="1564426"/>
                      <a:pt x="1133639" y="1668242"/>
                      <a:pt x="765748" y="1668242"/>
                    </a:cubicBezTo>
                    <a:cubicBezTo>
                      <a:pt x="520487" y="1668242"/>
                      <a:pt x="286836" y="1622102"/>
                      <a:pt x="74318" y="1538662"/>
                    </a:cubicBezTo>
                    <a:lnTo>
                      <a:pt x="0" y="1505429"/>
                    </a:lnTo>
                    <a:lnTo>
                      <a:pt x="80960" y="1469226"/>
                    </a:lnTo>
                    <a:cubicBezTo>
                      <a:pt x="634688" y="1190000"/>
                      <a:pt x="1010588" y="645411"/>
                      <a:pt x="1010588" y="19324"/>
                    </a:cubicBezTo>
                    <a:lnTo>
                      <a:pt x="1009537" y="0"/>
                    </a:lnTo>
                    <a:close/>
                  </a:path>
                </a:pathLst>
              </a:custGeom>
              <a:solidFill>
                <a:srgbClr val="D6CF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1" name="Forma libre: forma 30">
                <a:extLst>
                  <a:ext uri="{FF2B5EF4-FFF2-40B4-BE49-F238E27FC236}">
                    <a16:creationId xmlns:a16="http://schemas.microsoft.com/office/drawing/2014/main" id="{D33F7ACE-6593-8449-0D8B-106D7FD70C55}"/>
                  </a:ext>
                </a:extLst>
              </xdr:cNvPr>
              <xdr:cNvSpPr/>
            </xdr:nvSpPr>
            <xdr:spPr>
              <a:xfrm>
                <a:off x="7392847" y="1869143"/>
                <a:ext cx="1776334" cy="1668241"/>
              </a:xfrm>
              <a:custGeom>
                <a:avLst/>
                <a:gdLst>
                  <a:gd name="connsiteX0" fmla="*/ 766798 w 1776334"/>
                  <a:gd name="connsiteY0" fmla="*/ 0 h 1668241"/>
                  <a:gd name="connsiteX1" fmla="*/ 765747 w 1776334"/>
                  <a:gd name="connsiteY1" fmla="*/ 19323 h 1668241"/>
                  <a:gd name="connsiteX2" fmla="*/ 1695375 w 1776334"/>
                  <a:gd name="connsiteY2" fmla="*/ 1469225 h 1668241"/>
                  <a:gd name="connsiteX3" fmla="*/ 1776334 w 1776334"/>
                  <a:gd name="connsiteY3" fmla="*/ 1505428 h 1668241"/>
                  <a:gd name="connsiteX4" fmla="*/ 1702017 w 1776334"/>
                  <a:gd name="connsiteY4" fmla="*/ 1538661 h 1668241"/>
                  <a:gd name="connsiteX5" fmla="*/ 1010587 w 1776334"/>
                  <a:gd name="connsiteY5" fmla="*/ 1668241 h 1668241"/>
                  <a:gd name="connsiteX6" fmla="*/ 17421 w 1776334"/>
                  <a:gd name="connsiteY6" fmla="*/ 1386632 h 1668241"/>
                  <a:gd name="connsiteX7" fmla="*/ 1051 w 1776334"/>
                  <a:gd name="connsiteY7" fmla="*/ 1375269 h 1668241"/>
                  <a:gd name="connsiteX8" fmla="*/ 0 w 1776334"/>
                  <a:gd name="connsiteY8" fmla="*/ 1355945 h 1668241"/>
                  <a:gd name="connsiteX9" fmla="*/ 646421 w 1776334"/>
                  <a:gd name="connsiteY9" fmla="*/ 83560 h 1668241"/>
                  <a:gd name="connsiteX10" fmla="*/ 766798 w 1776334"/>
                  <a:gd name="connsiteY10" fmla="*/ 0 h 16682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776334" h="1668241">
                    <a:moveTo>
                      <a:pt x="766798" y="0"/>
                    </a:moveTo>
                    <a:lnTo>
                      <a:pt x="765747" y="19323"/>
                    </a:lnTo>
                    <a:cubicBezTo>
                      <a:pt x="765747" y="645410"/>
                      <a:pt x="1141647" y="1189999"/>
                      <a:pt x="1695375" y="1469225"/>
                    </a:cubicBezTo>
                    <a:lnTo>
                      <a:pt x="1776334" y="1505428"/>
                    </a:lnTo>
                    <a:lnTo>
                      <a:pt x="1702017" y="1538661"/>
                    </a:lnTo>
                    <a:cubicBezTo>
                      <a:pt x="1489499" y="1622101"/>
                      <a:pt x="1255848" y="1668241"/>
                      <a:pt x="1010587" y="1668241"/>
                    </a:cubicBezTo>
                    <a:cubicBezTo>
                      <a:pt x="642696" y="1668241"/>
                      <a:pt x="300926" y="1564425"/>
                      <a:pt x="17421" y="1386632"/>
                    </a:cubicBezTo>
                    <a:lnTo>
                      <a:pt x="1051" y="1375269"/>
                    </a:lnTo>
                    <a:lnTo>
                      <a:pt x="0" y="1355945"/>
                    </a:lnTo>
                    <a:cubicBezTo>
                      <a:pt x="0" y="843692"/>
                      <a:pt x="251636" y="385996"/>
                      <a:pt x="646421" y="83560"/>
                    </a:cubicBezTo>
                    <a:lnTo>
                      <a:pt x="766798" y="0"/>
                    </a:lnTo>
                    <a:close/>
                  </a:path>
                </a:pathLst>
              </a:custGeom>
              <a:solidFill>
                <a:srgbClr val="9CB3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sz="1200"/>
              </a:p>
            </xdr:txBody>
          </xdr:sp>
          <xdr:sp macro="" textlink="">
            <xdr:nvSpPr>
              <xdr:cNvPr id="32" name="Forma libre: forma 31">
                <a:extLst>
                  <a:ext uri="{FF2B5EF4-FFF2-40B4-BE49-F238E27FC236}">
                    <a16:creationId xmlns:a16="http://schemas.microsoft.com/office/drawing/2014/main" id="{D0F2E677-18B6-50F5-EE1F-C9A53F3D4454}"/>
                  </a:ext>
                </a:extLst>
              </xdr:cNvPr>
              <xdr:cNvSpPr/>
            </xdr:nvSpPr>
            <xdr:spPr>
              <a:xfrm>
                <a:off x="6627099" y="239547"/>
                <a:ext cx="2542082" cy="3004864"/>
              </a:xfrm>
              <a:custGeom>
                <a:avLst/>
                <a:gdLst>
                  <a:gd name="connsiteX0" fmla="*/ 1776335 w 2542082"/>
                  <a:gd name="connsiteY0" fmla="*/ 0 h 3004864"/>
                  <a:gd name="connsiteX1" fmla="*/ 2467765 w 2542082"/>
                  <a:gd name="connsiteY1" fmla="*/ 129580 h 3004864"/>
                  <a:gd name="connsiteX2" fmla="*/ 2542082 w 2542082"/>
                  <a:gd name="connsiteY2" fmla="*/ 162813 h 3004864"/>
                  <a:gd name="connsiteX3" fmla="*/ 2461123 w 2542082"/>
                  <a:gd name="connsiteY3" fmla="*/ 199016 h 3004864"/>
                  <a:gd name="connsiteX4" fmla="*/ 1540666 w 2542082"/>
                  <a:gd name="connsiteY4" fmla="*/ 1480326 h 3004864"/>
                  <a:gd name="connsiteX5" fmla="*/ 1532546 w 2542082"/>
                  <a:gd name="connsiteY5" fmla="*/ 1629595 h 3004864"/>
                  <a:gd name="connsiteX6" fmla="*/ 1412169 w 2542082"/>
                  <a:gd name="connsiteY6" fmla="*/ 1713155 h 3004864"/>
                  <a:gd name="connsiteX7" fmla="*/ 765748 w 2542082"/>
                  <a:gd name="connsiteY7" fmla="*/ 2985540 h 3004864"/>
                  <a:gd name="connsiteX8" fmla="*/ 766799 w 2542082"/>
                  <a:gd name="connsiteY8" fmla="*/ 3004864 h 3004864"/>
                  <a:gd name="connsiteX9" fmla="*/ 646421 w 2542082"/>
                  <a:gd name="connsiteY9" fmla="*/ 2921303 h 3004864"/>
                  <a:gd name="connsiteX10" fmla="*/ 0 w 2542082"/>
                  <a:gd name="connsiteY10" fmla="*/ 1648918 h 3004864"/>
                  <a:gd name="connsiteX11" fmla="*/ 1776335 w 2542082"/>
                  <a:gd name="connsiteY11" fmla="*/ 0 h 30048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542082" h="3004864">
                    <a:moveTo>
                      <a:pt x="1776335" y="0"/>
                    </a:moveTo>
                    <a:cubicBezTo>
                      <a:pt x="2021596" y="0"/>
                      <a:pt x="2255247" y="46140"/>
                      <a:pt x="2467765" y="129580"/>
                    </a:cubicBezTo>
                    <a:lnTo>
                      <a:pt x="2542082" y="162813"/>
                    </a:lnTo>
                    <a:lnTo>
                      <a:pt x="2461123" y="199016"/>
                    </a:lnTo>
                    <a:cubicBezTo>
                      <a:pt x="1957734" y="452858"/>
                      <a:pt x="1601310" y="926008"/>
                      <a:pt x="1540666" y="1480326"/>
                    </a:cubicBezTo>
                    <a:lnTo>
                      <a:pt x="1532546" y="1629595"/>
                    </a:lnTo>
                    <a:lnTo>
                      <a:pt x="1412169" y="1713155"/>
                    </a:lnTo>
                    <a:cubicBezTo>
                      <a:pt x="1017384" y="2015591"/>
                      <a:pt x="765748" y="2473287"/>
                      <a:pt x="765748" y="2985540"/>
                    </a:cubicBezTo>
                    <a:lnTo>
                      <a:pt x="766799" y="3004864"/>
                    </a:lnTo>
                    <a:lnTo>
                      <a:pt x="646421" y="2921303"/>
                    </a:lnTo>
                    <a:cubicBezTo>
                      <a:pt x="251636" y="2618867"/>
                      <a:pt x="0" y="2161171"/>
                      <a:pt x="0" y="1648918"/>
                    </a:cubicBezTo>
                    <a:cubicBezTo>
                      <a:pt x="0" y="738246"/>
                      <a:pt x="795292" y="0"/>
                      <a:pt x="1776335"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3" name="Forma libre: forma 32">
                <a:extLst>
                  <a:ext uri="{FF2B5EF4-FFF2-40B4-BE49-F238E27FC236}">
                    <a16:creationId xmlns:a16="http://schemas.microsoft.com/office/drawing/2014/main" id="{15581FA3-A38C-2C58-3648-4ECC92677BB2}"/>
                  </a:ext>
                </a:extLst>
              </xdr:cNvPr>
              <xdr:cNvSpPr/>
            </xdr:nvSpPr>
            <xdr:spPr>
              <a:xfrm>
                <a:off x="9169181" y="239548"/>
                <a:ext cx="2542083" cy="3004863"/>
              </a:xfrm>
              <a:custGeom>
                <a:avLst/>
                <a:gdLst>
                  <a:gd name="connsiteX0" fmla="*/ 765748 w 2542083"/>
                  <a:gd name="connsiteY0" fmla="*/ 0 h 3004863"/>
                  <a:gd name="connsiteX1" fmla="*/ 2542083 w 2542083"/>
                  <a:gd name="connsiteY1" fmla="*/ 1648918 h 3004863"/>
                  <a:gd name="connsiteX2" fmla="*/ 1895662 w 2542083"/>
                  <a:gd name="connsiteY2" fmla="*/ 2921303 h 3004863"/>
                  <a:gd name="connsiteX3" fmla="*/ 1775285 w 2542083"/>
                  <a:gd name="connsiteY3" fmla="*/ 3004863 h 3004863"/>
                  <a:gd name="connsiteX4" fmla="*/ 1776336 w 2542083"/>
                  <a:gd name="connsiteY4" fmla="*/ 2985540 h 3004863"/>
                  <a:gd name="connsiteX5" fmla="*/ 1129915 w 2542083"/>
                  <a:gd name="connsiteY5" fmla="*/ 1713155 h 3004863"/>
                  <a:gd name="connsiteX6" fmla="*/ 1009537 w 2542083"/>
                  <a:gd name="connsiteY6" fmla="*/ 1629594 h 3004863"/>
                  <a:gd name="connsiteX7" fmla="*/ 1001417 w 2542083"/>
                  <a:gd name="connsiteY7" fmla="*/ 1480326 h 3004863"/>
                  <a:gd name="connsiteX8" fmla="*/ 80960 w 2542083"/>
                  <a:gd name="connsiteY8" fmla="*/ 199016 h 3004863"/>
                  <a:gd name="connsiteX9" fmla="*/ 0 w 2542083"/>
                  <a:gd name="connsiteY9" fmla="*/ 162813 h 3004863"/>
                  <a:gd name="connsiteX10" fmla="*/ 74318 w 2542083"/>
                  <a:gd name="connsiteY10" fmla="*/ 129580 h 3004863"/>
                  <a:gd name="connsiteX11" fmla="*/ 765748 w 2542083"/>
                  <a:gd name="connsiteY11" fmla="*/ 0 h 30048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542083" h="3004863">
                    <a:moveTo>
                      <a:pt x="765748" y="0"/>
                    </a:moveTo>
                    <a:cubicBezTo>
                      <a:pt x="1746791" y="0"/>
                      <a:pt x="2542083" y="738246"/>
                      <a:pt x="2542083" y="1648918"/>
                    </a:cubicBezTo>
                    <a:cubicBezTo>
                      <a:pt x="2542083" y="2161171"/>
                      <a:pt x="2290448" y="2618867"/>
                      <a:pt x="1895662" y="2921303"/>
                    </a:cubicBezTo>
                    <a:lnTo>
                      <a:pt x="1775285" y="3004863"/>
                    </a:lnTo>
                    <a:lnTo>
                      <a:pt x="1776336" y="2985540"/>
                    </a:lnTo>
                    <a:cubicBezTo>
                      <a:pt x="1776336" y="2473287"/>
                      <a:pt x="1524701" y="2015591"/>
                      <a:pt x="1129915" y="1713155"/>
                    </a:cubicBezTo>
                    <a:lnTo>
                      <a:pt x="1009537" y="1629594"/>
                    </a:lnTo>
                    <a:lnTo>
                      <a:pt x="1001417" y="1480326"/>
                    </a:lnTo>
                    <a:cubicBezTo>
                      <a:pt x="940773" y="926008"/>
                      <a:pt x="584349" y="452858"/>
                      <a:pt x="80960" y="199016"/>
                    </a:cubicBezTo>
                    <a:lnTo>
                      <a:pt x="0" y="162813"/>
                    </a:lnTo>
                    <a:lnTo>
                      <a:pt x="74318" y="129580"/>
                    </a:lnTo>
                    <a:cubicBezTo>
                      <a:pt x="286836" y="46140"/>
                      <a:pt x="520487" y="0"/>
                      <a:pt x="765748" y="0"/>
                    </a:cubicBezTo>
                    <a:close/>
                  </a:path>
                </a:pathLst>
              </a:custGeom>
              <a:solidFill>
                <a:srgbClr val="EAE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4" name="Forma libre: forma 33">
                <a:extLst>
                  <a:ext uri="{FF2B5EF4-FFF2-40B4-BE49-F238E27FC236}">
                    <a16:creationId xmlns:a16="http://schemas.microsoft.com/office/drawing/2014/main" id="{568F44BD-5506-FAC7-DBE3-BD730422540A}"/>
                  </a:ext>
                </a:extLst>
              </xdr:cNvPr>
              <xdr:cNvSpPr/>
            </xdr:nvSpPr>
            <xdr:spPr>
              <a:xfrm>
                <a:off x="8158594" y="1576170"/>
                <a:ext cx="2021175" cy="1798401"/>
              </a:xfrm>
              <a:custGeom>
                <a:avLst/>
                <a:gdLst>
                  <a:gd name="connsiteX0" fmla="*/ 1010588 w 2021175"/>
                  <a:gd name="connsiteY0" fmla="*/ 0 h 1798401"/>
                  <a:gd name="connsiteX1" fmla="*/ 2003754 w 2021175"/>
                  <a:gd name="connsiteY1" fmla="*/ 281609 h 1798401"/>
                  <a:gd name="connsiteX2" fmla="*/ 2020124 w 2021175"/>
                  <a:gd name="connsiteY2" fmla="*/ 292972 h 1798401"/>
                  <a:gd name="connsiteX3" fmla="*/ 2021175 w 2021175"/>
                  <a:gd name="connsiteY3" fmla="*/ 312296 h 1798401"/>
                  <a:gd name="connsiteX4" fmla="*/ 1091547 w 2021175"/>
                  <a:gd name="connsiteY4" fmla="*/ 1762198 h 1798401"/>
                  <a:gd name="connsiteX5" fmla="*/ 1010587 w 2021175"/>
                  <a:gd name="connsiteY5" fmla="*/ 1798401 h 1798401"/>
                  <a:gd name="connsiteX6" fmla="*/ 929628 w 2021175"/>
                  <a:gd name="connsiteY6" fmla="*/ 1762198 h 1798401"/>
                  <a:gd name="connsiteX7" fmla="*/ 0 w 2021175"/>
                  <a:gd name="connsiteY7" fmla="*/ 312296 h 1798401"/>
                  <a:gd name="connsiteX8" fmla="*/ 1051 w 2021175"/>
                  <a:gd name="connsiteY8" fmla="*/ 292973 h 1798401"/>
                  <a:gd name="connsiteX9" fmla="*/ 17422 w 2021175"/>
                  <a:gd name="connsiteY9" fmla="*/ 281609 h 1798401"/>
                  <a:gd name="connsiteX10" fmla="*/ 1010588 w 2021175"/>
                  <a:gd name="connsiteY10" fmla="*/ 0 h 179840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021175" h="1798401">
                    <a:moveTo>
                      <a:pt x="1010588" y="0"/>
                    </a:moveTo>
                    <a:cubicBezTo>
                      <a:pt x="1378479" y="0"/>
                      <a:pt x="1720249" y="103816"/>
                      <a:pt x="2003754" y="281609"/>
                    </a:cubicBezTo>
                    <a:lnTo>
                      <a:pt x="2020124" y="292972"/>
                    </a:lnTo>
                    <a:lnTo>
                      <a:pt x="2021175" y="312296"/>
                    </a:lnTo>
                    <a:cubicBezTo>
                      <a:pt x="2021175" y="938383"/>
                      <a:pt x="1645275" y="1482972"/>
                      <a:pt x="1091547" y="1762198"/>
                    </a:cubicBezTo>
                    <a:lnTo>
                      <a:pt x="1010587" y="1798401"/>
                    </a:lnTo>
                    <a:lnTo>
                      <a:pt x="929628" y="1762198"/>
                    </a:lnTo>
                    <a:cubicBezTo>
                      <a:pt x="375900" y="1482972"/>
                      <a:pt x="0" y="938383"/>
                      <a:pt x="0" y="312296"/>
                    </a:cubicBezTo>
                    <a:lnTo>
                      <a:pt x="1051" y="292973"/>
                    </a:lnTo>
                    <a:lnTo>
                      <a:pt x="17422" y="281609"/>
                    </a:lnTo>
                    <a:cubicBezTo>
                      <a:pt x="300927" y="103816"/>
                      <a:pt x="642697" y="0"/>
                      <a:pt x="1010588" y="0"/>
                    </a:cubicBezTo>
                    <a:close/>
                  </a:path>
                </a:pathLst>
              </a:custGeom>
              <a:solidFill>
                <a:srgbClr val="BECA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5" name="Forma libre: forma 34">
                <a:extLst>
                  <a:ext uri="{FF2B5EF4-FFF2-40B4-BE49-F238E27FC236}">
                    <a16:creationId xmlns:a16="http://schemas.microsoft.com/office/drawing/2014/main" id="{BF6EF3CF-08B7-B377-9C5D-FD1128F221A1}"/>
                  </a:ext>
                </a:extLst>
              </xdr:cNvPr>
              <xdr:cNvSpPr/>
            </xdr:nvSpPr>
            <xdr:spPr>
              <a:xfrm>
                <a:off x="7393898" y="3244411"/>
                <a:ext cx="3550568" cy="1629595"/>
              </a:xfrm>
              <a:custGeom>
                <a:avLst/>
                <a:gdLst>
                  <a:gd name="connsiteX0" fmla="*/ 3550568 w 3550568"/>
                  <a:gd name="connsiteY0" fmla="*/ 0 h 1629595"/>
                  <a:gd name="connsiteX1" fmla="*/ 3542448 w 3550568"/>
                  <a:gd name="connsiteY1" fmla="*/ 149269 h 1629595"/>
                  <a:gd name="connsiteX2" fmla="*/ 1775284 w 3550568"/>
                  <a:gd name="connsiteY2" fmla="*/ 1629595 h 1629595"/>
                  <a:gd name="connsiteX3" fmla="*/ 8120 w 3550568"/>
                  <a:gd name="connsiteY3" fmla="*/ 149269 h 1629595"/>
                  <a:gd name="connsiteX4" fmla="*/ 0 w 3550568"/>
                  <a:gd name="connsiteY4" fmla="*/ 1 h 1629595"/>
                  <a:gd name="connsiteX5" fmla="*/ 16370 w 3550568"/>
                  <a:gd name="connsiteY5" fmla="*/ 11364 h 1629595"/>
                  <a:gd name="connsiteX6" fmla="*/ 1009536 w 3550568"/>
                  <a:gd name="connsiteY6" fmla="*/ 292973 h 1629595"/>
                  <a:gd name="connsiteX7" fmla="*/ 1700966 w 3550568"/>
                  <a:gd name="connsiteY7" fmla="*/ 163393 h 1629595"/>
                  <a:gd name="connsiteX8" fmla="*/ 1775283 w 3550568"/>
                  <a:gd name="connsiteY8" fmla="*/ 130160 h 1629595"/>
                  <a:gd name="connsiteX9" fmla="*/ 1849601 w 3550568"/>
                  <a:gd name="connsiteY9" fmla="*/ 163393 h 1629595"/>
                  <a:gd name="connsiteX10" fmla="*/ 2541031 w 3550568"/>
                  <a:gd name="connsiteY10" fmla="*/ 292973 h 1629595"/>
                  <a:gd name="connsiteX11" fmla="*/ 3534197 w 3550568"/>
                  <a:gd name="connsiteY11" fmla="*/ 11364 h 1629595"/>
                  <a:gd name="connsiteX12" fmla="*/ 3550568 w 3550568"/>
                  <a:gd name="connsiteY12" fmla="*/ 0 h 162959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3550568" h="1629595">
                    <a:moveTo>
                      <a:pt x="3550568" y="0"/>
                    </a:moveTo>
                    <a:lnTo>
                      <a:pt x="3542448" y="149269"/>
                    </a:lnTo>
                    <a:cubicBezTo>
                      <a:pt x="3451482" y="980746"/>
                      <a:pt x="2695012" y="1629595"/>
                      <a:pt x="1775284" y="1629595"/>
                    </a:cubicBezTo>
                    <a:cubicBezTo>
                      <a:pt x="855556" y="1629595"/>
                      <a:pt x="99086" y="980746"/>
                      <a:pt x="8120" y="149269"/>
                    </a:cubicBezTo>
                    <a:lnTo>
                      <a:pt x="0" y="1"/>
                    </a:lnTo>
                    <a:lnTo>
                      <a:pt x="16370" y="11364"/>
                    </a:lnTo>
                    <a:cubicBezTo>
                      <a:pt x="299875" y="189157"/>
                      <a:pt x="641645" y="292973"/>
                      <a:pt x="1009536" y="292973"/>
                    </a:cubicBezTo>
                    <a:cubicBezTo>
                      <a:pt x="1254797" y="292973"/>
                      <a:pt x="1488448" y="246833"/>
                      <a:pt x="1700966" y="163393"/>
                    </a:cubicBezTo>
                    <a:lnTo>
                      <a:pt x="1775283" y="130160"/>
                    </a:lnTo>
                    <a:lnTo>
                      <a:pt x="1849601" y="163393"/>
                    </a:lnTo>
                    <a:cubicBezTo>
                      <a:pt x="2062119" y="246833"/>
                      <a:pt x="2295770" y="292973"/>
                      <a:pt x="2541031" y="292973"/>
                    </a:cubicBezTo>
                    <a:cubicBezTo>
                      <a:pt x="2908922" y="292973"/>
                      <a:pt x="3250692" y="189157"/>
                      <a:pt x="3534197" y="11364"/>
                    </a:cubicBezTo>
                    <a:lnTo>
                      <a:pt x="3550568" y="0"/>
                    </a:lnTo>
                    <a:close/>
                  </a:path>
                </a:pathLst>
              </a:custGeom>
              <a:solidFill>
                <a:srgbClr val="B0A2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grpSp>
        <xdr:grpSp>
          <xdr:nvGrpSpPr>
            <xdr:cNvPr id="23" name="Grupo 22">
              <a:extLst>
                <a:ext uri="{FF2B5EF4-FFF2-40B4-BE49-F238E27FC236}">
                  <a16:creationId xmlns:a16="http://schemas.microsoft.com/office/drawing/2014/main" id="{DD4AEF0C-B10C-A8B9-D991-9529A1F6DE6D}"/>
                </a:ext>
              </a:extLst>
            </xdr:cNvPr>
            <xdr:cNvGrpSpPr/>
          </xdr:nvGrpSpPr>
          <xdr:grpSpPr>
            <a:xfrm>
              <a:off x="3575352" y="239547"/>
              <a:ext cx="5084164" cy="4634458"/>
              <a:chOff x="523604" y="239547"/>
              <a:chExt cx="5084164" cy="4634458"/>
            </a:xfrm>
          </xdr:grpSpPr>
          <xdr:sp macro="" textlink="">
            <xdr:nvSpPr>
              <xdr:cNvPr id="24" name="Elipse 23">
                <a:extLst>
                  <a:ext uri="{FF2B5EF4-FFF2-40B4-BE49-F238E27FC236}">
                    <a16:creationId xmlns:a16="http://schemas.microsoft.com/office/drawing/2014/main" id="{4E3DBF42-5E40-C347-B854-BB453442E205}"/>
                  </a:ext>
                </a:extLst>
              </xdr:cNvPr>
              <xdr:cNvSpPr/>
            </xdr:nvSpPr>
            <xdr:spPr>
              <a:xfrm>
                <a:off x="523604" y="239547"/>
                <a:ext cx="3552669" cy="3297836"/>
              </a:xfrm>
              <a:prstGeom prst="ellipse">
                <a:avLst/>
              </a:prstGeom>
              <a:noFill/>
              <a:ln w="19050">
                <a:solidFill>
                  <a:srgbClr val="4D947B">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5" name="Elipse 24">
                <a:extLst>
                  <a:ext uri="{FF2B5EF4-FFF2-40B4-BE49-F238E27FC236}">
                    <a16:creationId xmlns:a16="http://schemas.microsoft.com/office/drawing/2014/main" id="{06DC2029-39D5-DE35-7B99-7F42D9089A99}"/>
                  </a:ext>
                </a:extLst>
              </xdr:cNvPr>
              <xdr:cNvSpPr/>
            </xdr:nvSpPr>
            <xdr:spPr>
              <a:xfrm>
                <a:off x="2055099" y="239547"/>
                <a:ext cx="3552669" cy="3297836"/>
              </a:xfrm>
              <a:prstGeom prst="ellipse">
                <a:avLst/>
              </a:prstGeom>
              <a:noFill/>
              <a:ln>
                <a:solidFill>
                  <a:srgbClr val="AFA927">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6" name="Elipse 25">
                <a:extLst>
                  <a:ext uri="{FF2B5EF4-FFF2-40B4-BE49-F238E27FC236}">
                    <a16:creationId xmlns:a16="http://schemas.microsoft.com/office/drawing/2014/main" id="{F44A9F4F-1E37-30A8-7FDB-DE0B3B675F16}"/>
                  </a:ext>
                </a:extLst>
              </xdr:cNvPr>
              <xdr:cNvSpPr/>
            </xdr:nvSpPr>
            <xdr:spPr>
              <a:xfrm>
                <a:off x="1289352" y="1576169"/>
                <a:ext cx="3552669" cy="3297836"/>
              </a:xfrm>
              <a:prstGeom prst="ellipse">
                <a:avLst/>
              </a:prstGeom>
              <a:noFill/>
              <a:ln>
                <a:solidFill>
                  <a:srgbClr val="786256">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grpSp>
      </xdr:grpSp>
      <xdr:sp macro="" textlink="$Q$137">
        <xdr:nvSpPr>
          <xdr:cNvPr id="20" name="Rectángulo 19">
            <a:extLst>
              <a:ext uri="{FF2B5EF4-FFF2-40B4-BE49-F238E27FC236}">
                <a16:creationId xmlns:a16="http://schemas.microsoft.com/office/drawing/2014/main" id="{CA9E4E4C-FD8F-19A1-79EE-CD7DDFC8E7BB}"/>
              </a:ext>
            </a:extLst>
          </xdr:cNvPr>
          <xdr:cNvSpPr/>
        </xdr:nvSpPr>
        <xdr:spPr>
          <a:xfrm>
            <a:off x="1748117" y="2721460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3AB5FD-64A0-451F-810B-6A268EF63418}"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9">
        <xdr:nvSpPr>
          <xdr:cNvPr id="36" name="Rectángulo 35">
            <a:extLst>
              <a:ext uri="{FF2B5EF4-FFF2-40B4-BE49-F238E27FC236}">
                <a16:creationId xmlns:a16="http://schemas.microsoft.com/office/drawing/2014/main" id="{66BB8732-B4F8-4CFE-BFAF-78E35FFEAC23}"/>
              </a:ext>
            </a:extLst>
          </xdr:cNvPr>
          <xdr:cNvSpPr/>
        </xdr:nvSpPr>
        <xdr:spPr>
          <a:xfrm>
            <a:off x="3036794" y="2696807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FA99A5-4A81-43B1-A827-47FE10D7AC2A}"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5">
        <xdr:nvSpPr>
          <xdr:cNvPr id="37" name="Rectángulo 36">
            <a:extLst>
              <a:ext uri="{FF2B5EF4-FFF2-40B4-BE49-F238E27FC236}">
                <a16:creationId xmlns:a16="http://schemas.microsoft.com/office/drawing/2014/main" id="{8FF6CEF4-E796-4858-923B-674928982723}"/>
              </a:ext>
            </a:extLst>
          </xdr:cNvPr>
          <xdr:cNvSpPr/>
        </xdr:nvSpPr>
        <xdr:spPr>
          <a:xfrm>
            <a:off x="4428564" y="2721460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4A8655-7CBE-4D83-9B86-321BEDABEDAE}"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41">
        <xdr:nvSpPr>
          <xdr:cNvPr id="38" name="Rectángulo 37">
            <a:extLst>
              <a:ext uri="{FF2B5EF4-FFF2-40B4-BE49-F238E27FC236}">
                <a16:creationId xmlns:a16="http://schemas.microsoft.com/office/drawing/2014/main" id="{CCE9E713-D289-4FB6-B50C-F828877A3731}"/>
              </a:ext>
            </a:extLst>
          </xdr:cNvPr>
          <xdr:cNvSpPr/>
        </xdr:nvSpPr>
        <xdr:spPr>
          <a:xfrm>
            <a:off x="3036794" y="2786678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186150-E99F-4EDF-8AF4-A42A480808FB}"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6">
        <xdr:nvSpPr>
          <xdr:cNvPr id="39" name="Rectángulo 38">
            <a:extLst>
              <a:ext uri="{FF2B5EF4-FFF2-40B4-BE49-F238E27FC236}">
                <a16:creationId xmlns:a16="http://schemas.microsoft.com/office/drawing/2014/main" id="{D7022232-7633-470D-AC59-79A9CAAB76C7}"/>
              </a:ext>
            </a:extLst>
          </xdr:cNvPr>
          <xdr:cNvSpPr/>
        </xdr:nvSpPr>
        <xdr:spPr>
          <a:xfrm>
            <a:off x="3036794" y="29128568"/>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804954D-3CC5-4A0F-A86A-F886C203DAB3}"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40">
        <xdr:nvSpPr>
          <xdr:cNvPr id="40" name="Rectángulo 39">
            <a:extLst>
              <a:ext uri="{FF2B5EF4-FFF2-40B4-BE49-F238E27FC236}">
                <a16:creationId xmlns:a16="http://schemas.microsoft.com/office/drawing/2014/main" id="{DE3B68EA-F957-4994-8F5B-A4DD4203C160}"/>
              </a:ext>
            </a:extLst>
          </xdr:cNvPr>
          <xdr:cNvSpPr/>
        </xdr:nvSpPr>
        <xdr:spPr>
          <a:xfrm>
            <a:off x="2073088" y="2828700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94A8EE-E92F-471A-BEAE-4AF2F38805C6}"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8">
        <xdr:nvSpPr>
          <xdr:cNvPr id="41" name="Rectángulo 40">
            <a:extLst>
              <a:ext uri="{FF2B5EF4-FFF2-40B4-BE49-F238E27FC236}">
                <a16:creationId xmlns:a16="http://schemas.microsoft.com/office/drawing/2014/main" id="{73989F5C-EDDA-43C6-AF67-C23AA72543D0}"/>
              </a:ext>
            </a:extLst>
          </xdr:cNvPr>
          <xdr:cNvSpPr/>
        </xdr:nvSpPr>
        <xdr:spPr>
          <a:xfrm>
            <a:off x="3973606" y="2828700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AD7A93-3181-4FBC-A018-1EE8993B2BA1}"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grpSp>
    <xdr:clientData/>
  </xdr:twoCellAnchor>
  <xdr:twoCellAnchor editAs="absolute">
    <xdr:from>
      <xdr:col>1</xdr:col>
      <xdr:colOff>-1</xdr:colOff>
      <xdr:row>43</xdr:row>
      <xdr:rowOff>0</xdr:rowOff>
    </xdr:from>
    <xdr:to>
      <xdr:col>7</xdr:col>
      <xdr:colOff>-1</xdr:colOff>
      <xdr:row>46</xdr:row>
      <xdr:rowOff>0</xdr:rowOff>
    </xdr:to>
    <xdr:sp macro="" textlink="$X$2">
      <xdr:nvSpPr>
        <xdr:cNvPr id="43" name="Rectángulo 42">
          <a:extLst>
            <a:ext uri="{FF2B5EF4-FFF2-40B4-BE49-F238E27FC236}">
              <a16:creationId xmlns:a16="http://schemas.microsoft.com/office/drawing/2014/main" id="{3C1E4657-30A1-326E-2163-CAB5CD55B74B}"/>
            </a:ext>
          </a:extLst>
        </xdr:cNvPr>
        <xdr:cNvSpPr/>
      </xdr:nvSpPr>
      <xdr:spPr>
        <a:xfrm>
          <a:off x="324970" y="9648265"/>
          <a:ext cx="6387353" cy="571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B3D56F34-9384-41CE-B1E3-FAE1552480EE}" type="TxLink">
            <a:rPr lang="en-US" sz="1100" b="0" i="0" u="none" strike="noStrike">
              <a:solidFill>
                <a:srgbClr val="FF0000"/>
              </a:solidFill>
              <a:latin typeface="+mj-lt"/>
              <a:ea typeface="Calibri"/>
              <a:cs typeface="Calibri"/>
            </a:rPr>
            <a:pPr algn="l"/>
            <a:t> </a:t>
          </a:fld>
          <a:endParaRPr lang="es-CO" sz="1100">
            <a:solidFill>
              <a:srgbClr val="FF0000"/>
            </a:solidFill>
            <a:latin typeface="+mj-lt"/>
          </a:endParaRPr>
        </a:p>
      </xdr:txBody>
    </xdr:sp>
    <xdr:clientData/>
  </xdr:twoCellAnchor>
</xdr:wsDr>
</file>

<file path=xl/tables/table1.xml><?xml version="1.0" encoding="utf-8"?>
<table xmlns="http://schemas.openxmlformats.org/spreadsheetml/2006/main" xmlns:mc="http://schemas.openxmlformats.org/markup-compatibility/2006" id="1" name="seguim_fciero" displayName="seguim_fciero" ref="A7:X92" totalsRowCount="0" totalsRowShown="0">
  <autoFilter ref="A7:X92"/>
  <tableColumns count="24">
    <tableColumn id="1" name="Consecutivos IP (SisPT)"/>
    <tableColumn id="2" name="Código Sector (MGA)"/>
    <tableColumn id="3" name="Sector (MGA)"/>
    <tableColumn id="4" name="Código Programa (MGA)"/>
    <tableColumn id="5" name="Programa (MGA)"/>
    <tableColumn id="6" name="Código Producto (MGA)"/>
    <tableColumn id="7" name="Producto (MGA)"/>
    <tableColumn id="8" name="Descripción del Producto (MGA)"/>
    <tableColumn id="9" name="Códigos BPIN Asociados"/>
    <tableColumn id="10" name="Programación Cuatrienio SisPT"/>
    <tableColumn id="11" name="Programado 2024 (SisPT)"/>
    <tableColumn id="12" name="Programado 2025 (SisPT)"/>
    <tableColumn id="13" name="Programado 2026 (SisPT)"/>
    <tableColumn id="14" name="Programado 2027 (SisPT)"/>
    <tableColumn id="15" name="Compromisos 2024 (CUIPO)"/>
    <tableColumn id="16" name="Obligaciones 2024 (CUIPO)"/>
    <tableColumn id="17" name="Pagos 2024 (CUIPO)"/>
    <tableColumn id="18" name="Obligaciones como % de lo programado (2024)"/>
    <tableColumn id="19" name="Explicación del valor 2024"/>
    <tableColumn id="20" name="Compromisos 2025 (CUIPO)"/>
    <tableColumn id="21" name="Obligaciones 2025 (CUIPO)"/>
    <tableColumn id="22" name="Pagos 2025 (CUIPO)"/>
    <tableColumn id="23" name="Obligaciones como % de lo programado (2025)"/>
    <tableColumn id="24" name="Explicación del valor 202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id="2" name="seguim_fisico" displayName="seguim_fisico" ref="A7:W92" totalsRowCount="0" totalsRowShown="0">
  <autoFilter ref="A7:W92"/>
  <tableColumns count="23">
    <tableColumn id="1" name="Consecutivos IP (SisPT)"/>
    <tableColumn id="2" name="Código Sector (MGA)"/>
    <tableColumn id="3" name="Sector (MGA)"/>
    <tableColumn id="4" name="Código Programa (MGA)"/>
    <tableColumn id="5" name="Programa (MGA)"/>
    <tableColumn id="6" name="Código Producto (MGA)"/>
    <tableColumn id="7" name="Producto (MGA)"/>
    <tableColumn id="8" name="Código Indicador Producto (MGA)"/>
    <tableColumn id="9" name="Indicador Producto (MGA)"/>
    <tableColumn id="10" name="Códigos BPIN Asociados"/>
    <tableColumn id="11" name="Acumulativo"/>
    <tableColumn id="12" name="Unidad de Medida"/>
    <tableColumn id="13" name="Meta del Cuatrenio (SisPT)"/>
    <tableColumn id="14" name="Programado 2024 (SisPT)"/>
    <tableColumn id="15" name="Programado 2025 (SisPT)"/>
    <tableColumn id="16" name="Programado 2026 (SisPT)"/>
    <tableColumn id="17" name="Programado 2027 (SisPT)"/>
    <tableColumn id="18" name="Ejecución Física 2024 (PIIP)"/>
    <tableColumn id="19" name="Avance físico 2024 (%)"/>
    <tableColumn id="20" name="Explicación del valor 2024"/>
    <tableColumn id="21" name="Ejecución Física 2025 (PIIP)"/>
    <tableColumn id="22" name="Avance físico 2025 (%)"/>
    <tableColumn id="23" name="Explicación del valor 2025"/>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ersonalizado 4">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AB154"/>
  <sheetViews>
    <sheetView showRowColHeaders="0" tabSelected="1" zoomScale="85" zoomScaleNormal="85" workbookViewId="0">
      <selection activeCell="D16" sqref="D16:E16"/>
    </sheetView>
  </sheetViews>
  <sheetFormatPr baseColWidth="10" defaultColWidth="0" defaultRowHeight="15" zeroHeight="1" x14ac:dyDescent="0.25"/>
  <cols>
    <col min="1" max="1" width="4.85546875" style="1" customWidth="1"/>
    <col min="2" max="2" width="18.42578125" style="1" customWidth="1"/>
    <col min="3" max="12" width="15.42578125" style="1" customWidth="1"/>
    <col min="13" max="13" width="18.42578125" style="1" customWidth="1"/>
    <col min="14" max="14" width="4.85546875" style="1" customWidth="1"/>
    <col min="15" max="15" width="14.28515625" style="1" hidden="1"/>
    <col min="16" max="23" width="11.5703125" style="1" hidden="1"/>
    <col min="24" max="27" width="8" style="1" hidden="1"/>
    <col min="28" max="16384" width="11.5703125" style="1" hidden="1"/>
  </cols>
  <sheetData>
    <row r="1" spans="2:28" ht="75.599999999999994" customHeight="1" x14ac:dyDescent="0.25">
      <c r="D1" s="80" t="str">
        <f>CONCATENATE("Informe de Seguimiento al PDT
Vigencia ",X1)</f>
        <v>Informe de Seguimiento al PDT
Vigencia (Dar clic en Habilitar Edición)</v>
      </c>
      <c r="E1" s="80"/>
      <c r="F1" s="80"/>
      <c r="G1" s="80"/>
      <c r="H1" s="80"/>
      <c r="I1" s="80"/>
      <c r="J1" s="80"/>
      <c r="K1" s="80"/>
      <c r="P1" s="2"/>
      <c r="Q1" s="1" t="s">
        <v>50</v>
      </c>
      <c r="R1" s="1" t="str">
        <f>MID(TEXT(R2,"#.#"),2,1)</f>
        <v>.</v>
      </c>
      <c r="S1" s="1" t="s">
        <v>104</v>
      </c>
      <c r="X1" s="50" t="inlineStr">
        <is>
          <t>2025 - tercer trimestre</t>
        </is>
      </c>
      <c r="Y1" s="1" t="str">
        <f>LEFT(X1,4)</f>
        <v>(Dar</v>
      </c>
      <c r="Z1" s="1" t="str">
        <f>IF(Y1="2025","2024",IF(Y1="2026","2024, 2025","2024, 2025, 2026"))</f>
        <v>2024, 2025, 2026</v>
      </c>
    </row>
    <row r="2" spans="2:28" x14ac:dyDescent="0.25">
      <c r="C2" s="3"/>
      <c r="D2" s="3"/>
      <c r="E2" s="3"/>
      <c r="F2" s="3"/>
      <c r="G2" s="3"/>
      <c r="H2" s="3"/>
      <c r="I2" s="3"/>
      <c r="J2" s="3"/>
      <c r="K2" s="3"/>
      <c r="L2" s="3"/>
      <c r="P2" s="2"/>
      <c r="Q2" s="1" t="s">
        <v>51</v>
      </c>
      <c r="R2" s="1">
        <v>1.1000000000000001</v>
      </c>
      <c r="S2" s="1" t="str">
        <f>IF(S1=R1,".",",")</f>
        <v>.</v>
      </c>
      <c r="U2" s="1" t="str">
        <f>_xlfn.CONCAT("#",$S$3,"##0")</f>
        <v>#,##0</v>
      </c>
      <c r="X2" s="55" t="str">
        <f>IF($X$3=0,"",CONCATENATE("Nota: Hay indicadores asociados a más de una línea estratégica, por lo que la suma de los montos por línea NO equivale al monto total mostrado arriba. La diferencia es de $",TEXT($X$3,$U$2),"."))</f>
      </c>
    </row>
    <row r="3" spans="2:28" ht="18.600000000000001" customHeight="1" x14ac:dyDescent="0.3">
      <c r="B3" s="4"/>
      <c r="C3" s="78" t="inlineStr">
        <is>
          <t>UN LEGADO PARA COGUA 2024-2027</t>
        </is>
      </c>
      <c r="D3" s="78"/>
      <c r="E3" s="78"/>
      <c r="F3" s="78"/>
      <c r="G3" s="78"/>
      <c r="H3" s="78"/>
      <c r="I3" s="78"/>
      <c r="J3" s="78"/>
      <c r="K3" s="78"/>
      <c r="L3" s="78"/>
      <c r="M3" s="4"/>
      <c r="Q3" s="1" t="s">
        <v>52</v>
      </c>
      <c r="S3" s="1" t="str">
        <f>IF(S2=".",",",".")</f>
        <v>,</v>
      </c>
      <c r="U3" s="1" t="str">
        <f>_xlfn.CONCAT("#",$S$3,"##0",$S$2,"0")</f>
        <v>#,##0.0</v>
      </c>
      <c r="X3" s="1">
        <f>IFERROR(INDEX(X5:AB5,MATCH($D$16,$C$23:$G$23,0)),0)</f>
        <v>0</v>
      </c>
    </row>
    <row r="4" spans="2:28" ht="18.600000000000001" customHeight="1" x14ac:dyDescent="0.3">
      <c r="B4" s="4"/>
      <c r="C4" s="78"/>
      <c r="D4" s="78"/>
      <c r="E4" s="78"/>
      <c r="F4" s="78"/>
      <c r="G4" s="78"/>
      <c r="H4" s="78"/>
      <c r="I4" s="78"/>
      <c r="J4" s="78"/>
      <c r="K4" s="78"/>
      <c r="L4" s="78"/>
      <c r="M4" s="4"/>
      <c r="Q4" s="1" t="s">
        <v>53</v>
      </c>
      <c r="X4" s="1">
        <v>2024</v>
      </c>
      <c r="Y4" s="1">
        <v>2025</v>
      </c>
      <c r="Z4" s="1">
        <v>2026</v>
      </c>
      <c r="AA4" s="1">
        <v>2027</v>
      </c>
      <c r="AB4" s="1" t="s">
        <v>6</v>
      </c>
    </row>
    <row r="5" spans="2:28" ht="25.5" x14ac:dyDescent="0.5">
      <c r="B5" s="79" t="inlineStr">
        <is>
          <t>Cogua, Cundinamarca</t>
        </is>
      </c>
      <c r="C5" s="79"/>
      <c r="D5" s="79"/>
      <c r="E5" s="79"/>
      <c r="F5" s="79"/>
      <c r="G5" s="79"/>
      <c r="H5" s="79"/>
      <c r="I5" s="79"/>
      <c r="J5" s="79"/>
      <c r="K5" s="79"/>
      <c r="L5" s="79"/>
      <c r="M5" s="79"/>
      <c r="Q5" s="2" t="s">
        <v>6</v>
      </c>
      <c r="X5" s="1">
        <v>0</v>
      </c>
      <c r="Y5" s="1">
        <v>0</v>
      </c>
      <c r="Z5" s="1">
        <v>0</v>
      </c>
      <c r="AA5" s="1">
        <v>0</v>
      </c>
      <c r="AB5" s="1">
        <f>IFERROR(SUM(X5:AA5),0)</f>
        <v>0</v>
      </c>
    </row>
    <row r="6" spans="2:28" x14ac:dyDescent="0.25">
      <c r="P6" t="inlineStr">
        <is>
          <t>LineaEstrategica</t>
        </is>
      </c>
      <c r="Q6" t="inlineStr">
        <is>
          <t>2024</t>
        </is>
      </c>
      <c r="R6" t="inlineStr">
        <is>
          <t>2025</t>
        </is>
      </c>
      <c r="S6" t="inlineStr">
        <is>
          <t>2026</t>
        </is>
      </c>
      <c r="T6" t="inlineStr">
        <is>
          <t>2027</t>
        </is>
      </c>
    </row>
    <row r="7" spans="2:28" x14ac:dyDescent="0.25">
      <c r="E7" s="28"/>
      <c r="F7" s="28"/>
      <c r="G7" s="28"/>
      <c r="H7" s="30" t="s">
        <v>49</v>
      </c>
      <c r="I7" s="22" t="inlineStr">
        <is>
          <t>31 de diciembre de 2025</t>
        </is>
      </c>
      <c r="J7" s="28"/>
      <c r="O7" s="5"/>
      <c r="P7" s="6" t="inlineStr">
        <is>
          <t>Cogua con legado competitivo</t>
        </is>
      </c>
      <c r="Q7" s="6">
        <v>250.578079</v>
      </c>
      <c r="R7" s="6">
        <v>492.587607582</v>
      </c>
      <c r="S7" s="6">
        <v>520.5776888218</v>
      </c>
      <c r="T7" s="6">
        <v>538.3483236534</v>
      </c>
      <c r="U7" s="7">
        <f t="shared" ref="U7" si="0">SUM(Q7:T7)</f>
        <v>0</v>
      </c>
      <c r="V7" s="8">
        <f t="shared" ref="V7:V70" si="1">IF(P7="","",INDEX(Q7:U7,MATCH($D$16,$C$23:$G$23,0)))</f>
        <v>0</v>
      </c>
      <c r="W7" s="42" t="str">
        <f>IFERROR(IF(P7="","",CONCATENATE(TEXT(V7,$U$2)," (",TEXT(V7*100/$I$23,$U$3),"%)")),"")</f>
      </c>
    </row>
    <row r="8" spans="2:28" x14ac:dyDescent="0.25">
      <c r="P8" s="6" t="inlineStr">
        <is>
          <t>Cogua con legado social</t>
        </is>
      </c>
      <c r="Q8" s="6">
        <v>13337.626633</v>
      </c>
      <c r="R8" s="6">
        <v>15602.11860092</v>
      </c>
      <c r="S8" s="6">
        <v>13344.3644553911</v>
      </c>
      <c r="T8" s="6">
        <v>13149.4005659983</v>
      </c>
      <c r="U8" s="7">
        <f t="shared" ref="U8" si="2">SUM(Q8:T8)</f>
        <v>0</v>
      </c>
      <c r="V8" s="8" t="str">
        <f t="shared" si="1"/>
      </c>
      <c r="W8" s="42" t="str">
        <f t="shared" ref="W8:W71" si="3">IFERROR(IF(P8="","",CONCATENATE(TEXT(V8,$U$2)," (",TEXT(V8*100/$I$23,$U$3),"%)")),"")</f>
      </c>
    </row>
    <row r="9" spans="2:28" ht="30" customHeight="1" x14ac:dyDescent="0.25">
      <c r="B9" s="77" t="s">
        <v>128</v>
      </c>
      <c r="C9" s="77"/>
      <c r="D9" s="77"/>
      <c r="E9" s="77"/>
      <c r="F9" s="77"/>
      <c r="G9" s="77"/>
      <c r="H9" s="77"/>
      <c r="I9" s="77"/>
      <c r="J9" s="77"/>
      <c r="K9" s="77"/>
      <c r="L9" s="77"/>
      <c r="M9" s="77"/>
      <c r="P9" s="6" t="inlineStr">
        <is>
          <t>Cogua con legado sostenible</t>
        </is>
      </c>
      <c r="Q9" s="6">
        <v>2547.915614</v>
      </c>
      <c r="R9" s="6">
        <v>2217.849754594</v>
      </c>
      <c r="S9" s="6">
        <v>1815.4155863804</v>
      </c>
      <c r="T9" s="6">
        <v>1762.774915573</v>
      </c>
      <c r="U9" s="7">
        <f t="shared" ref="U9:U40" si="4">SUM(Q9:T9)</f>
        <v>0</v>
      </c>
      <c r="V9" s="8" t="str">
        <f t="shared" si="1"/>
      </c>
      <c r="W9" s="42" t="str">
        <f t="shared" si="3"/>
      </c>
    </row>
    <row r="10" spans="2:28" ht="30" customHeight="1" x14ac:dyDescent="0.25">
      <c r="B10" s="77"/>
      <c r="C10" s="77"/>
      <c r="D10" s="77"/>
      <c r="E10" s="77"/>
      <c r="F10" s="77"/>
      <c r="G10" s="77"/>
      <c r="H10" s="77"/>
      <c r="I10" s="77"/>
      <c r="J10" s="77"/>
      <c r="K10" s="77"/>
      <c r="L10" s="77"/>
      <c r="M10" s="77"/>
      <c r="P10" s="6" t="inlineStr">
        <is>
          <t>Cogua con sentido de pertenencia</t>
        </is>
      </c>
      <c r="Q10" s="6">
        <v>859.96233067</v>
      </c>
      <c r="R10" s="6">
        <v>1144.1501138509</v>
      </c>
      <c r="S10" s="6">
        <v>1114.0096204542</v>
      </c>
      <c r="T10" s="6">
        <v>1186.7477784406</v>
      </c>
      <c r="U10" s="7">
        <f t="shared" si="4"/>
        <v>0</v>
      </c>
      <c r="V10" s="8" t="str">
        <f t="shared" si="1"/>
      </c>
      <c r="W10" s="42" t="str">
        <f t="shared" si="3"/>
      </c>
    </row>
    <row r="11" spans="2:28" x14ac:dyDescent="0.25">
      <c r="P11" s="6" t="inlineStr">
        <is>
          <t>Eje transversal. Cogua innovadora y con legado institucional</t>
        </is>
      </c>
      <c r="Q11" s="6">
        <v>1082.506421</v>
      </c>
      <c r="R11" s="6">
        <v>1319.808977234</v>
      </c>
      <c r="S11" s="6">
        <v>1366.4245379136</v>
      </c>
      <c r="T11" s="6">
        <v>1456.9304123126</v>
      </c>
      <c r="U11" s="7">
        <f t="shared" si="4"/>
        <v>0</v>
      </c>
      <c r="V11" s="8" t="str">
        <f t="shared" si="1"/>
      </c>
      <c r="W11" s="42" t="str">
        <f t="shared" si="3"/>
      </c>
    </row>
    <row r="12" spans="2:28" ht="17.25" x14ac:dyDescent="0.3">
      <c r="B12" s="11" t="s">
        <v>105</v>
      </c>
      <c r="C12" s="12"/>
      <c r="D12" s="12"/>
      <c r="E12" s="12"/>
      <c r="F12" s="12"/>
      <c r="G12" s="12"/>
      <c r="H12" s="12"/>
      <c r="I12" s="12"/>
      <c r="J12" s="12"/>
      <c r="K12" s="12"/>
      <c r="L12" s="12"/>
      <c r="M12" s="12"/>
      <c r="P12" s="6"/>
      <c r="Q12" s="6"/>
      <c r="R12" s="6"/>
      <c r="S12" s="6"/>
      <c r="T12" s="6"/>
      <c r="U12" s="7">
        <f t="shared" si="4"/>
        <v>0</v>
      </c>
      <c r="V12" s="8" t="str">
        <f t="shared" si="1"/>
      </c>
      <c r="W12" s="42" t="str">
        <f t="shared" si="3"/>
      </c>
    </row>
    <row r="13" spans="2:28" x14ac:dyDescent="0.25">
      <c r="P13" s="6"/>
      <c r="Q13" s="6"/>
      <c r="R13" s="6"/>
      <c r="S13" s="6"/>
      <c r="T13" s="6"/>
      <c r="U13" s="7">
        <f t="shared" si="4"/>
        <v>0</v>
      </c>
      <c r="V13" s="8" t="str">
        <f t="shared" si="1"/>
      </c>
      <c r="W13" s="42" t="str">
        <f t="shared" si="3"/>
      </c>
    </row>
    <row r="14" spans="2:28" x14ac:dyDescent="0.25">
      <c r="B14" s="28" t="s">
        <v>4</v>
      </c>
      <c r="C14" s="28"/>
      <c r="D14" s="28"/>
      <c r="E14" s="28"/>
      <c r="F14" s="28"/>
      <c r="G14" s="28"/>
      <c r="H14" s="28"/>
      <c r="I14" s="28"/>
      <c r="U14" s="7">
        <f t="shared" si="4"/>
        <v>0</v>
      </c>
      <c r="V14" s="8" t="str">
        <f t="shared" si="1"/>
      </c>
      <c r="W14" s="42" t="str">
        <f t="shared" si="3"/>
      </c>
    </row>
    <row r="15" spans="2:28" x14ac:dyDescent="0.25">
      <c r="B15" s="28"/>
      <c r="C15" s="29"/>
      <c r="D15" s="28"/>
      <c r="E15" s="28"/>
      <c r="F15" s="28"/>
      <c r="G15" s="28"/>
      <c r="H15" s="35"/>
      <c r="I15" s="35"/>
      <c r="J15" s="3"/>
      <c r="U15" s="7">
        <f t="shared" si="4"/>
        <v>0</v>
      </c>
      <c r="V15" s="8" t="str">
        <f t="shared" si="1"/>
      </c>
      <c r="W15" s="42" t="str">
        <f t="shared" si="3"/>
      </c>
    </row>
    <row r="16" spans="2:28" x14ac:dyDescent="0.25">
      <c r="B16" s="81" t="s">
        <v>5</v>
      </c>
      <c r="C16" s="81"/>
      <c r="D16" s="82" t="s">
        <v>6</v>
      </c>
      <c r="E16" s="83"/>
      <c r="F16" s="28"/>
      <c r="G16" s="28"/>
      <c r="H16" s="35"/>
      <c r="I16" s="35"/>
      <c r="J16" s="3"/>
      <c r="U16" s="7">
        <f t="shared" si="4"/>
        <v>0</v>
      </c>
      <c r="V16" s="8" t="str">
        <f t="shared" si="1"/>
      </c>
      <c r="W16" s="42" t="str">
        <f t="shared" si="3"/>
      </c>
    </row>
    <row r="17" spans="1:23" x14ac:dyDescent="0.25">
      <c r="B17" s="28"/>
      <c r="C17" s="28"/>
      <c r="D17" s="28"/>
      <c r="E17" s="28"/>
      <c r="F17" s="28"/>
      <c r="G17" s="28"/>
      <c r="H17" s="35"/>
      <c r="I17" s="35"/>
      <c r="J17" s="3"/>
      <c r="U17" s="7">
        <f t="shared" si="4"/>
        <v>0</v>
      </c>
      <c r="V17" s="8" t="str">
        <f t="shared" si="1"/>
      </c>
      <c r="W17" s="42" t="str">
        <f t="shared" si="3"/>
      </c>
    </row>
    <row r="18" spans="1:23" ht="21" customHeight="1" x14ac:dyDescent="0.25">
      <c r="B18" s="76" t="str">
        <f>CONCATENATE("Monto total programado ",D16," (en millones de pesos): ",TEXT(I23,$U$2))</f>
        <v>Monto total programado Total Cuatrienio (en millones de pesos): 0</v>
      </c>
      <c r="C18" s="76"/>
      <c r="D18" s="76"/>
      <c r="E18" s="76"/>
      <c r="F18" s="76"/>
      <c r="G18" s="76"/>
      <c r="H18" s="35"/>
      <c r="I18" s="35"/>
      <c r="J18" s="3"/>
      <c r="U18" s="7">
        <f t="shared" si="4"/>
        <v>0</v>
      </c>
      <c r="V18" s="8" t="str">
        <f t="shared" si="1"/>
      </c>
      <c r="W18" s="42" t="str">
        <f t="shared" si="3"/>
      </c>
    </row>
    <row r="19" spans="1:23" x14ac:dyDescent="0.25">
      <c r="A19" s="3"/>
      <c r="B19" s="36"/>
      <c r="C19" s="36"/>
      <c r="D19" s="36"/>
      <c r="E19" s="3"/>
      <c r="F19" s="3"/>
      <c r="G19" s="3"/>
      <c r="H19" s="3"/>
      <c r="I19" s="3"/>
      <c r="J19" s="3"/>
      <c r="U19" s="7">
        <f t="shared" si="4"/>
        <v>0</v>
      </c>
      <c r="V19" s="8" t="str">
        <f t="shared" si="1"/>
      </c>
      <c r="W19" s="42" t="str">
        <f t="shared" si="3"/>
      </c>
    </row>
    <row r="20" spans="1:23" x14ac:dyDescent="0.25">
      <c r="A20" s="3"/>
      <c r="B20" s="36"/>
      <c r="C20" s="36"/>
      <c r="D20" s="36"/>
      <c r="E20" s="3"/>
      <c r="F20" s="3"/>
      <c r="G20" s="3"/>
      <c r="H20" s="3"/>
      <c r="I20" s="3"/>
      <c r="J20" s="3"/>
      <c r="U20" s="7">
        <f t="shared" si="4"/>
        <v>0</v>
      </c>
      <c r="V20" s="8" t="str">
        <f t="shared" si="1"/>
      </c>
      <c r="W20" s="42" t="str">
        <f t="shared" si="3"/>
      </c>
    </row>
    <row r="21" spans="1:23" x14ac:dyDescent="0.25">
      <c r="A21" s="3"/>
      <c r="B21" s="3"/>
      <c r="C21" s="3"/>
      <c r="D21" s="3"/>
      <c r="E21" s="3"/>
      <c r="F21" s="3"/>
      <c r="G21" s="3"/>
      <c r="H21" s="3"/>
      <c r="I21" s="3"/>
      <c r="J21" s="3"/>
      <c r="U21" s="7">
        <f t="shared" si="4"/>
        <v>0</v>
      </c>
      <c r="V21" s="8" t="str">
        <f t="shared" si="1"/>
      </c>
      <c r="W21" s="42" t="str">
        <f t="shared" si="3"/>
      </c>
    </row>
    <row r="22" spans="1:23" x14ac:dyDescent="0.25">
      <c r="A22" s="3"/>
      <c r="B22" s="3"/>
      <c r="C22" s="3"/>
      <c r="D22" s="3"/>
      <c r="E22" s="3"/>
      <c r="F22" s="3"/>
      <c r="G22" s="3"/>
      <c r="H22" s="3"/>
      <c r="I22" s="3"/>
      <c r="J22" s="3"/>
      <c r="K22" s="9"/>
      <c r="L22" s="9"/>
      <c r="M22" s="9"/>
      <c r="N22" s="9"/>
      <c r="O22" s="9"/>
      <c r="U22" s="7">
        <f t="shared" si="4"/>
        <v>0</v>
      </c>
      <c r="V22" s="8" t="str">
        <f t="shared" si="1"/>
      </c>
      <c r="W22" s="42" t="str">
        <f t="shared" si="3"/>
      </c>
    </row>
    <row r="23" spans="1:23" x14ac:dyDescent="0.25">
      <c r="A23" s="9"/>
      <c r="B23" s="9" t="inlineStr">
        <is>
          <t>Var</t>
        </is>
      </c>
      <c r="C23" s="9" t="inlineStr">
        <is>
          <t>2024</t>
        </is>
      </c>
      <c r="D23" s="9" t="inlineStr">
        <is>
          <t>2025</t>
        </is>
      </c>
      <c r="E23" s="9" t="inlineStr">
        <is>
          <t>2026</t>
        </is>
      </c>
      <c r="F23" s="9" t="inlineStr">
        <is>
          <t>2027</t>
        </is>
      </c>
      <c r="G23" s="9" t="s">
        <v>6</v>
      </c>
      <c r="H23" s="9" t="str">
        <f t="shared" ref="H23:H54" si="5">INDEX(C23:G23,MATCH($D$16,$C$23:$G$23,0))</f>
        <v>Total Cuatrienio</v>
      </c>
      <c r="I23" s="13">
        <f>SUM(H24:H42)</f>
        <v>0</v>
      </c>
      <c r="J23" s="9"/>
      <c r="K23" s="9"/>
      <c r="L23" s="9"/>
      <c r="M23" s="9"/>
      <c r="N23" s="9"/>
      <c r="O23" s="9"/>
      <c r="U23" s="7">
        <f t="shared" si="4"/>
        <v>0</v>
      </c>
      <c r="V23" s="8" t="str">
        <f t="shared" si="1"/>
      </c>
      <c r="W23" s="42" t="str">
        <f t="shared" si="3"/>
      </c>
    </row>
    <row r="24" spans="1:23" x14ac:dyDescent="0.25">
      <c r="A24" s="9"/>
      <c r="B24" s="9" t="inlineStr">
        <is>
          <t xml:space="preserve">Agricultura y desarrollo rural
</t>
        </is>
      </c>
      <c r="C24" s="9">
        <v>122.578079</v>
      </c>
      <c r="D24" s="14">
        <v>129.687607582</v>
      </c>
      <c r="E24" s="14">
        <v>137.2094888218</v>
      </c>
      <c r="F24" s="14">
        <v>145.1676391734</v>
      </c>
      <c r="G24" s="14">
        <f>SUM(C24:F24)</f>
        <v>0</v>
      </c>
      <c r="H24" s="13">
        <f t="shared" si="5"/>
        <v>0</v>
      </c>
      <c r="I24" s="9" t="e">
        <f>CONCATENATE(TEXT(H24,$U$2)," (",TEXT(H24*100/$I$23,$U$3),"%)")</f>
        <v>#DIV/0!</v>
      </c>
      <c r="J24" s="9"/>
      <c r="K24" s="9"/>
      <c r="L24" s="9"/>
      <c r="M24" s="9"/>
      <c r="N24" s="9"/>
      <c r="O24" s="9"/>
      <c r="U24" s="7">
        <f t="shared" si="4"/>
        <v>0</v>
      </c>
      <c r="V24" s="8" t="str">
        <f t="shared" si="1"/>
      </c>
      <c r="W24" s="42" t="str">
        <f t="shared" si="3"/>
      </c>
    </row>
    <row r="25" spans="1:23" x14ac:dyDescent="0.25">
      <c r="A25" s="9"/>
      <c r="B25" s="9" t="inlineStr">
        <is>
          <t>Ambiente y desarrollo sostenible</t>
        </is>
      </c>
      <c r="C25" s="9">
        <v>168.939752</v>
      </c>
      <c r="D25" s="14">
        <v>114.73186</v>
      </c>
      <c r="E25" s="14">
        <v>430.51630788</v>
      </c>
      <c r="F25" s="14">
        <v>128.44398432</v>
      </c>
      <c r="G25" s="14">
        <f t="shared" ref="G25:G40" si="6">SUM(C25:F25)</f>
        <v>0</v>
      </c>
      <c r="H25" s="13">
        <f t="shared" si="5"/>
        <v>0</v>
      </c>
      <c r="I25" s="9" t="e">
        <f t="shared" ref="I25:I73" si="7">CONCATENATE(TEXT(H25,$U$2)," (",TEXT(H25*100/$I$23,$U$3),"%)")</f>
        <v>#DIV/0!</v>
      </c>
      <c r="J25" s="9"/>
      <c r="K25" s="9"/>
      <c r="L25" s="9"/>
      <c r="M25" s="9"/>
      <c r="N25" s="9"/>
      <c r="O25" s="9"/>
      <c r="U25" s="7">
        <f t="shared" si="4"/>
        <v>0</v>
      </c>
      <c r="V25" s="8" t="str">
        <f t="shared" si="1"/>
      </c>
      <c r="W25" s="42" t="str">
        <f t="shared" si="3"/>
      </c>
    </row>
    <row r="26" spans="1:23" x14ac:dyDescent="0.25">
      <c r="A26" s="9"/>
      <c r="B26" s="9" t="inlineStr">
        <is>
          <t xml:space="preserve">Ciencia, tecnología e innovación
</t>
        </is>
      </c>
      <c r="C26" s="9">
        <v>0</v>
      </c>
      <c r="D26" s="14">
        <v>0</v>
      </c>
      <c r="E26" s="14">
        <v>0</v>
      </c>
      <c r="F26" s="14">
        <v>0</v>
      </c>
      <c r="G26" s="14">
        <f t="shared" si="6"/>
        <v>0</v>
      </c>
      <c r="H26" s="13">
        <f t="shared" si="5"/>
        <v>0</v>
      </c>
      <c r="I26" s="9" t="e">
        <f t="shared" si="7"/>
        <v>#DIV/0!</v>
      </c>
      <c r="J26" s="9"/>
      <c r="K26" s="9"/>
      <c r="L26" s="9"/>
      <c r="M26" s="9"/>
      <c r="N26" s="9"/>
      <c r="O26" s="9"/>
      <c r="U26" s="7">
        <f t="shared" si="4"/>
        <v>0</v>
      </c>
      <c r="V26" s="8" t="str">
        <f t="shared" si="1"/>
      </c>
      <c r="W26" s="42" t="str">
        <f t="shared" si="3"/>
      </c>
    </row>
    <row r="27" spans="1:23" x14ac:dyDescent="0.25">
      <c r="A27" s="9"/>
      <c r="B27" s="9" t="inlineStr">
        <is>
          <t>Comercio, industria y turismo</t>
        </is>
      </c>
      <c r="C27" s="9">
        <v>15</v>
      </c>
      <c r="D27" s="9">
        <v>15.87</v>
      </c>
      <c r="E27" s="9">
        <v>16.79046</v>
      </c>
      <c r="F27" s="9">
        <v>5.92143556</v>
      </c>
      <c r="G27" s="14">
        <f t="shared" si="6"/>
        <v>0</v>
      </c>
      <c r="H27" s="13">
        <f t="shared" si="5"/>
        <v>0</v>
      </c>
      <c r="I27" s="9" t="e">
        <f t="shared" si="7"/>
        <v>#DIV/0!</v>
      </c>
      <c r="J27" s="9"/>
      <c r="K27" s="9"/>
      <c r="L27" s="9"/>
      <c r="M27" s="9"/>
      <c r="N27" s="9"/>
      <c r="O27" s="9"/>
      <c r="U27" s="7">
        <f t="shared" si="4"/>
        <v>0</v>
      </c>
      <c r="V27" s="8" t="str">
        <f t="shared" si="1"/>
      </c>
      <c r="W27" s="42" t="str">
        <f t="shared" si="3"/>
      </c>
    </row>
    <row r="28" spans="1:23" x14ac:dyDescent="0.25">
      <c r="A28" s="9"/>
      <c r="B28" s="9" t="inlineStr">
        <is>
          <t>Cultura</t>
        </is>
      </c>
      <c r="C28" s="9">
        <v>62.98</v>
      </c>
      <c r="D28" s="9">
        <v>325.00884</v>
      </c>
      <c r="E28" s="9">
        <v>140.6742378</v>
      </c>
      <c r="F28" s="9">
        <v>90.414578501</v>
      </c>
      <c r="G28" s="14">
        <f t="shared" si="6"/>
        <v>0</v>
      </c>
      <c r="H28" s="13">
        <f t="shared" si="5"/>
        <v>0</v>
      </c>
      <c r="I28" s="9" t="e">
        <f t="shared" si="7"/>
        <v>#DIV/0!</v>
      </c>
      <c r="J28" s="9"/>
      <c r="K28" s="9"/>
      <c r="L28" s="9"/>
      <c r="M28" s="9"/>
      <c r="N28" s="9"/>
      <c r="O28" s="9"/>
      <c r="U28" s="7">
        <f t="shared" si="4"/>
        <v>0</v>
      </c>
      <c r="V28" s="8" t="str">
        <f t="shared" si="1"/>
      </c>
      <c r="W28" s="42" t="str">
        <f t="shared" si="3"/>
      </c>
    </row>
    <row r="29" spans="1:23" x14ac:dyDescent="0.25">
      <c r="A29" s="9"/>
      <c r="B29" s="9" t="inlineStr">
        <is>
          <t>Defensa y Policía</t>
        </is>
      </c>
      <c r="C29" s="9">
        <v>0</v>
      </c>
      <c r="D29" s="9">
        <v>0</v>
      </c>
      <c r="E29" s="9">
        <v>0</v>
      </c>
      <c r="F29" s="9">
        <v>0</v>
      </c>
      <c r="G29" s="14">
        <f t="shared" si="6"/>
        <v>0</v>
      </c>
      <c r="H29" s="13">
        <f t="shared" si="5"/>
        <v>0</v>
      </c>
      <c r="I29" s="9" t="e">
        <f t="shared" si="7"/>
        <v>#DIV/0!</v>
      </c>
      <c r="J29" s="9"/>
      <c r="K29" s="9"/>
      <c r="L29" s="9"/>
      <c r="M29" s="9"/>
      <c r="N29" s="9"/>
      <c r="O29" s="9"/>
      <c r="U29" s="7">
        <f t="shared" si="4"/>
        <v>0</v>
      </c>
      <c r="V29" s="8" t="str">
        <f t="shared" si="1"/>
      </c>
      <c r="W29" s="42" t="str">
        <f t="shared" si="3"/>
      </c>
    </row>
    <row r="30" spans="1:23" x14ac:dyDescent="0.25">
      <c r="A30" s="9"/>
      <c r="B30" s="9" t="inlineStr">
        <is>
          <t>Deporte y Recreación</t>
        </is>
      </c>
      <c r="C30" s="9">
        <v>396.956163</v>
      </c>
      <c r="D30" s="9">
        <v>419.979620454</v>
      </c>
      <c r="E30" s="9">
        <v>444.33843844</v>
      </c>
      <c r="F30" s="9">
        <v>289.2350678656</v>
      </c>
      <c r="G30" s="14">
        <f t="shared" si="6"/>
        <v>0</v>
      </c>
      <c r="H30" s="13">
        <f t="shared" si="5"/>
        <v>0</v>
      </c>
      <c r="I30" s="9" t="e">
        <f t="shared" si="7"/>
        <v>#DIV/0!</v>
      </c>
      <c r="J30" s="9"/>
      <c r="K30" s="9"/>
      <c r="L30" s="9"/>
      <c r="M30" s="9"/>
      <c r="N30" s="9"/>
      <c r="O30" s="9"/>
      <c r="U30" s="7">
        <f t="shared" si="4"/>
        <v>0</v>
      </c>
      <c r="V30" s="8" t="str">
        <f t="shared" si="1"/>
      </c>
      <c r="W30" s="42" t="str">
        <f t="shared" si="3"/>
      </c>
    </row>
    <row r="31" spans="1:23" x14ac:dyDescent="0.25">
      <c r="A31" s="9"/>
      <c r="B31" s="9" t="inlineStr">
        <is>
          <t>Educación</t>
        </is>
      </c>
      <c r="C31" s="9">
        <v>1492.349659</v>
      </c>
      <c r="D31" s="9">
        <v>1594.92542074</v>
      </c>
      <c r="E31" s="9">
        <v>1704.5910738383</v>
      </c>
      <c r="F31" s="9">
        <v>1580.4715360883</v>
      </c>
      <c r="G31" s="14">
        <f t="shared" si="6"/>
        <v>0</v>
      </c>
      <c r="H31" s="13">
        <f t="shared" si="5"/>
        <v>0</v>
      </c>
      <c r="I31" s="9" t="e">
        <f t="shared" si="7"/>
        <v>#DIV/0!</v>
      </c>
      <c r="J31" s="9"/>
      <c r="K31" s="9"/>
      <c r="L31" s="9"/>
      <c r="M31" s="9"/>
      <c r="N31" s="9"/>
      <c r="O31" s="9"/>
      <c r="U31" s="7">
        <f t="shared" si="4"/>
        <v>0</v>
      </c>
      <c r="V31" s="8" t="str">
        <f t="shared" si="1"/>
      </c>
      <c r="W31" s="42" t="str">
        <f t="shared" si="3"/>
      </c>
    </row>
    <row r="32" spans="1:23" x14ac:dyDescent="0.25">
      <c r="A32" s="9"/>
      <c r="B32" s="9" t="inlineStr">
        <is>
          <t>Gobierno Territorial</t>
        </is>
      </c>
      <c r="C32" s="9">
        <v>1902.82251567</v>
      </c>
      <c r="D32" s="9">
        <v>2229.1432187069</v>
      </c>
      <c r="E32" s="9">
        <v>2261.7936942082</v>
      </c>
      <c r="F32" s="9">
        <v>2386.1119559466</v>
      </c>
      <c r="G32" s="14">
        <f t="shared" si="6"/>
        <v>0</v>
      </c>
      <c r="H32" s="13">
        <f t="shared" si="5"/>
        <v>0</v>
      </c>
      <c r="I32" s="9" t="e">
        <f t="shared" si="7"/>
        <v>#DIV/0!</v>
      </c>
      <c r="J32" s="9"/>
      <c r="K32" s="9"/>
      <c r="L32" s="9"/>
      <c r="M32" s="9"/>
      <c r="N32" s="9"/>
      <c r="O32" s="9"/>
      <c r="U32" s="7">
        <f t="shared" si="4"/>
        <v>0</v>
      </c>
      <c r="V32" s="8" t="str">
        <f t="shared" si="1"/>
      </c>
      <c r="W32" s="42" t="str">
        <f t="shared" si="3"/>
      </c>
    </row>
    <row r="33" spans="1:23" x14ac:dyDescent="0.25">
      <c r="A33" s="9"/>
      <c r="B33" s="9" t="inlineStr">
        <is>
          <t xml:space="preserve">Inclusión social y reconciliación </t>
        </is>
      </c>
      <c r="C33" s="9">
        <v>2680.620236</v>
      </c>
      <c r="D33" s="9">
        <v>4020.709019718</v>
      </c>
      <c r="E33" s="9">
        <v>1335.7114980403</v>
      </c>
      <c r="F33" s="9">
        <v>922.0858443971</v>
      </c>
      <c r="G33" s="14">
        <f t="shared" si="6"/>
        <v>0</v>
      </c>
      <c r="H33" s="13">
        <f t="shared" si="5"/>
        <v>0</v>
      </c>
      <c r="I33" s="9" t="e">
        <f t="shared" si="7"/>
        <v>#DIV/0!</v>
      </c>
      <c r="J33" s="9"/>
      <c r="K33" s="9"/>
      <c r="L33" s="9"/>
      <c r="M33" s="9"/>
      <c r="N33" s="9"/>
      <c r="O33" s="9"/>
      <c r="U33" s="7">
        <f t="shared" si="4"/>
        <v>0</v>
      </c>
      <c r="V33" s="8" t="str">
        <f t="shared" si="1"/>
      </c>
      <c r="W33" s="42" t="str">
        <f t="shared" si="3"/>
      </c>
    </row>
    <row r="34" spans="1:23" x14ac:dyDescent="0.25">
      <c r="A34" s="9"/>
      <c r="B34" s="9" t="inlineStr">
        <is>
          <t>Información Estadística</t>
        </is>
      </c>
      <c r="C34" s="9">
        <v>0</v>
      </c>
      <c r="D34" s="9">
        <v>0</v>
      </c>
      <c r="E34" s="9">
        <v>0</v>
      </c>
      <c r="F34" s="9">
        <v>0</v>
      </c>
      <c r="G34" s="14">
        <f t="shared" si="6"/>
        <v>0</v>
      </c>
      <c r="H34" s="13">
        <f t="shared" si="5"/>
        <v>0</v>
      </c>
      <c r="I34" s="9" t="e">
        <f t="shared" si="7"/>
        <v>#DIV/0!</v>
      </c>
      <c r="J34" s="9"/>
      <c r="K34" s="9"/>
      <c r="L34" s="9"/>
      <c r="M34" s="9"/>
      <c r="N34" s="9"/>
      <c r="O34" s="9"/>
      <c r="U34" s="7">
        <f t="shared" si="4"/>
        <v>0</v>
      </c>
      <c r="V34" s="8" t="str">
        <f t="shared" si="1"/>
      </c>
      <c r="W34" s="42" t="str">
        <f t="shared" si="3"/>
      </c>
    </row>
    <row r="35" spans="1:23" x14ac:dyDescent="0.25">
      <c r="A35" s="9"/>
      <c r="B35" s="9" t="inlineStr">
        <is>
          <t>Justicia y del derecho</t>
        </is>
      </c>
      <c r="C35" s="9">
        <v>272</v>
      </c>
      <c r="D35" s="9">
        <v>295.436</v>
      </c>
      <c r="E35" s="9">
        <v>317.323288</v>
      </c>
      <c r="F35" s="9">
        <v>340.860198704</v>
      </c>
      <c r="G35" s="14">
        <f t="shared" si="6"/>
        <v>0</v>
      </c>
      <c r="H35" s="13">
        <f t="shared" si="5"/>
        <v>0</v>
      </c>
      <c r="I35" s="9" t="e">
        <f t="shared" si="7"/>
        <v>#DIV/0!</v>
      </c>
      <c r="J35" s="9"/>
      <c r="K35" s="9"/>
      <c r="L35" s="9"/>
      <c r="M35" s="9"/>
      <c r="N35" s="9"/>
      <c r="O35" s="9"/>
      <c r="U35" s="7">
        <f t="shared" si="4"/>
        <v>0</v>
      </c>
      <c r="V35" s="8" t="str">
        <f t="shared" si="1"/>
      </c>
      <c r="W35" s="42" t="str">
        <f t="shared" si="3"/>
      </c>
    </row>
    <row r="36" spans="1:23" x14ac:dyDescent="0.25">
      <c r="A36" s="9"/>
      <c r="B36" s="9" t="inlineStr">
        <is>
          <t>Minas y Energía</t>
        </is>
      </c>
      <c r="C36" s="9">
        <v>1100</v>
      </c>
      <c r="D36" s="9">
        <v>105.8</v>
      </c>
      <c r="E36" s="9">
        <v>111.9364</v>
      </c>
      <c r="F36" s="9">
        <v>118.4287112</v>
      </c>
      <c r="G36" s="14">
        <f t="shared" si="6"/>
        <v>0</v>
      </c>
      <c r="H36" s="13">
        <f t="shared" si="5"/>
        <v>0</v>
      </c>
      <c r="I36" s="9" t="e">
        <f t="shared" si="7"/>
        <v>#DIV/0!</v>
      </c>
      <c r="J36" s="9"/>
      <c r="K36" s="9"/>
      <c r="L36" s="9"/>
      <c r="M36" s="9"/>
      <c r="N36" s="9"/>
      <c r="O36" s="9"/>
      <c r="U36" s="7">
        <f t="shared" si="4"/>
        <v>0</v>
      </c>
      <c r="V36" s="8" t="str">
        <f t="shared" si="1"/>
      </c>
      <c r="W36" s="42" t="str">
        <f t="shared" si="3"/>
      </c>
    </row>
    <row r="37" spans="1:23" x14ac:dyDescent="0.25">
      <c r="A37" s="9"/>
      <c r="B37" s="9" t="inlineStr">
        <is>
          <t>Organismos de Control</t>
        </is>
      </c>
      <c r="C37" s="9">
        <v>0</v>
      </c>
      <c r="D37" s="9">
        <v>0</v>
      </c>
      <c r="E37" s="9">
        <v>0</v>
      </c>
      <c r="F37" s="9">
        <v>0</v>
      </c>
      <c r="G37" s="14">
        <f t="shared" si="6"/>
        <v>0</v>
      </c>
      <c r="H37" s="13">
        <f t="shared" si="5"/>
        <v>0</v>
      </c>
      <c r="I37" s="9" t="e">
        <f t="shared" si="7"/>
        <v>#DIV/0!</v>
      </c>
      <c r="J37" s="9"/>
      <c r="K37" s="9"/>
      <c r="L37" s="9"/>
      <c r="M37" s="9"/>
      <c r="N37" s="9"/>
      <c r="O37" s="9"/>
      <c r="U37" s="7">
        <f t="shared" si="4"/>
        <v>0</v>
      </c>
      <c r="V37" s="8" t="str">
        <f t="shared" si="1"/>
      </c>
      <c r="W37" s="42" t="str">
        <f t="shared" si="3"/>
      </c>
    </row>
    <row r="38" spans="1:23" x14ac:dyDescent="0.25">
      <c r="A38" s="9"/>
      <c r="B38" s="9" t="inlineStr">
        <is>
          <t>Salud y protección social</t>
        </is>
      </c>
      <c r="C38" s="9">
        <v>8704.720575</v>
      </c>
      <c r="D38" s="9">
        <v>9241.495700008</v>
      </c>
      <c r="E38" s="9">
        <v>9719.0492072725</v>
      </c>
      <c r="F38" s="9">
        <v>10267.1935391463</v>
      </c>
      <c r="G38" s="14">
        <f t="shared" si="6"/>
        <v>0</v>
      </c>
      <c r="H38" s="13">
        <f t="shared" si="5"/>
        <v>0</v>
      </c>
      <c r="I38" s="9" t="e">
        <f t="shared" si="7"/>
        <v>#DIV/0!</v>
      </c>
      <c r="J38" s="9"/>
      <c r="K38" s="9"/>
      <c r="L38" s="9"/>
      <c r="M38" s="9"/>
      <c r="N38" s="9"/>
      <c r="O38" s="9"/>
      <c r="U38" s="7">
        <f t="shared" si="4"/>
        <v>0</v>
      </c>
      <c r="V38" s="8" t="str">
        <f t="shared" si="1"/>
      </c>
      <c r="W38" s="42" t="str">
        <f t="shared" si="3"/>
      </c>
    </row>
    <row r="39" spans="1:23" x14ac:dyDescent="0.25">
      <c r="A39" s="9"/>
      <c r="B39" s="9" t="inlineStr">
        <is>
          <t>Tecnologías de la información y las comunicaciones</t>
        </is>
      </c>
      <c r="C39" s="9">
        <v>79.25664</v>
      </c>
      <c r="D39" s="9">
        <v>118.884</v>
      </c>
      <c r="E39" s="9">
        <v>125.779272</v>
      </c>
      <c r="F39" s="9">
        <v>133.074469776</v>
      </c>
      <c r="G39" s="14">
        <f t="shared" si="6"/>
        <v>0</v>
      </c>
      <c r="H39" s="13">
        <f t="shared" si="5"/>
        <v>0</v>
      </c>
      <c r="I39" s="9" t="e">
        <f t="shared" si="7"/>
        <v>#DIV/0!</v>
      </c>
      <c r="J39" s="9"/>
      <c r="K39" s="9"/>
      <c r="L39" s="9"/>
      <c r="M39" s="9"/>
      <c r="N39" s="9"/>
      <c r="O39" s="9"/>
      <c r="U39" s="7">
        <f t="shared" si="4"/>
        <v>0</v>
      </c>
      <c r="V39" s="8" t="str">
        <f t="shared" si="1"/>
      </c>
      <c r="W39" s="42" t="str">
        <f t="shared" si="3"/>
      </c>
    </row>
    <row r="40" spans="1:23" x14ac:dyDescent="0.25">
      <c r="A40" s="9"/>
      <c r="B40" s="9" t="inlineStr">
        <is>
          <t>Trabajo</t>
        </is>
      </c>
      <c r="C40" s="9">
        <v>113</v>
      </c>
      <c r="D40" s="9">
        <v>347.03</v>
      </c>
      <c r="E40" s="9">
        <v>366.57774</v>
      </c>
      <c r="F40" s="9">
        <v>387.25924892</v>
      </c>
      <c r="G40" s="14">
        <f t="shared" si="6"/>
        <v>0</v>
      </c>
      <c r="H40" s="13">
        <f t="shared" si="5"/>
        <v>0</v>
      </c>
      <c r="I40" s="9" t="e">
        <f t="shared" si="7"/>
        <v>#DIV/0!</v>
      </c>
      <c r="J40" s="9"/>
      <c r="K40" s="9"/>
      <c r="L40" s="9"/>
      <c r="M40" s="9"/>
      <c r="N40" s="9"/>
      <c r="O40" s="9"/>
      <c r="U40" s="7">
        <f t="shared" si="4"/>
        <v>0</v>
      </c>
      <c r="V40" s="8" t="str">
        <f t="shared" si="1"/>
      </c>
      <c r="W40" s="42" t="str">
        <f t="shared" si="3"/>
      </c>
    </row>
    <row r="41" spans="1:23" x14ac:dyDescent="0.25">
      <c r="A41" s="9"/>
      <c r="B41" s="9" t="inlineStr">
        <is>
          <t>Transporte</t>
        </is>
      </c>
      <c r="C41" s="9">
        <v>0</v>
      </c>
      <c r="D41" s="9">
        <v>130</v>
      </c>
      <c r="E41" s="9">
        <v>80</v>
      </c>
      <c r="F41" s="9">
        <v>80</v>
      </c>
      <c r="G41" s="14">
        <f t="shared" ref="G41:G42" si="8">SUM(C41:F41)</f>
        <v>0</v>
      </c>
      <c r="H41" s="13">
        <f t="shared" si="5"/>
        <v>0</v>
      </c>
      <c r="I41" s="9" t="e">
        <f t="shared" si="7"/>
        <v>#DIV/0!</v>
      </c>
      <c r="J41" s="9"/>
      <c r="K41" s="9"/>
      <c r="L41" s="9"/>
      <c r="M41" s="9"/>
      <c r="N41" s="9"/>
      <c r="O41" s="9"/>
      <c r="U41" s="7">
        <f t="shared" ref="U41:U71" si="9">SUM(Q41:T41)</f>
        <v>0</v>
      </c>
      <c r="V41" s="8" t="str">
        <f t="shared" si="1"/>
      </c>
      <c r="W41" s="42" t="str">
        <f t="shared" si="3"/>
      </c>
    </row>
    <row r="42" spans="1:23" x14ac:dyDescent="0.25">
      <c r="A42" s="9"/>
      <c r="B42" s="9" t="inlineStr">
        <is>
          <t>Vivienda, ciudad y territorio</t>
        </is>
      </c>
      <c r="C42" s="9">
        <v>967.365458</v>
      </c>
      <c r="D42" s="9">
        <v>1687.813766972</v>
      </c>
      <c r="E42" s="9">
        <v>968.50078266</v>
      </c>
      <c r="F42" s="9">
        <v>1219.5337863796</v>
      </c>
      <c r="G42" s="14">
        <f t="shared" si="8"/>
        <v>0</v>
      </c>
      <c r="H42" s="13">
        <f t="shared" si="5"/>
        <v>0</v>
      </c>
      <c r="I42" s="9" t="e">
        <f t="shared" si="7"/>
        <v>#DIV/0!</v>
      </c>
      <c r="J42" s="9"/>
      <c r="K42" s="9"/>
      <c r="L42" s="9"/>
      <c r="M42" s="9"/>
      <c r="N42" s="9"/>
      <c r="O42" s="9"/>
      <c r="U42" s="7">
        <f t="shared" si="9"/>
        <v>0</v>
      </c>
      <c r="V42" s="8" t="str">
        <f t="shared" si="1"/>
      </c>
      <c r="W42" s="42" t="str">
        <f t="shared" si="3"/>
      </c>
    </row>
    <row r="43" spans="1:23" x14ac:dyDescent="0.25">
      <c r="A43" s="9"/>
      <c r="B43" s="9" t="inlineStr">
        <is>
          <t>Recursos Propios</t>
        </is>
      </c>
      <c r="C43" s="9">
        <v>5928.65645876</v>
      </c>
      <c r="D43" s="9">
        <v>7259.5734215289</v>
      </c>
      <c r="E43" s="9">
        <v>6736.160891285</v>
      </c>
      <c r="F43" s="9">
        <v>7177.1794695762</v>
      </c>
      <c r="G43" s="14">
        <f t="shared" ref="G43:G56" si="10">SUM(C43:F43)</f>
        <v>0</v>
      </c>
      <c r="H43" s="13">
        <f t="shared" si="5"/>
        <v>0</v>
      </c>
      <c r="I43" s="9" t="e">
        <f t="shared" si="7"/>
        <v>#DIV/0!</v>
      </c>
      <c r="J43" s="9"/>
      <c r="K43" s="9"/>
      <c r="L43" s="9"/>
      <c r="M43" s="9"/>
      <c r="N43" s="9"/>
      <c r="O43" s="9"/>
      <c r="U43" s="7">
        <f t="shared" si="9"/>
        <v>0</v>
      </c>
      <c r="V43" s="8" t="str">
        <f t="shared" si="1"/>
      </c>
      <c r="W43" s="42" t="str">
        <f t="shared" si="3"/>
      </c>
    </row>
    <row r="44" spans="1:23" x14ac:dyDescent="0.25">
      <c r="A44" s="9"/>
      <c r="B44" s="9" t="inlineStr">
        <is>
          <t>SGP Educación</t>
        </is>
      </c>
      <c r="C44" s="9">
        <v>429.010818</v>
      </c>
      <c r="D44" s="9">
        <v>509.12691534</v>
      </c>
      <c r="E44" s="9">
        <v>542.1317304553</v>
      </c>
      <c r="F44" s="9">
        <v>574.9507724553</v>
      </c>
      <c r="G44" s="14">
        <f t="shared" si="10"/>
        <v>0</v>
      </c>
      <c r="H44" s="13">
        <f t="shared" si="5"/>
        <v>0</v>
      </c>
      <c r="I44" s="9" t="e">
        <f t="shared" si="7"/>
        <v>#DIV/0!</v>
      </c>
      <c r="J44" s="9"/>
      <c r="K44" s="9"/>
      <c r="L44" s="9"/>
      <c r="M44" s="9"/>
      <c r="N44" s="9"/>
      <c r="O44" s="9"/>
      <c r="U44" s="7">
        <f t="shared" si="9"/>
        <v>0</v>
      </c>
      <c r="V44" s="8" t="str">
        <f t="shared" si="1"/>
      </c>
      <c r="W44" s="42" t="str">
        <f t="shared" si="3"/>
      </c>
    </row>
    <row r="45" spans="1:23" x14ac:dyDescent="0.25">
      <c r="A45" s="9"/>
      <c r="B45" s="9" t="inlineStr">
        <is>
          <t>SGP Salud</t>
        </is>
      </c>
      <c r="C45" s="9">
        <v>2761.983116</v>
      </c>
      <c r="D45" s="9">
        <v>2940.68594769</v>
      </c>
      <c r="E45" s="9">
        <v>3146.9034172883</v>
      </c>
      <c r="F45" s="9">
        <v>3367.5775385373</v>
      </c>
      <c r="G45" s="14">
        <f t="shared" si="10"/>
        <v>0</v>
      </c>
      <c r="H45" s="13">
        <f t="shared" si="5"/>
        <v>0</v>
      </c>
      <c r="I45" s="9" t="e">
        <f t="shared" si="7"/>
        <v>#DIV/0!</v>
      </c>
      <c r="J45" s="9"/>
      <c r="K45" s="9"/>
      <c r="L45" s="9"/>
      <c r="M45" s="9"/>
      <c r="N45" s="9"/>
      <c r="O45" s="9"/>
      <c r="U45" s="7">
        <f t="shared" si="9"/>
        <v>0</v>
      </c>
      <c r="V45" s="8" t="str">
        <f t="shared" si="1"/>
      </c>
      <c r="W45" s="42" t="str">
        <f t="shared" si="3"/>
      </c>
    </row>
    <row r="46" spans="1:23" x14ac:dyDescent="0.25">
      <c r="A46" s="9"/>
      <c r="B46" s="9" t="inlineStr">
        <is>
          <t>SGP Deporte</t>
        </is>
      </c>
      <c r="C46" s="9">
        <v>0</v>
      </c>
      <c r="D46" s="9">
        <v>0</v>
      </c>
      <c r="E46" s="9">
        <v>0</v>
      </c>
      <c r="F46" s="9">
        <v>0</v>
      </c>
      <c r="G46" s="14">
        <f t="shared" si="10"/>
        <v>0</v>
      </c>
      <c r="H46" s="13">
        <f t="shared" si="5"/>
        <v>0</v>
      </c>
      <c r="I46" s="9" t="e">
        <f t="shared" si="7"/>
        <v>#DIV/0!</v>
      </c>
      <c r="J46" s="9"/>
      <c r="K46" s="9"/>
      <c r="L46" s="9"/>
      <c r="M46" s="9"/>
      <c r="N46" s="9"/>
      <c r="O46" s="9"/>
      <c r="U46" s="7">
        <f t="shared" si="9"/>
        <v>0</v>
      </c>
      <c r="V46" s="8" t="str">
        <f t="shared" si="1"/>
      </c>
      <c r="W46" s="42" t="str">
        <f t="shared" si="3"/>
      </c>
    </row>
    <row r="47" spans="1:23" x14ac:dyDescent="0.25">
      <c r="A47" s="9"/>
      <c r="B47" s="9" t="inlineStr">
        <is>
          <t>SGP Cultura</t>
        </is>
      </c>
      <c r="C47" s="9">
        <v>0</v>
      </c>
      <c r="D47" s="9">
        <v>0</v>
      </c>
      <c r="E47" s="9">
        <v>0</v>
      </c>
      <c r="F47" s="9">
        <v>0</v>
      </c>
      <c r="G47" s="14">
        <f t="shared" si="10"/>
        <v>0</v>
      </c>
      <c r="H47" s="13">
        <f t="shared" si="5"/>
        <v>0</v>
      </c>
      <c r="I47" s="9" t="e">
        <f t="shared" si="7"/>
        <v>#DIV/0!</v>
      </c>
      <c r="J47" s="9"/>
      <c r="K47" s="9"/>
      <c r="L47" s="9"/>
      <c r="M47" s="9"/>
      <c r="N47" s="9"/>
      <c r="O47" s="9"/>
      <c r="U47" s="7">
        <f t="shared" si="9"/>
        <v>0</v>
      </c>
      <c r="V47" s="8" t="str">
        <f t="shared" si="1"/>
      </c>
      <c r="W47" s="42" t="str">
        <f t="shared" si="3"/>
      </c>
    </row>
    <row r="48" spans="1:23" x14ac:dyDescent="0.25">
      <c r="A48" s="9"/>
      <c r="B48" s="9" t="inlineStr">
        <is>
          <t>SGP Libre Inversión</t>
        </is>
      </c>
      <c r="C48" s="9">
        <v>0</v>
      </c>
      <c r="D48" s="9">
        <v>80.398437</v>
      </c>
      <c r="E48" s="9">
        <v>0</v>
      </c>
      <c r="F48" s="9">
        <v>84.293</v>
      </c>
      <c r="G48" s="14">
        <f t="shared" si="10"/>
        <v>0</v>
      </c>
      <c r="H48" s="13">
        <f t="shared" si="5"/>
        <v>0</v>
      </c>
      <c r="I48" s="9" t="e">
        <f t="shared" si="7"/>
        <v>#DIV/0!</v>
      </c>
      <c r="J48" s="9"/>
      <c r="K48" s="9"/>
      <c r="L48" s="9"/>
      <c r="M48" s="9"/>
      <c r="N48" s="9"/>
      <c r="O48" s="9"/>
      <c r="U48" s="7">
        <f t="shared" si="9"/>
        <v>0</v>
      </c>
      <c r="V48" s="8" t="str">
        <f t="shared" si="1"/>
      </c>
      <c r="W48" s="42" t="str">
        <f t="shared" si="3"/>
      </c>
    </row>
    <row r="49" spans="1:23" x14ac:dyDescent="0.25">
      <c r="A49" s="9"/>
      <c r="B49" s="9" t="inlineStr">
        <is>
          <t>SGP Libre Destinación</t>
        </is>
      </c>
      <c r="C49" s="9">
        <v>0</v>
      </c>
      <c r="D49" s="9">
        <v>0</v>
      </c>
      <c r="E49" s="9">
        <v>0</v>
      </c>
      <c r="F49" s="9">
        <v>0</v>
      </c>
      <c r="G49" s="14">
        <f t="shared" si="10"/>
        <v>0</v>
      </c>
      <c r="H49" s="13">
        <f t="shared" si="5"/>
        <v>0</v>
      </c>
      <c r="I49" s="9" t="e">
        <f t="shared" si="7"/>
        <v>#DIV/0!</v>
      </c>
      <c r="J49" s="9"/>
      <c r="K49" s="9"/>
      <c r="L49" s="9"/>
      <c r="M49" s="9"/>
      <c r="N49" s="9"/>
      <c r="O49" s="9"/>
      <c r="U49" s="7">
        <f t="shared" si="9"/>
        <v>0</v>
      </c>
      <c r="V49" s="8" t="str">
        <f t="shared" si="1"/>
      </c>
      <c r="W49" s="42" t="str">
        <f t="shared" si="3"/>
      </c>
    </row>
    <row r="50" spans="1:23" x14ac:dyDescent="0.25">
      <c r="A50" s="9"/>
      <c r="B50" s="9" t="inlineStr">
        <is>
          <t>SGP Alimentación Escolar</t>
        </is>
      </c>
      <c r="C50" s="9">
        <v>0</v>
      </c>
      <c r="D50" s="9">
        <v>0</v>
      </c>
      <c r="E50" s="9">
        <v>0</v>
      </c>
      <c r="F50" s="9">
        <v>0</v>
      </c>
      <c r="G50" s="14">
        <f t="shared" si="10"/>
        <v>0</v>
      </c>
      <c r="H50" s="13">
        <f t="shared" si="5"/>
        <v>0</v>
      </c>
      <c r="I50" s="9" t="e">
        <f t="shared" si="7"/>
        <v>#DIV/0!</v>
      </c>
      <c r="J50" s="9"/>
      <c r="K50" s="9"/>
      <c r="L50" s="9"/>
      <c r="M50" s="9"/>
      <c r="N50" s="9"/>
      <c r="O50" s="9"/>
      <c r="U50" s="7">
        <f t="shared" si="9"/>
        <v>0</v>
      </c>
      <c r="V50" s="8" t="str">
        <f t="shared" si="1"/>
      </c>
      <c r="W50" s="42" t="str">
        <f t="shared" si="3"/>
      </c>
    </row>
    <row r="51" spans="1:23" x14ac:dyDescent="0.25">
      <c r="A51" s="9"/>
      <c r="B51" s="9" t="inlineStr">
        <is>
          <t>SGP municipios Río Magdalena</t>
        </is>
      </c>
      <c r="C51" s="9">
        <v>0</v>
      </c>
      <c r="D51" s="9">
        <v>0</v>
      </c>
      <c r="E51" s="9">
        <v>0</v>
      </c>
      <c r="F51" s="9">
        <v>0</v>
      </c>
      <c r="G51" s="14">
        <f t="shared" si="10"/>
        <v>0</v>
      </c>
      <c r="H51" s="13">
        <f t="shared" si="5"/>
        <v>0</v>
      </c>
      <c r="I51" s="9" t="e">
        <f t="shared" si="7"/>
        <v>#DIV/0!</v>
      </c>
      <c r="J51" s="9"/>
      <c r="K51" s="9"/>
      <c r="L51" s="9"/>
      <c r="M51" s="9"/>
      <c r="N51" s="9"/>
      <c r="O51" s="9"/>
      <c r="U51" s="7">
        <f t="shared" si="9"/>
        <v>0</v>
      </c>
      <c r="V51" s="8" t="str">
        <f t="shared" si="1"/>
      </c>
      <c r="W51" s="42" t="str">
        <f t="shared" si="3"/>
      </c>
    </row>
    <row r="52" spans="1:23" x14ac:dyDescent="0.25">
      <c r="A52" s="9"/>
      <c r="B52" s="9" t="inlineStr">
        <is>
          <t>SGP APSB</t>
        </is>
      </c>
      <c r="C52" s="9">
        <v>0</v>
      </c>
      <c r="D52" s="9">
        <v>312.037366972</v>
      </c>
      <c r="E52" s="9">
        <v>319.87998266</v>
      </c>
      <c r="F52" s="9">
        <v>602.93501217</v>
      </c>
      <c r="G52" s="14">
        <f t="shared" si="10"/>
        <v>0</v>
      </c>
      <c r="H52" s="13">
        <f t="shared" si="5"/>
        <v>0</v>
      </c>
      <c r="I52" s="9" t="e">
        <f t="shared" si="7"/>
        <v>#DIV/0!</v>
      </c>
      <c r="J52" s="9"/>
      <c r="K52" s="9"/>
      <c r="L52" s="9"/>
      <c r="M52" s="9"/>
      <c r="N52" s="9"/>
      <c r="O52" s="9"/>
      <c r="U52" s="7">
        <f t="shared" si="9"/>
        <v>0</v>
      </c>
      <c r="V52" s="8" t="str">
        <f t="shared" si="1"/>
      </c>
      <c r="W52" s="42" t="str">
        <f t="shared" si="3"/>
      </c>
    </row>
    <row r="53" spans="1:23" x14ac:dyDescent="0.25">
      <c r="A53" s="9"/>
      <c r="B53" s="9" t="inlineStr">
        <is>
          <t>Crédito</t>
        </is>
      </c>
      <c r="C53" s="9">
        <v>0</v>
      </c>
      <c r="D53" s="9">
        <v>1200</v>
      </c>
      <c r="E53" s="9">
        <v>0</v>
      </c>
      <c r="F53" s="9">
        <v>0</v>
      </c>
      <c r="G53" s="14">
        <f t="shared" si="10"/>
        <v>0</v>
      </c>
      <c r="H53" s="13">
        <f t="shared" si="5"/>
        <v>0</v>
      </c>
      <c r="I53" s="9" t="e">
        <f t="shared" si="7"/>
        <v>#DIV/0!</v>
      </c>
      <c r="J53" s="9"/>
      <c r="K53" s="9"/>
      <c r="L53" s="9"/>
      <c r="M53" s="9"/>
      <c r="N53" s="9"/>
      <c r="O53" s="9"/>
      <c r="U53" s="7">
        <f t="shared" si="9"/>
        <v>0</v>
      </c>
      <c r="V53" s="8" t="str">
        <f t="shared" si="1"/>
      </c>
      <c r="W53" s="42" t="str">
        <f t="shared" si="3"/>
      </c>
    </row>
    <row r="54" spans="1:23" x14ac:dyDescent="0.25">
      <c r="A54" s="9"/>
      <c r="B54" s="9" t="inlineStr">
        <is>
          <t>Transf. capital - Cof. Territorial</t>
        </is>
      </c>
      <c r="C54" s="9">
        <v>1153.156163</v>
      </c>
      <c r="D54" s="9">
        <v>2670.662692</v>
      </c>
      <c r="E54" s="9">
        <v>1389.98528714</v>
      </c>
      <c r="F54" s="9">
        <v>15</v>
      </c>
      <c r="G54" s="14">
        <f t="shared" si="10"/>
        <v>0</v>
      </c>
      <c r="H54" s="13">
        <f t="shared" si="5"/>
        <v>0</v>
      </c>
      <c r="I54" s="9" t="e">
        <f t="shared" si="7"/>
        <v>#DIV/0!</v>
      </c>
      <c r="J54" s="9"/>
      <c r="K54" s="9"/>
      <c r="L54" s="9"/>
      <c r="M54" s="9"/>
      <c r="N54" s="9"/>
      <c r="O54" s="9"/>
      <c r="U54" s="7">
        <f t="shared" si="9"/>
        <v>0</v>
      </c>
      <c r="V54" s="8" t="str">
        <f t="shared" si="1"/>
      </c>
      <c r="W54" s="42" t="str">
        <f t="shared" si="3"/>
      </c>
    </row>
    <row r="55" spans="1:23" x14ac:dyDescent="0.25">
      <c r="A55" s="9"/>
      <c r="B55" s="9" t="inlineStr">
        <is>
          <t>Transf. capital - Cof. Nación</t>
        </is>
      </c>
      <c r="C55" s="9">
        <v>0</v>
      </c>
      <c r="D55" s="9">
        <v>0</v>
      </c>
      <c r="E55" s="9">
        <v>0</v>
      </c>
      <c r="F55" s="9">
        <v>0</v>
      </c>
      <c r="G55" s="14">
        <f t="shared" si="10"/>
        <v>0</v>
      </c>
      <c r="H55" s="13">
        <f t="shared" ref="H55:H73" si="11">INDEX(C55:G55,MATCH($D$16,$C$23:$G$23,0))</f>
        <v>0</v>
      </c>
      <c r="I55" s="9" t="e">
        <f t="shared" si="7"/>
        <v>#DIV/0!</v>
      </c>
      <c r="J55" s="9"/>
      <c r="K55" s="9"/>
      <c r="L55" s="9"/>
      <c r="M55" s="9"/>
      <c r="N55" s="9"/>
      <c r="O55" s="9"/>
      <c r="U55" s="7">
        <f t="shared" si="9"/>
        <v>0</v>
      </c>
      <c r="V55" s="8" t="str">
        <f t="shared" si="1"/>
      </c>
      <c r="W55" s="42" t="str">
        <f t="shared" si="3"/>
      </c>
    </row>
    <row r="56" spans="1:23" x14ac:dyDescent="0.25">
      <c r="A56" s="9"/>
      <c r="B56" s="9" t="inlineStr">
        <is>
          <t>Otros</t>
        </is>
      </c>
      <c r="C56" s="9">
        <v>7805.78252191</v>
      </c>
      <c r="D56" s="9">
        <v>5804.03027365</v>
      </c>
      <c r="E56" s="9">
        <v>6025.7305801325</v>
      </c>
      <c r="F56" s="9">
        <v>6272.2662032391</v>
      </c>
      <c r="G56" s="14">
        <f t="shared" si="10"/>
        <v>0</v>
      </c>
      <c r="H56" s="13">
        <f t="shared" si="11"/>
        <v>0</v>
      </c>
      <c r="I56" s="9" t="e">
        <f t="shared" si="7"/>
        <v>#DIV/0!</v>
      </c>
      <c r="J56" s="9"/>
      <c r="K56" s="9"/>
      <c r="L56" s="9"/>
      <c r="M56" s="9"/>
      <c r="N56" s="9"/>
      <c r="O56" s="9"/>
      <c r="U56" s="7">
        <f t="shared" si="9"/>
        <v>0</v>
      </c>
      <c r="V56" s="8" t="str">
        <f t="shared" si="1"/>
      </c>
      <c r="W56" s="42" t="str">
        <f t="shared" si="3"/>
      </c>
    </row>
    <row r="57" spans="1:23" x14ac:dyDescent="0.25">
      <c r="A57" s="9"/>
      <c r="B57" s="9" t="inlineStr">
        <is>
          <t>1. Fin de la pobreza</t>
        </is>
      </c>
      <c r="C57" s="9">
        <v>917.830875</v>
      </c>
      <c r="D57" s="9">
        <v>3688.38174941</v>
      </c>
      <c r="E57" s="9">
        <v>1112.7673605684</v>
      </c>
      <c r="F57" s="9">
        <v>742.668876619</v>
      </c>
      <c r="G57" s="14">
        <f t="shared" ref="G57:G73" si="12">SUM(C57:F57)</f>
        <v>0</v>
      </c>
      <c r="H57" s="13">
        <f t="shared" si="11"/>
        <v>0</v>
      </c>
      <c r="I57" s="9" t="e">
        <f t="shared" si="7"/>
        <v>#DIV/0!</v>
      </c>
      <c r="J57" s="9"/>
      <c r="K57" s="9"/>
      <c r="L57" s="9"/>
      <c r="M57" s="9"/>
      <c r="N57" s="9"/>
      <c r="O57" s="9"/>
      <c r="U57" s="7">
        <f t="shared" si="9"/>
        <v>0</v>
      </c>
      <c r="V57" s="8" t="str">
        <f t="shared" si="1"/>
      </c>
      <c r="W57" s="42" t="str">
        <f t="shared" si="3"/>
      </c>
    </row>
    <row r="58" spans="1:23" x14ac:dyDescent="0.25">
      <c r="A58" s="9"/>
      <c r="B58" s="9" t="inlineStr">
        <is>
          <t>2. Hambre cero</t>
        </is>
      </c>
      <c r="C58" s="9">
        <v>32.578079</v>
      </c>
      <c r="D58" s="9">
        <v>34.467607582</v>
      </c>
      <c r="E58" s="9">
        <v>36.4667288218</v>
      </c>
      <c r="F58" s="9">
        <v>38.5817990934</v>
      </c>
      <c r="G58" s="14">
        <f t="shared" si="12"/>
        <v>0</v>
      </c>
      <c r="H58" s="13">
        <f t="shared" si="11"/>
        <v>0</v>
      </c>
      <c r="I58" s="9" t="e">
        <f t="shared" si="7"/>
        <v>#DIV/0!</v>
      </c>
      <c r="J58" s="9"/>
      <c r="K58" s="9"/>
      <c r="L58" s="9"/>
      <c r="M58" s="9"/>
      <c r="N58" s="9"/>
      <c r="O58" s="9"/>
      <c r="U58" s="7">
        <f t="shared" si="9"/>
        <v>0</v>
      </c>
      <c r="V58" s="8" t="str">
        <f t="shared" si="1"/>
      </c>
      <c r="W58" s="42" t="str">
        <f t="shared" si="3"/>
      </c>
    </row>
    <row r="59" spans="1:23" x14ac:dyDescent="0.25">
      <c r="A59" s="9"/>
      <c r="B59" s="9" t="inlineStr">
        <is>
          <t>3. Salud y bienestar</t>
        </is>
      </c>
      <c r="C59" s="9">
        <v>8431.238624</v>
      </c>
      <c r="D59" s="9">
        <v>8952.15179585</v>
      </c>
      <c r="E59" s="9">
        <v>9412.9233566733</v>
      </c>
      <c r="F59" s="9">
        <v>9943.3123892124</v>
      </c>
      <c r="G59" s="14">
        <f t="shared" si="12"/>
        <v>0</v>
      </c>
      <c r="H59" s="13">
        <f t="shared" si="11"/>
        <v>0</v>
      </c>
      <c r="I59" s="9" t="e">
        <f t="shared" si="7"/>
        <v>#DIV/0!</v>
      </c>
      <c r="J59" s="9"/>
      <c r="K59" s="9"/>
      <c r="L59" s="9"/>
      <c r="M59" s="9"/>
      <c r="N59" s="9"/>
      <c r="O59" s="9"/>
      <c r="U59" s="7">
        <f t="shared" si="9"/>
        <v>0</v>
      </c>
      <c r="V59" s="8" t="str">
        <f t="shared" si="1"/>
      </c>
      <c r="W59" s="42" t="str">
        <f t="shared" si="3"/>
      </c>
    </row>
    <row r="60" spans="1:23" x14ac:dyDescent="0.25">
      <c r="A60" s="9"/>
      <c r="B60" s="9" t="inlineStr">
        <is>
          <t>4. Educación de calidad</t>
        </is>
      </c>
      <c r="C60" s="9">
        <v>1904.11902</v>
      </c>
      <c r="D60" s="9">
        <v>1925.743531048</v>
      </c>
      <c r="E60" s="9">
        <v>2052.0790831102</v>
      </c>
      <c r="F60" s="9">
        <v>1945.4960586494</v>
      </c>
      <c r="G60" s="14">
        <f t="shared" si="12"/>
        <v>0</v>
      </c>
      <c r="H60" s="13">
        <f t="shared" si="11"/>
        <v>0</v>
      </c>
      <c r="I60" s="9" t="e">
        <f t="shared" si="7"/>
        <v>#DIV/0!</v>
      </c>
      <c r="J60" s="9"/>
      <c r="K60" s="9"/>
      <c r="L60" s="9"/>
      <c r="M60" s="9"/>
      <c r="N60" s="9"/>
      <c r="O60" s="9"/>
      <c r="U60" s="7">
        <f t="shared" si="9"/>
        <v>0</v>
      </c>
      <c r="V60" s="8" t="str">
        <f t="shared" si="1"/>
      </c>
      <c r="W60" s="42" t="str">
        <f t="shared" si="3"/>
      </c>
    </row>
    <row r="61" spans="1:23" x14ac:dyDescent="0.25">
      <c r="A61" s="9"/>
      <c r="B61" s="9" t="inlineStr">
        <is>
          <t>5. Igualdad de género</t>
        </is>
      </c>
      <c r="C61" s="9">
        <v>0</v>
      </c>
      <c r="D61" s="9">
        <v>0</v>
      </c>
      <c r="E61" s="9">
        <v>0</v>
      </c>
      <c r="F61" s="9">
        <v>0</v>
      </c>
      <c r="G61" s="14">
        <f t="shared" si="12"/>
        <v>0</v>
      </c>
      <c r="H61" s="13">
        <f t="shared" si="11"/>
        <v>0</v>
      </c>
      <c r="I61" s="9" t="e">
        <f t="shared" si="7"/>
        <v>#DIV/0!</v>
      </c>
      <c r="J61" s="9"/>
      <c r="K61" s="9"/>
      <c r="L61" s="9"/>
      <c r="M61" s="9"/>
      <c r="N61" s="9"/>
      <c r="O61" s="9"/>
      <c r="U61" s="7">
        <f t="shared" si="9"/>
        <v>0</v>
      </c>
      <c r="V61" s="8" t="str">
        <f t="shared" si="1"/>
      </c>
      <c r="W61" s="42" t="str">
        <f t="shared" si="3"/>
      </c>
    </row>
    <row r="62" spans="1:23" x14ac:dyDescent="0.25">
      <c r="A62" s="9"/>
      <c r="B62" s="9" t="inlineStr">
        <is>
          <t>6. Agua limpia y saneamiento</t>
        </is>
      </c>
      <c r="C62" s="9">
        <v>287.3</v>
      </c>
      <c r="D62" s="9">
        <v>762.037366972</v>
      </c>
      <c r="E62" s="9">
        <v>319.87998266</v>
      </c>
      <c r="F62" s="9">
        <v>602.93501217</v>
      </c>
      <c r="G62" s="14">
        <f t="shared" si="12"/>
        <v>0</v>
      </c>
      <c r="H62" s="13">
        <f t="shared" si="11"/>
        <v>0</v>
      </c>
      <c r="I62" s="9" t="e">
        <f t="shared" si="7"/>
        <v>#DIV/0!</v>
      </c>
      <c r="J62" s="9"/>
      <c r="K62" s="9"/>
      <c r="L62" s="9"/>
      <c r="M62" s="9"/>
      <c r="N62" s="9"/>
      <c r="O62" s="9"/>
      <c r="U62" s="7">
        <f t="shared" si="9"/>
        <v>0</v>
      </c>
      <c r="V62" s="8" t="str">
        <f t="shared" si="1"/>
      </c>
      <c r="W62" s="42" t="str">
        <f t="shared" si="3"/>
      </c>
    </row>
    <row r="63" spans="1:23" x14ac:dyDescent="0.25">
      <c r="A63" s="9"/>
      <c r="B63" s="9" t="inlineStr">
        <is>
          <t>7. Energía asequible y no contaminante</t>
        </is>
      </c>
      <c r="C63" s="9">
        <v>0</v>
      </c>
      <c r="D63" s="9">
        <v>0</v>
      </c>
      <c r="E63" s="9">
        <v>0</v>
      </c>
      <c r="F63" s="9">
        <v>0</v>
      </c>
      <c r="G63" s="14">
        <f t="shared" si="12"/>
        <v>0</v>
      </c>
      <c r="H63" s="13">
        <f t="shared" si="11"/>
        <v>0</v>
      </c>
      <c r="I63" s="9" t="e">
        <f t="shared" si="7"/>
        <v>#DIV/0!</v>
      </c>
      <c r="J63" s="9"/>
      <c r="K63" s="9"/>
      <c r="L63" s="9"/>
      <c r="M63" s="9"/>
      <c r="N63" s="9"/>
      <c r="O63" s="9"/>
      <c r="U63" s="7">
        <f t="shared" si="9"/>
        <v>0</v>
      </c>
      <c r="V63" s="8" t="str">
        <f t="shared" si="1"/>
      </c>
      <c r="W63" s="42" t="str">
        <f t="shared" si="3"/>
      </c>
    </row>
    <row r="64" spans="1:23" x14ac:dyDescent="0.25">
      <c r="A64" s="9"/>
      <c r="B64" s="9" t="inlineStr">
        <is>
          <t>8. Trabajo decente y crecimiento económico</t>
        </is>
      </c>
      <c r="C64" s="9">
        <v>113</v>
      </c>
      <c r="D64" s="9">
        <v>347.61</v>
      </c>
      <c r="E64" s="9">
        <v>367.77138</v>
      </c>
      <c r="F64" s="9">
        <v>377.25924892</v>
      </c>
      <c r="G64" s="14">
        <f t="shared" si="12"/>
        <v>0</v>
      </c>
      <c r="H64" s="13">
        <f t="shared" si="11"/>
        <v>0</v>
      </c>
      <c r="I64" s="9" t="e">
        <f t="shared" si="7"/>
        <v>#DIV/0!</v>
      </c>
      <c r="J64" s="9"/>
      <c r="K64" s="9"/>
      <c r="L64" s="9"/>
      <c r="M64" s="9"/>
      <c r="N64" s="9"/>
      <c r="O64" s="9"/>
      <c r="U64" s="7">
        <f t="shared" si="9"/>
        <v>0</v>
      </c>
      <c r="V64" s="8" t="str">
        <f t="shared" si="1"/>
      </c>
      <c r="W64" s="42" t="str">
        <f t="shared" si="3"/>
      </c>
    </row>
    <row r="65" spans="1:23" x14ac:dyDescent="0.25">
      <c r="A65" s="9"/>
      <c r="B65" s="9" t="inlineStr">
        <is>
          <t>9. Industria, innovación e infraestructura</t>
        </is>
      </c>
      <c r="C65" s="9">
        <v>294.25664</v>
      </c>
      <c r="D65" s="9">
        <v>425.194</v>
      </c>
      <c r="E65" s="9">
        <v>447.840172</v>
      </c>
      <c r="F65" s="9">
        <v>471.787443376</v>
      </c>
      <c r="G65" s="14">
        <f t="shared" si="12"/>
        <v>0</v>
      </c>
      <c r="H65" s="13">
        <f t="shared" si="11"/>
        <v>0</v>
      </c>
      <c r="I65" s="9" t="e">
        <f t="shared" si="7"/>
        <v>#DIV/0!</v>
      </c>
      <c r="J65" s="9"/>
      <c r="K65" s="9"/>
      <c r="L65" s="9"/>
      <c r="M65" s="9"/>
      <c r="N65" s="9"/>
      <c r="O65" s="9"/>
      <c r="U65" s="7">
        <f t="shared" si="9"/>
        <v>0</v>
      </c>
      <c r="V65" s="8" t="str">
        <f t="shared" si="1"/>
      </c>
      <c r="W65" s="42" t="str">
        <f t="shared" si="3"/>
      </c>
    </row>
    <row r="66" spans="1:23" x14ac:dyDescent="0.25">
      <c r="A66" s="9"/>
      <c r="B66" s="9" t="inlineStr">
        <is>
          <t>10. Reducción de las desigualdades</t>
        </is>
      </c>
      <c r="C66" s="9">
        <v>1565</v>
      </c>
      <c r="D66" s="9">
        <v>201.16</v>
      </c>
      <c r="E66" s="9">
        <v>87.1122</v>
      </c>
      <c r="F66" s="9">
        <v>38.782249</v>
      </c>
      <c r="G66" s="14">
        <f t="shared" si="12"/>
        <v>0</v>
      </c>
      <c r="H66" s="13">
        <f t="shared" si="11"/>
        <v>0</v>
      </c>
      <c r="I66" s="9" t="e">
        <f t="shared" si="7"/>
        <v>#DIV/0!</v>
      </c>
      <c r="J66" s="9"/>
      <c r="K66" s="9"/>
      <c r="L66" s="9"/>
      <c r="M66" s="9"/>
      <c r="N66" s="9"/>
      <c r="O66" s="9"/>
      <c r="U66" s="7">
        <f t="shared" si="9"/>
        <v>0</v>
      </c>
      <c r="V66" s="8" t="str">
        <f t="shared" si="1"/>
      </c>
      <c r="W66" s="42" t="str">
        <f t="shared" si="3"/>
      </c>
    </row>
    <row r="67" spans="1:23" x14ac:dyDescent="0.25">
      <c r="A67" s="9"/>
      <c r="B67" s="9" t="inlineStr">
        <is>
          <t>11. Ciudades y comunidades sostenibles</t>
        </is>
      </c>
      <c r="C67" s="9">
        <v>2092.254961</v>
      </c>
      <c r="D67" s="9">
        <v>1701.655620454</v>
      </c>
      <c r="E67" s="9">
        <v>1210.99701524</v>
      </c>
      <c r="F67" s="9">
        <v>969.9018099296</v>
      </c>
      <c r="G67" s="14">
        <f t="shared" si="12"/>
        <v>0</v>
      </c>
      <c r="H67" s="13">
        <f t="shared" si="11"/>
        <v>0</v>
      </c>
      <c r="I67" s="9" t="e">
        <f t="shared" si="7"/>
        <v>#DIV/0!</v>
      </c>
      <c r="J67" s="9"/>
      <c r="K67" s="9"/>
      <c r="L67" s="9"/>
      <c r="M67" s="9"/>
      <c r="N67" s="9"/>
      <c r="O67" s="9"/>
      <c r="U67" s="7">
        <f t="shared" si="9"/>
        <v>0</v>
      </c>
      <c r="V67" s="8" t="str">
        <f t="shared" si="1"/>
      </c>
      <c r="W67" s="42" t="str">
        <f t="shared" si="3"/>
      </c>
    </row>
    <row r="68" spans="1:23" x14ac:dyDescent="0.25">
      <c r="A68" s="9"/>
      <c r="B68" s="9" t="inlineStr">
        <is>
          <t>12. Producción y consumo responsables</t>
        </is>
      </c>
      <c r="C68" s="9">
        <v>5</v>
      </c>
      <c r="D68" s="9">
        <v>0</v>
      </c>
      <c r="E68" s="9">
        <v>300</v>
      </c>
      <c r="F68" s="9">
        <v>0</v>
      </c>
      <c r="G68" s="14">
        <f t="shared" si="12"/>
        <v>0</v>
      </c>
      <c r="H68" s="13">
        <f t="shared" si="11"/>
        <v>0</v>
      </c>
      <c r="I68" s="9" t="e">
        <f t="shared" si="7"/>
        <v>#DIV/0!</v>
      </c>
      <c r="J68" s="9"/>
      <c r="K68" s="9"/>
      <c r="L68" s="9"/>
      <c r="M68" s="9"/>
      <c r="N68" s="9"/>
      <c r="O68" s="9"/>
      <c r="U68" s="7">
        <f t="shared" si="9"/>
        <v>0</v>
      </c>
      <c r="V68" s="8" t="str">
        <f t="shared" si="1"/>
      </c>
      <c r="W68" s="42" t="str">
        <f t="shared" si="3"/>
      </c>
    </row>
    <row r="69" spans="1:23" x14ac:dyDescent="0.25">
      <c r="A69" s="9"/>
      <c r="B69" s="9" t="inlineStr">
        <is>
          <t>13. Acción por el clima</t>
        </is>
      </c>
      <c r="C69" s="9">
        <v>0</v>
      </c>
      <c r="D69" s="9">
        <v>0</v>
      </c>
      <c r="E69" s="9">
        <v>0</v>
      </c>
      <c r="F69" s="9">
        <v>0</v>
      </c>
      <c r="G69" s="14">
        <f t="shared" si="12"/>
        <v>0</v>
      </c>
      <c r="H69" s="13">
        <f t="shared" si="11"/>
        <v>0</v>
      </c>
      <c r="I69" s="9" t="e">
        <f t="shared" si="7"/>
        <v>#DIV/0!</v>
      </c>
      <c r="J69" s="9"/>
      <c r="K69" s="9"/>
      <c r="L69" s="9"/>
      <c r="M69" s="9"/>
      <c r="N69" s="9"/>
      <c r="O69" s="9"/>
      <c r="U69" s="7">
        <f t="shared" si="9"/>
        <v>0</v>
      </c>
      <c r="V69" s="8" t="str">
        <f t="shared" si="1"/>
      </c>
      <c r="W69" s="42" t="str">
        <f t="shared" si="3"/>
      </c>
    </row>
    <row r="70" spans="1:23" x14ac:dyDescent="0.25">
      <c r="A70" s="9"/>
      <c r="B70" s="9" t="inlineStr">
        <is>
          <t>14. Vida submarina</t>
        </is>
      </c>
      <c r="C70" s="9">
        <v>0</v>
      </c>
      <c r="D70" s="9">
        <v>0</v>
      </c>
      <c r="E70" s="9">
        <v>0</v>
      </c>
      <c r="F70" s="9">
        <v>0</v>
      </c>
      <c r="G70" s="14">
        <f t="shared" si="12"/>
        <v>0</v>
      </c>
      <c r="H70" s="13">
        <f t="shared" si="11"/>
        <v>0</v>
      </c>
      <c r="I70" s="9" t="e">
        <f t="shared" si="7"/>
        <v>#DIV/0!</v>
      </c>
      <c r="J70" s="9"/>
      <c r="K70" s="9"/>
      <c r="L70" s="9"/>
      <c r="M70" s="9"/>
      <c r="N70" s="9"/>
      <c r="O70" s="9"/>
      <c r="U70" s="7">
        <f t="shared" si="9"/>
        <v>0</v>
      </c>
      <c r="V70" s="8" t="str">
        <f t="shared" si="1"/>
      </c>
      <c r="W70" s="42" t="str">
        <f t="shared" si="3"/>
      </c>
    </row>
    <row r="71" spans="1:23" x14ac:dyDescent="0.25">
      <c r="A71" s="9"/>
      <c r="B71" s="9" t="inlineStr">
        <is>
          <t>15. Vida de ecosistemas terrestres</t>
        </is>
      </c>
      <c r="C71" s="9">
        <v>62</v>
      </c>
      <c r="D71" s="9">
        <v>30</v>
      </c>
      <c r="E71" s="9">
        <v>20</v>
      </c>
      <c r="F71" s="9">
        <v>10</v>
      </c>
      <c r="G71" s="14">
        <f t="shared" si="12"/>
        <v>0</v>
      </c>
      <c r="H71" s="13">
        <f t="shared" si="11"/>
        <v>0</v>
      </c>
      <c r="I71" s="9" t="e">
        <f t="shared" si="7"/>
        <v>#DIV/0!</v>
      </c>
      <c r="J71" s="9"/>
      <c r="K71" s="9"/>
      <c r="L71" s="9"/>
      <c r="M71" s="9"/>
      <c r="N71" s="9"/>
      <c r="O71" s="9"/>
      <c r="U71" s="7">
        <f t="shared" si="9"/>
        <v>0</v>
      </c>
      <c r="V71" s="8" t="str">
        <f t="shared" ref="V71:V75" si="13">IF(P71="","",INDEX(Q71:U71,MATCH($D$16,$C$23:$G$23,0)))</f>
      </c>
      <c r="W71" s="42" t="str">
        <f t="shared" si="3"/>
      </c>
    </row>
    <row r="72" spans="1:23" x14ac:dyDescent="0.25">
      <c r="A72" s="9"/>
      <c r="B72" s="9" t="inlineStr">
        <is>
          <t>16. Paz, justicia e instituciones sólidas</t>
        </is>
      </c>
      <c r="C72" s="9">
        <v>2320.30446667</v>
      </c>
      <c r="D72" s="9">
        <v>2556.2615228649</v>
      </c>
      <c r="E72" s="9">
        <v>2632.5427020074</v>
      </c>
      <c r="F72" s="9">
        <v>2782.1743286881</v>
      </c>
      <c r="G72" s="14">
        <f t="shared" si="12"/>
        <v>0</v>
      </c>
      <c r="H72" s="13">
        <f t="shared" si="11"/>
        <v>0</v>
      </c>
      <c r="I72" s="9" t="e">
        <f t="shared" si="7"/>
        <v>#DIV/0!</v>
      </c>
      <c r="J72" s="9"/>
      <c r="K72" s="9"/>
      <c r="L72" s="9"/>
      <c r="M72" s="9"/>
      <c r="N72" s="9"/>
      <c r="O72" s="9"/>
      <c r="U72" s="7">
        <f t="shared" ref="U72:U73" si="14">SUM(Q72:T72)</f>
        <v>0</v>
      </c>
      <c r="V72" s="8" t="str">
        <f t="shared" si="13"/>
      </c>
      <c r="W72" s="42" t="str">
        <f t="shared" ref="W72:W75" si="15">IFERROR(IF(P72="","",CONCATENATE(TEXT(V72,$U$2)," (",TEXT(V72*100/$I$23,$U$3),"%)")),"")</f>
      </c>
    </row>
    <row r="73" spans="1:23" x14ac:dyDescent="0.25">
      <c r="A73" s="9"/>
      <c r="B73" s="9" t="inlineStr">
        <is>
          <t>17. Alianzas para lograr los objetivos</t>
        </is>
      </c>
      <c r="C73" s="9">
        <v>53.706412</v>
      </c>
      <c r="D73" s="9">
        <v>151.85186</v>
      </c>
      <c r="E73" s="9">
        <v>160.41190788</v>
      </c>
      <c r="F73" s="9">
        <v>171.30278032</v>
      </c>
      <c r="G73" s="14">
        <f t="shared" si="12"/>
        <v>0</v>
      </c>
      <c r="H73" s="13">
        <f t="shared" si="11"/>
        <v>0</v>
      </c>
      <c r="I73" s="9" t="e">
        <f t="shared" si="7"/>
        <v>#DIV/0!</v>
      </c>
      <c r="J73" s="9"/>
      <c r="K73" s="9"/>
      <c r="L73" s="9"/>
      <c r="M73" s="9"/>
      <c r="N73" s="9"/>
      <c r="O73" s="9"/>
      <c r="U73" s="7">
        <f t="shared" si="14"/>
        <v>0</v>
      </c>
      <c r="V73" s="8" t="str">
        <f t="shared" si="13"/>
      </c>
      <c r="W73" s="42" t="str">
        <f t="shared" si="15"/>
      </c>
    </row>
    <row r="74" spans="1:23" x14ac:dyDescent="0.25">
      <c r="A74" s="9"/>
      <c r="B74" s="9"/>
      <c r="C74" s="9"/>
      <c r="D74" s="9"/>
      <c r="E74" s="9"/>
      <c r="F74" s="9"/>
      <c r="G74" s="9"/>
      <c r="H74" s="9"/>
      <c r="I74" s="9"/>
      <c r="J74" s="9"/>
      <c r="K74" s="9"/>
      <c r="L74" s="9"/>
      <c r="M74" s="9"/>
      <c r="N74" s="9"/>
      <c r="O74" s="9"/>
      <c r="U74" s="7">
        <f t="shared" ref="U74:U75" si="16">SUM(Q74:T74)</f>
        <v>0</v>
      </c>
      <c r="V74" s="8" t="str">
        <f t="shared" si="13"/>
      </c>
      <c r="W74" s="42" t="str">
        <f t="shared" si="15"/>
      </c>
    </row>
    <row r="75" spans="1:23" x14ac:dyDescent="0.25">
      <c r="K75" s="3"/>
      <c r="U75" s="7">
        <f t="shared" si="16"/>
        <v>0</v>
      </c>
      <c r="V75" s="8" t="str">
        <f t="shared" si="13"/>
      </c>
      <c r="W75" s="42" t="str">
        <f t="shared" si="15"/>
      </c>
    </row>
    <row r="76" spans="1:23" ht="17.25" x14ac:dyDescent="0.3">
      <c r="B76" s="11" t="str">
        <f>CONCATENATE("Seguimiento físico al Plan de Desarrollo - Vigencia ",$X$1)</f>
        <v>Seguimiento físico al Plan de Desarrollo - Vigencia (Dar clic en Habilitar Edición)</v>
      </c>
      <c r="C76" s="12"/>
      <c r="D76" s="12"/>
      <c r="E76" s="12"/>
      <c r="F76" s="12"/>
      <c r="G76" s="12"/>
      <c r="H76" s="12"/>
      <c r="I76" s="12"/>
      <c r="J76" s="12"/>
      <c r="K76" s="12"/>
      <c r="L76" s="12"/>
      <c r="M76" s="12"/>
    </row>
    <row r="77" spans="1:23" x14ac:dyDescent="0.25"/>
    <row r="78" spans="1:23" x14ac:dyDescent="0.25">
      <c r="B78" s="70" t="str">
        <f>CONCATENATE("El seguimiento físico se hace a nivel de código BPIN e indicador de producto, junto con su modo de acumulación respectivo. Esta información, consignada en SisPT, la contrastamos con la ejecución acumulada en PIIP al corte de la vigencia ",$X$1,", de los proyectos cuya entidad ejecutora es la entidad territorial en cuestión.")</f>
        <v>El seguimiento físico se hace a nivel de código BPIN e indicador de producto, junto con su modo de acumulación respectivo. Esta información, consignada en SisPT, la contrastamos con la ejecución acumulada en PIIP al corte de la vigencia (Dar clic en Habilitar Edición), de los proyectos cuya entidad ejecutora es la entidad territorial en cuestión.</v>
      </c>
      <c r="C78" s="70"/>
      <c r="D78" s="70"/>
      <c r="E78" s="70"/>
      <c r="F78" s="70"/>
      <c r="G78" s="70"/>
      <c r="H78" s="70"/>
      <c r="I78" s="70"/>
      <c r="J78" s="70"/>
      <c r="K78" s="70"/>
      <c r="L78" s="70"/>
      <c r="M78" s="70"/>
    </row>
    <row r="79" spans="1:23" ht="15.6" customHeight="1" x14ac:dyDescent="0.25">
      <c r="B79" s="70"/>
      <c r="C79" s="70"/>
      <c r="D79" s="70"/>
      <c r="E79" s="70"/>
      <c r="F79" s="70"/>
      <c r="G79" s="70"/>
      <c r="H79" s="70"/>
      <c r="I79" s="70"/>
      <c r="J79" s="70"/>
      <c r="K79" s="70"/>
      <c r="L79" s="70"/>
      <c r="M79" s="70"/>
    </row>
    <row r="80" spans="1:23" ht="15.6" customHeight="1" x14ac:dyDescent="0.25">
      <c r="B80" s="70" t="str">
        <f>CONCATENATE("En el Plan Indicativo del Presupuesto Ordinario de SisPT, la entidad cuenta con ",SUM(B95:B100)," combinaciones únicas de BPIN, indicador de producto, y modo de acumulación. El siguiente diagrama de Venn ilustra, en el lenguaje de teoría de conjuntos, el nivel de coincidencia en la información entre SisPT y PIIP:")</f>
        <v>En el Plan Indicativo del Presupuesto Ordinario de SisPT, la entidad cuenta con 0 combinaciones únicas de BPIN, indicador de producto, y modo de acumulación. El siguiente diagrama de Venn ilustra, en el lenguaje de teoría de conjuntos, el nivel de coincidencia en la información entre SisPT y PIIP:</v>
      </c>
      <c r="C80" s="70"/>
      <c r="D80" s="70"/>
      <c r="E80" s="70"/>
      <c r="F80" s="70"/>
      <c r="G80" s="70"/>
      <c r="H80" s="70"/>
      <c r="I80" s="70"/>
      <c r="J80" s="70"/>
      <c r="K80" s="70"/>
      <c r="L80" s="70"/>
      <c r="M80" s="70"/>
    </row>
    <row r="81" spans="2:20" ht="15.6" customHeight="1" x14ac:dyDescent="0.25">
      <c r="B81" s="70"/>
      <c r="C81" s="70"/>
      <c r="D81" s="70"/>
      <c r="E81" s="70"/>
      <c r="F81" s="70"/>
      <c r="G81" s="70"/>
      <c r="H81" s="70"/>
      <c r="I81" s="70"/>
      <c r="J81" s="70"/>
      <c r="K81" s="70"/>
      <c r="L81" s="70"/>
      <c r="M81" s="70"/>
    </row>
    <row r="82" spans="2:20" ht="15.6" customHeight="1" x14ac:dyDescent="0.25">
      <c r="F82" s="10"/>
      <c r="G82" s="10"/>
      <c r="H82" s="10"/>
      <c r="I82" s="10"/>
      <c r="J82" s="10"/>
      <c r="K82" s="10"/>
      <c r="L82" s="10"/>
      <c r="M82" s="10"/>
    </row>
    <row r="83" spans="2:20" ht="15.6" customHeight="1" x14ac:dyDescent="0.25">
      <c r="F83" s="10"/>
      <c r="G83" s="10"/>
      <c r="H83" s="10"/>
      <c r="I83" s="10"/>
      <c r="J83" s="10"/>
      <c r="K83" s="10"/>
      <c r="L83" s="10"/>
      <c r="M83" s="10"/>
    </row>
    <row r="84" spans="2:20" ht="15.6" customHeight="1" x14ac:dyDescent="0.25">
      <c r="D84" s="71" t="s">
        <v>82</v>
      </c>
      <c r="E84" s="71"/>
      <c r="F84" s="33"/>
      <c r="G84" s="33"/>
      <c r="H84" s="33"/>
      <c r="I84" s="34"/>
      <c r="J84" s="74" t="s">
        <v>88</v>
      </c>
      <c r="K84" s="74"/>
      <c r="L84" s="10"/>
      <c r="M84" s="10"/>
    </row>
    <row r="85" spans="2:20" ht="15.6" customHeight="1" x14ac:dyDescent="0.25">
      <c r="D85" s="68" t="str">
        <f>CONCATENATE(SUM(Q92:Q93)," combinaciones BPIN-Ind. Producto-Tipo Acumulación")</f>
        <v>0 combinaciones BPIN-Ind. Producto-Tipo Acumulación</v>
      </c>
      <c r="E85" s="68"/>
      <c r="F85" s="33"/>
      <c r="G85" s="33"/>
      <c r="H85" s="33"/>
      <c r="I85" s="34"/>
      <c r="J85" s="68" t="str">
        <f>CONCATENATE(SUM(Q93:Q94)," combinaciones BPIN-Ind. Producto-Tipo Acumulación")</f>
        <v>0 combinaciones BPIN-Ind. Producto-Tipo Acumulación</v>
      </c>
      <c r="K85" s="68"/>
      <c r="L85" s="10"/>
      <c r="M85" s="10"/>
    </row>
    <row r="86" spans="2:20" ht="15.6" customHeight="1" x14ac:dyDescent="0.25">
      <c r="D86" s="68"/>
      <c r="E86" s="68"/>
      <c r="F86" s="33"/>
      <c r="G86" s="33"/>
      <c r="H86" s="33"/>
      <c r="I86" s="34"/>
      <c r="J86" s="68"/>
      <c r="K86" s="68"/>
      <c r="L86" s="10"/>
      <c r="M86" s="10"/>
    </row>
    <row r="87" spans="2:20" ht="15.6" customHeight="1" x14ac:dyDescent="0.3">
      <c r="D87" s="68"/>
      <c r="E87" s="68"/>
      <c r="F87" s="33"/>
      <c r="G87" s="33"/>
      <c r="H87" s="33"/>
      <c r="I87" s="34"/>
      <c r="J87" s="68"/>
      <c r="K87" s="68"/>
      <c r="L87" s="10"/>
      <c r="M87" s="10"/>
      <c r="T87" s="49"/>
    </row>
    <row r="88" spans="2:20" ht="15.6" customHeight="1" x14ac:dyDescent="0.25">
      <c r="D88" s="15"/>
      <c r="E88" s="10"/>
      <c r="F88" s="10"/>
      <c r="G88" s="10"/>
      <c r="H88" s="10"/>
      <c r="J88" s="10"/>
      <c r="K88" s="10"/>
      <c r="L88" s="10"/>
      <c r="M88" s="10"/>
    </row>
    <row r="89" spans="2:20" ht="15.6" customHeight="1" x14ac:dyDescent="0.25">
      <c r="D89" s="15"/>
      <c r="E89" s="10"/>
      <c r="F89" s="10"/>
      <c r="G89" s="10"/>
      <c r="H89" s="10"/>
      <c r="J89" s="10"/>
      <c r="K89" s="10"/>
      <c r="L89" s="10"/>
      <c r="M89" s="10"/>
    </row>
    <row r="90" spans="2:20" ht="15.6" customHeight="1" x14ac:dyDescent="0.25">
      <c r="D90" s="10"/>
      <c r="E90" s="10"/>
      <c r="F90" s="10"/>
      <c r="G90" s="10"/>
      <c r="H90" s="10"/>
      <c r="I90" s="2"/>
      <c r="J90" s="10"/>
      <c r="K90" s="10"/>
      <c r="L90" s="10"/>
      <c r="M90" s="10"/>
    </row>
    <row r="91" spans="2:20" ht="15.6" customHeight="1" x14ac:dyDescent="0.25">
      <c r="B91" s="62"/>
      <c r="C91" s="63"/>
      <c r="F91" s="10"/>
      <c r="G91" s="10"/>
      <c r="H91" s="10"/>
      <c r="I91" s="2"/>
      <c r="J91" s="10"/>
      <c r="K91" s="10"/>
      <c r="L91" s="10"/>
      <c r="M91" s="10"/>
    </row>
    <row r="92" spans="2:20" ht="15.6" customHeight="1" x14ac:dyDescent="0.25">
      <c r="B92" s="75" t="str">
        <f>CONCATENATE("El diagrama de Venn muestra que hay ",SUM(B95:B99)," combinaciones en el Plan Indicativo de SisPT que no tienen seguimiento físico en PIIP. Las siguientes tabla y gráfica muestran las distintas razones por las que esas combinaciones no pudieron rastrearse en PIIP, junto con las ",R93,".")</f>
        <v>El diagrama de Venn muestra que hay 0 combinaciones en el Plan Indicativo de SisPT que no tienen seguimiento físico en PIIP. Las siguientes tabla y gráfica muestran las distintas razones por las que esas combinaciones no pudieron rastrearse en PIIP, junto con las 0 coincidencias.</v>
      </c>
      <c r="C92" s="75"/>
      <c r="D92" s="75"/>
      <c r="E92" s="75"/>
      <c r="F92" s="75"/>
      <c r="G92" s="75"/>
      <c r="H92" s="75"/>
      <c r="I92" s="75"/>
      <c r="J92" s="75"/>
      <c r="K92" s="75"/>
      <c r="L92" s="75"/>
      <c r="M92" s="75"/>
      <c r="P92" s="1" t="s">
        <v>79</v>
      </c>
      <c r="Q92" s="1">
        <f>SUM(B95:B99)</f>
        <v>0</v>
      </c>
    </row>
    <row r="93" spans="2:20" ht="15.6" customHeight="1" x14ac:dyDescent="0.25">
      <c r="B93" s="75"/>
      <c r="C93" s="75"/>
      <c r="D93" s="75"/>
      <c r="E93" s="75"/>
      <c r="F93" s="75"/>
      <c r="G93" s="75"/>
      <c r="H93" s="75"/>
      <c r="I93" s="75"/>
      <c r="J93" s="75"/>
      <c r="K93" s="75"/>
      <c r="L93" s="75"/>
      <c r="M93" s="75"/>
      <c r="P93" s="1" t="s">
        <v>80</v>
      </c>
      <c r="Q93" s="1">
        <f>B100</f>
        <v>0</v>
      </c>
      <c r="R93" s="1" t="str">
        <f>IF(Q93=1,CONCATENATE(Q93," coincidencia"),CONCATENATE(Q93," coincidencias"))</f>
        <v>0 coincidencias</v>
      </c>
    </row>
    <row r="94" spans="2:20" ht="15.6" customHeight="1" x14ac:dyDescent="0.25">
      <c r="B94" s="17"/>
      <c r="C94" s="10"/>
      <c r="L94" s="10"/>
      <c r="M94" s="10"/>
      <c r="P94" s="1" t="s">
        <v>89</v>
      </c>
      <c r="Q94" s="1">
        <f>B101</f>
        <v>0</v>
      </c>
    </row>
    <row r="95" spans="2:20" ht="15.6" customHeight="1" x14ac:dyDescent="0.25">
      <c r="B95" s="21">
        <v>0</v>
      </c>
      <c r="C95" s="22" t="s">
        <v>76</v>
      </c>
      <c r="L95" s="10"/>
      <c r="M95" s="10"/>
    </row>
    <row r="96" spans="2:20" ht="15.6" customHeight="1" x14ac:dyDescent="0.25">
      <c r="B96" s="23">
        <v>3</v>
      </c>
      <c r="C96" s="22" t="s">
        <v>77</v>
      </c>
    </row>
    <row r="97" spans="2:18" ht="15.6" customHeight="1" x14ac:dyDescent="0.25">
      <c r="B97" s="24">
        <v>21</v>
      </c>
      <c r="C97" s="22" t="s">
        <v>87</v>
      </c>
    </row>
    <row r="98" spans="2:18" ht="15.6" customHeight="1" x14ac:dyDescent="0.25">
      <c r="B98" s="25">
        <v>0</v>
      </c>
      <c r="C98" s="22" t="s">
        <v>91</v>
      </c>
      <c r="D98" s="10"/>
      <c r="E98" s="10"/>
      <c r="F98" s="10"/>
      <c r="G98" s="10"/>
      <c r="H98" s="10"/>
      <c r="I98" s="2"/>
      <c r="J98" s="10"/>
      <c r="K98" s="10"/>
      <c r="L98" s="10"/>
      <c r="M98" s="10"/>
    </row>
    <row r="99" spans="2:18" ht="15.6" customHeight="1" x14ac:dyDescent="0.25">
      <c r="B99" s="26">
        <v>41</v>
      </c>
      <c r="C99" s="22" t="s">
        <v>78</v>
      </c>
      <c r="D99" s="10"/>
      <c r="E99" s="10"/>
      <c r="F99" s="10"/>
      <c r="G99" s="10"/>
      <c r="H99" s="10"/>
      <c r="I99" s="2"/>
      <c r="J99" s="10"/>
      <c r="K99" s="10"/>
      <c r="L99" s="10"/>
      <c r="M99" s="10"/>
    </row>
    <row r="100" spans="2:18" ht="15.6" customHeight="1" x14ac:dyDescent="0.25">
      <c r="B100" s="27">
        <v>20</v>
      </c>
      <c r="C100" s="22" t="s">
        <v>92</v>
      </c>
      <c r="D100" s="56"/>
      <c r="E100" s="56"/>
      <c r="F100" s="56"/>
      <c r="G100" s="56"/>
      <c r="H100" s="56"/>
      <c r="I100" s="56"/>
      <c r="J100" s="56"/>
      <c r="K100" s="56"/>
      <c r="L100" s="56"/>
      <c r="M100" s="56"/>
    </row>
    <row r="101" spans="2:18" ht="15.6" customHeight="1" x14ac:dyDescent="0.25">
      <c r="B101" s="17">
        <v>135</v>
      </c>
      <c r="C101" s="63"/>
    </row>
    <row r="102" spans="2:18" ht="15.6" customHeight="1" x14ac:dyDescent="0.25">
      <c r="B102" s="75" t="s">
        <v>130</v>
      </c>
      <c r="C102" s="75"/>
      <c r="D102" s="75"/>
      <c r="E102" s="75"/>
      <c r="F102" s="75"/>
      <c r="G102" s="75"/>
      <c r="H102" s="75"/>
      <c r="I102" s="75"/>
      <c r="J102" s="75"/>
      <c r="K102" s="75"/>
      <c r="L102" s="75"/>
      <c r="M102" s="75"/>
    </row>
    <row r="103" spans="2:18" ht="15.6" customHeight="1" x14ac:dyDescent="0.25">
      <c r="B103" s="75"/>
      <c r="C103" s="75"/>
      <c r="D103" s="75"/>
      <c r="E103" s="75"/>
      <c r="F103" s="75"/>
      <c r="G103" s="75"/>
      <c r="H103" s="75"/>
      <c r="I103" s="75"/>
      <c r="J103" s="75"/>
      <c r="K103" s="75"/>
      <c r="L103" s="75"/>
      <c r="M103" s="75"/>
    </row>
    <row r="104" spans="2:18" ht="15.6" customHeight="1" x14ac:dyDescent="0.25">
      <c r="B104" s="10"/>
      <c r="C104" s="10"/>
      <c r="D104" s="10"/>
      <c r="E104" s="10"/>
      <c r="F104" s="10"/>
      <c r="G104" s="10"/>
      <c r="H104" s="10"/>
      <c r="I104" s="10"/>
      <c r="J104" s="10"/>
      <c r="K104" s="10"/>
      <c r="L104" s="10"/>
      <c r="M104" s="10"/>
    </row>
    <row r="105" spans="2:18" x14ac:dyDescent="0.25"/>
    <row r="106" spans="2:18" ht="17.25" x14ac:dyDescent="0.3">
      <c r="B106" s="11" t="str">
        <f>CONCATENATE("Seguimiento financiero al Plan de Desarrollo - Vigencia ",$X$1)</f>
        <v>Seguimiento financiero al Plan de Desarrollo - Vigencia (Dar clic en Habilitar Edición)</v>
      </c>
      <c r="C106" s="12"/>
      <c r="D106" s="12"/>
      <c r="E106" s="12"/>
      <c r="F106" s="12"/>
      <c r="G106" s="12"/>
      <c r="H106" s="12"/>
      <c r="I106" s="12"/>
      <c r="J106" s="12"/>
      <c r="K106" s="12"/>
      <c r="L106" s="12"/>
      <c r="M106" s="12"/>
    </row>
    <row r="107" spans="2:18" x14ac:dyDescent="0.25"/>
    <row r="108" spans="2:18" x14ac:dyDescent="0.25">
      <c r="B108" s="70" t="str">
        <f>CONCATENATE(_xlfn._LONGTEXT("El seguimiento financiero se hace a nivel de código BPIN y producto. Note que el seguimiento financiero no se hace a nivel de indicador de producto. Esta información, consignada en SisPT, la contrastamos con los reportes de ejecución en CUIPO hasta el cie","rre de la vigencia "),$X$1,".")</f>
        <v>El seguimiento financiero se hace a nivel de código BPIN y producto. Note que el seguimiento financiero no se hace a nivel de indicador de producto. Esta información, consignada en SisPT, la contrastamos con los reportes de ejecución en CUIPO hasta el cierre de la vigencia (Dar clic en Habilitar Edición).</v>
      </c>
      <c r="C108" s="70"/>
      <c r="D108" s="70"/>
      <c r="E108" s="70"/>
      <c r="F108" s="70"/>
      <c r="G108" s="70"/>
      <c r="H108" s="70"/>
      <c r="I108" s="70"/>
      <c r="J108" s="70"/>
      <c r="K108" s="70"/>
      <c r="L108" s="70"/>
      <c r="M108" s="70"/>
    </row>
    <row r="109" spans="2:18" x14ac:dyDescent="0.25">
      <c r="B109" s="70"/>
      <c r="C109" s="70"/>
      <c r="D109" s="70"/>
      <c r="E109" s="70"/>
      <c r="F109" s="70"/>
      <c r="G109" s="70"/>
      <c r="H109" s="70"/>
      <c r="I109" s="70"/>
      <c r="J109" s="70"/>
      <c r="K109" s="70"/>
      <c r="L109" s="70"/>
      <c r="M109" s="70"/>
      <c r="P109" s="1" t="s">
        <v>79</v>
      </c>
      <c r="Q109" s="1">
        <v>7</v>
      </c>
    </row>
    <row r="110" spans="2:18" x14ac:dyDescent="0.25">
      <c r="B110" s="70" t="str">
        <f>CONCATENATE("En el Plan Indicativo del Presupuesto Ordinario de SisPT, la entidad cuenta con ",R110," combinaciones únicas de BPIN y producto. El siguiente diagrama de Venn ilustra, en el lenguaje de teoría de conjuntos, el nivel de coincidencia en la información entre SisPT y CUIPO:")</f>
        <v>En el Plan Indicativo del Presupuesto Ordinario de SisPT, la entidad cuenta con 0 coincidencias combinaciones únicas de BPIN y producto. El siguiente diagrama de Venn ilustra, en el lenguaje de teoría de conjuntos, el nivel de coincidencia en la información entre SisPT y CUIPO:</v>
      </c>
      <c r="C110" s="70"/>
      <c r="D110" s="70"/>
      <c r="E110" s="70"/>
      <c r="F110" s="70"/>
      <c r="G110" s="70"/>
      <c r="H110" s="70"/>
      <c r="I110" s="70"/>
      <c r="J110" s="70"/>
      <c r="K110" s="70"/>
      <c r="L110" s="70"/>
      <c r="M110" s="70"/>
      <c r="P110" s="1" t="s">
        <v>80</v>
      </c>
      <c r="Q110" s="1">
        <v>78</v>
      </c>
      <c r="R110" s="1" t="str">
        <f>IF(Q110=1,CONCATENATE(Q110," coincidencia"),CONCATENATE(Q110," coincidencias"))</f>
        <v>0 coincidencias</v>
      </c>
    </row>
    <row r="111" spans="2:18" x14ac:dyDescent="0.25">
      <c r="B111" s="70"/>
      <c r="C111" s="70"/>
      <c r="D111" s="70"/>
      <c r="E111" s="70"/>
      <c r="F111" s="70"/>
      <c r="G111" s="70"/>
      <c r="H111" s="70"/>
      <c r="I111" s="70"/>
      <c r="J111" s="70"/>
      <c r="K111" s="70"/>
      <c r="L111" s="70"/>
      <c r="M111" s="70"/>
      <c r="P111" s="1" t="s">
        <v>81</v>
      </c>
      <c r="Q111" s="1">
        <v>146</v>
      </c>
    </row>
    <row r="112" spans="2:18" x14ac:dyDescent="0.25"/>
    <row r="113" spans="2:13" x14ac:dyDescent="0.25"/>
    <row r="114" spans="2:13" x14ac:dyDescent="0.25">
      <c r="D114" s="71" t="s">
        <v>82</v>
      </c>
      <c r="E114" s="71"/>
      <c r="F114" s="32"/>
      <c r="G114" s="32"/>
      <c r="H114" s="32"/>
      <c r="I114" s="32"/>
      <c r="J114" s="73" t="s">
        <v>83</v>
      </c>
      <c r="K114" s="73"/>
    </row>
    <row r="115" spans="2:13" x14ac:dyDescent="0.25">
      <c r="D115" s="72" t="str">
        <f>CONCATENATE(SUM(Q109:Q110)," combinaciones BPIN-Producto")</f>
        <v>0 combinaciones BPIN-Producto</v>
      </c>
      <c r="E115" s="72"/>
      <c r="F115" s="32"/>
      <c r="G115" s="32"/>
      <c r="H115" s="32"/>
      <c r="I115" s="32"/>
      <c r="J115" s="72" t="str">
        <f>CONCATENATE(SUM(Q110:Q111)," combinaciones BPIN-Producto")</f>
        <v>0 combinaciones BPIN-Producto</v>
      </c>
      <c r="K115" s="72"/>
    </row>
    <row r="116" spans="2:13" x14ac:dyDescent="0.25">
      <c r="D116" s="72"/>
      <c r="E116" s="72"/>
      <c r="F116" s="32"/>
      <c r="G116" s="32"/>
      <c r="H116" s="32"/>
      <c r="I116" s="32"/>
      <c r="J116" s="72"/>
      <c r="K116" s="72"/>
    </row>
    <row r="117" spans="2:13" x14ac:dyDescent="0.25"/>
    <row r="118" spans="2:13" x14ac:dyDescent="0.25"/>
    <row r="119" spans="2:13" x14ac:dyDescent="0.25"/>
    <row r="120" spans="2:13" x14ac:dyDescent="0.25"/>
    <row r="121" spans="2:13" x14ac:dyDescent="0.25"/>
    <row r="122" spans="2:13" x14ac:dyDescent="0.25"/>
    <row r="123" spans="2:13" x14ac:dyDescent="0.25">
      <c r="B123" s="69" t="s">
        <v>90</v>
      </c>
      <c r="C123" s="69"/>
      <c r="D123" s="69"/>
      <c r="E123" s="69"/>
      <c r="F123" s="69"/>
      <c r="G123" s="69"/>
      <c r="H123" s="69"/>
      <c r="I123" s="69"/>
      <c r="J123" s="69"/>
      <c r="K123" s="69"/>
      <c r="L123" s="69"/>
      <c r="M123" s="69"/>
    </row>
    <row r="124" spans="2:13" x14ac:dyDescent="0.25">
      <c r="B124" s="69"/>
      <c r="C124" s="69"/>
      <c r="D124" s="69"/>
      <c r="E124" s="69"/>
      <c r="F124" s="69"/>
      <c r="G124" s="69"/>
      <c r="H124" s="69"/>
      <c r="I124" s="69"/>
      <c r="J124" s="69"/>
      <c r="K124" s="69"/>
      <c r="L124" s="69"/>
      <c r="M124" s="69"/>
    </row>
    <row r="125" spans="2:13" ht="14.45" customHeight="1" x14ac:dyDescent="0.25">
      <c r="B125" s="56"/>
      <c r="C125" s="56"/>
      <c r="D125" s="56"/>
      <c r="E125" s="56"/>
      <c r="F125" s="56"/>
      <c r="G125" s="56"/>
      <c r="H125" s="56"/>
      <c r="I125" s="56"/>
      <c r="J125" s="56"/>
      <c r="K125" s="56"/>
      <c r="L125" s="56"/>
      <c r="M125" s="56"/>
    </row>
    <row r="126" spans="2:13" x14ac:dyDescent="0.25">
      <c r="B126" s="75" t="s">
        <v>129</v>
      </c>
      <c r="C126" s="75"/>
      <c r="D126" s="75"/>
      <c r="E126" s="75"/>
      <c r="F126" s="75"/>
      <c r="G126" s="75"/>
      <c r="H126" s="75"/>
      <c r="I126" s="75"/>
      <c r="J126" s="75"/>
      <c r="K126" s="75"/>
      <c r="L126" s="75"/>
      <c r="M126" s="75"/>
    </row>
    <row r="127" spans="2:13" x14ac:dyDescent="0.25">
      <c r="B127" s="75"/>
      <c r="C127" s="75"/>
      <c r="D127" s="75"/>
      <c r="E127" s="75"/>
      <c r="F127" s="75"/>
      <c r="G127" s="75"/>
      <c r="H127" s="75"/>
      <c r="I127" s="75"/>
      <c r="J127" s="75"/>
      <c r="K127" s="75"/>
      <c r="L127" s="75"/>
      <c r="M127" s="75"/>
    </row>
    <row r="128" spans="2:13" x14ac:dyDescent="0.25"/>
    <row r="129" spans="1:17" x14ac:dyDescent="0.25"/>
    <row r="130" spans="1:17" ht="17.25" x14ac:dyDescent="0.3">
      <c r="B130" s="11" t="str">
        <f>CONCATENATE("Intersección entre plataformas - Vigencia ",$X$1)</f>
        <v>Intersección entre plataformas - Vigencia (Dar clic en Habilitar Edición)</v>
      </c>
      <c r="C130" s="12"/>
      <c r="D130" s="12"/>
      <c r="E130" s="12"/>
      <c r="F130" s="12"/>
      <c r="G130" s="12"/>
      <c r="H130" s="12"/>
      <c r="I130" s="12"/>
      <c r="J130" s="12"/>
      <c r="K130" s="12"/>
      <c r="L130" s="12"/>
      <c r="M130" s="12"/>
    </row>
    <row r="131" spans="1:17" x14ac:dyDescent="0.25"/>
    <row r="132" spans="1:17" x14ac:dyDescent="0.25">
      <c r="B132" s="70" t="s">
        <v>93</v>
      </c>
      <c r="C132" s="70"/>
      <c r="D132" s="70"/>
      <c r="E132" s="70"/>
      <c r="F132" s="70"/>
      <c r="G132" s="70"/>
      <c r="H132" s="70"/>
      <c r="I132" s="70"/>
      <c r="J132" s="70"/>
      <c r="K132" s="70"/>
      <c r="L132" s="70"/>
      <c r="M132" s="70"/>
    </row>
    <row r="133" spans="1:17" x14ac:dyDescent="0.25">
      <c r="B133" s="70"/>
      <c r="C133" s="70"/>
      <c r="D133" s="70"/>
      <c r="E133" s="70"/>
      <c r="F133" s="70"/>
      <c r="G133" s="70"/>
      <c r="H133" s="70"/>
      <c r="I133" s="70"/>
      <c r="J133" s="70"/>
      <c r="K133" s="70"/>
      <c r="L133" s="70"/>
      <c r="M133" s="70"/>
    </row>
    <row r="134" spans="1:17" x14ac:dyDescent="0.25"/>
    <row r="135" spans="1:17" x14ac:dyDescent="0.25">
      <c r="B135" s="39" t="s">
        <v>82</v>
      </c>
      <c r="C135" s="44"/>
      <c r="G135" s="40" t="s">
        <v>83</v>
      </c>
      <c r="I135" s="70" t="s">
        <v>94</v>
      </c>
      <c r="J135" s="70"/>
      <c r="K135" s="70"/>
      <c r="L135" s="70"/>
      <c r="M135" s="84">
        <f>SUM(Q135:Q141)</f>
        <v>0</v>
      </c>
      <c r="P135" s="1" t="s">
        <v>97</v>
      </c>
      <c r="Q135">
        <v>88</v>
      </c>
    </row>
    <row r="136" spans="1:17" x14ac:dyDescent="0.25">
      <c r="B136" s="45">
        <f>Q137+Q139+Q140+Q141</f>
        <v>0</v>
      </c>
      <c r="G136" s="45">
        <f>Q135+Q138+Q139+Q141</f>
        <v>0</v>
      </c>
      <c r="I136" s="70"/>
      <c r="J136" s="70"/>
      <c r="K136" s="70"/>
      <c r="L136" s="70"/>
      <c r="M136" s="85"/>
      <c r="P136" s="1" t="s">
        <v>98</v>
      </c>
      <c r="Q136">
        <v>14</v>
      </c>
    </row>
    <row r="137" spans="1:17" x14ac:dyDescent="0.25">
      <c r="I137" s="28"/>
      <c r="J137" s="28"/>
      <c r="K137" s="28"/>
      <c r="L137" s="28"/>
      <c r="M137" s="28"/>
      <c r="P137" s="1" t="s">
        <v>99</v>
      </c>
      <c r="Q137">
        <v>2</v>
      </c>
    </row>
    <row r="138" spans="1:17" x14ac:dyDescent="0.25">
      <c r="I138" s="70" t="s">
        <v>95</v>
      </c>
      <c r="J138" s="70"/>
      <c r="K138" s="70"/>
      <c r="L138" s="70"/>
      <c r="M138" s="84">
        <f>Q141</f>
        <v>0</v>
      </c>
      <c r="P138" s="1" t="s">
        <v>100</v>
      </c>
      <c r="Q138">
        <v>58</v>
      </c>
    </row>
    <row r="139" spans="1:17" x14ac:dyDescent="0.25">
      <c r="I139" s="70"/>
      <c r="J139" s="70"/>
      <c r="K139" s="70"/>
      <c r="L139" s="70"/>
      <c r="M139" s="85"/>
      <c r="P139" s="1" t="s">
        <v>101</v>
      </c>
      <c r="Q139">
        <v>14</v>
      </c>
    </row>
    <row r="140" spans="1:17" x14ac:dyDescent="0.25">
      <c r="I140" s="28"/>
      <c r="J140" s="28"/>
      <c r="K140" s="28"/>
      <c r="L140" s="28"/>
      <c r="M140" s="28"/>
      <c r="P140" s="1" t="s">
        <v>102</v>
      </c>
      <c r="Q140">
        <v>5</v>
      </c>
    </row>
    <row r="141" spans="1:17" x14ac:dyDescent="0.25">
      <c r="I141" s="70" t="s">
        <v>96</v>
      </c>
      <c r="J141" s="70"/>
      <c r="K141" s="70"/>
      <c r="L141" s="70"/>
      <c r="M141" s="86" t="str">
        <f>IFERROR(M138/M135,"-")</f>
        <v>-</v>
      </c>
      <c r="P141" s="1" t="s">
        <v>103</v>
      </c>
      <c r="Q141">
        <v>64</v>
      </c>
    </row>
    <row r="142" spans="1:17" x14ac:dyDescent="0.25">
      <c r="I142" s="70"/>
      <c r="J142" s="70"/>
      <c r="K142" s="70"/>
      <c r="L142" s="70"/>
      <c r="M142" s="87"/>
    </row>
    <row r="143" spans="1:17" x14ac:dyDescent="0.25"/>
    <row r="144" spans="1:17" x14ac:dyDescent="0.25">
      <c r="A144" s="43"/>
      <c r="H144" s="69" t="str">
        <f>CONCATENATE(_xlfn._LONGTEXT("Notas: Si algún producto no tiene código BPIN en SisPT o en CUIPO, la información no se cruza. Si en cualquiera de las tres plataformas hay información de identificación duplicada (esto es, mismo código de producto y mismo código BPIN), la información se ","agrega y se considera como una sola combinación. La información presentada en este diagrama corresponde únicamente a CUIPO y PIIP, vigencias "),$Z$1," y ",$X$1,".")</f>
        <v>Notas: Si algún producto no tiene código BPIN en SisPT o en CUIPO, la información no se cruza. Si en cualquiera de las tres plataformas hay información de identificación duplicada (esto es, mismo código de producto y mismo código BPIN), la información se agrega y se considera como una sola combinación. La información presentada en este diagrama corresponde únicamente a CUIPO y PIIP, vigencias 2024, 2025, 2026 y (Dar clic en Habilitar Edición).</v>
      </c>
      <c r="I144" s="69"/>
      <c r="J144" s="69"/>
      <c r="K144" s="69"/>
      <c r="L144" s="69"/>
      <c r="M144" s="69"/>
    </row>
    <row r="145" spans="1:13" x14ac:dyDescent="0.25">
      <c r="H145" s="69"/>
      <c r="I145" s="69"/>
      <c r="J145" s="69"/>
      <c r="K145" s="69"/>
      <c r="L145" s="69"/>
      <c r="M145" s="69"/>
    </row>
    <row r="146" spans="1:13" x14ac:dyDescent="0.25">
      <c r="H146" s="69"/>
      <c r="I146" s="69"/>
      <c r="J146" s="69"/>
      <c r="K146" s="69"/>
      <c r="L146" s="69"/>
      <c r="M146" s="69"/>
    </row>
    <row r="147" spans="1:13" x14ac:dyDescent="0.25">
      <c r="H147" s="69"/>
      <c r="I147" s="69"/>
      <c r="J147" s="69"/>
      <c r="K147" s="69"/>
      <c r="L147" s="69"/>
      <c r="M147" s="69"/>
    </row>
    <row r="148" spans="1:13" x14ac:dyDescent="0.25">
      <c r="H148" s="69"/>
      <c r="I148" s="69"/>
      <c r="J148" s="69"/>
      <c r="K148" s="69"/>
      <c r="L148" s="69"/>
      <c r="M148" s="69"/>
    </row>
    <row r="149" spans="1:13" x14ac:dyDescent="0.25">
      <c r="B149" s="41" t="s">
        <v>88</v>
      </c>
    </row>
    <row r="150" spans="1:13" x14ac:dyDescent="0.25">
      <c r="B150" s="45">
        <f>Q136+Q138+Q140+Q141</f>
        <v>0</v>
      </c>
    </row>
    <row r="151" spans="1:13" x14ac:dyDescent="0.25"/>
    <row r="152" spans="1:13" x14ac:dyDescent="0.25"/>
    <row r="153" spans="1:13" x14ac:dyDescent="0.25"/>
    <row r="154" spans="1:13" x14ac:dyDescent="0.25">
      <c r="A154" s="9" t="s">
        <v>104</v>
      </c>
    </row>
  </sheetData>
  <sheetProtection sheet="1" objects="1" scenarios="1" selectLockedCells="1"/>
  <mergeCells count="31">
    <mergeCell ref="B126:M127"/>
    <mergeCell ref="H144:M148"/>
    <mergeCell ref="B132:M133"/>
    <mergeCell ref="I135:L136"/>
    <mergeCell ref="I138:L139"/>
    <mergeCell ref="I141:L142"/>
    <mergeCell ref="M135:M136"/>
    <mergeCell ref="M138:M139"/>
    <mergeCell ref="M141:M142"/>
    <mergeCell ref="B18:G18"/>
    <mergeCell ref="B9:M10"/>
    <mergeCell ref="C3:L4"/>
    <mergeCell ref="B5:M5"/>
    <mergeCell ref="D1:K1"/>
    <mergeCell ref="B16:C16"/>
    <mergeCell ref="D16:E16"/>
    <mergeCell ref="J85:K87"/>
    <mergeCell ref="B123:M124"/>
    <mergeCell ref="B78:M79"/>
    <mergeCell ref="B80:M81"/>
    <mergeCell ref="B108:M109"/>
    <mergeCell ref="B110:M111"/>
    <mergeCell ref="D114:E114"/>
    <mergeCell ref="D115:E116"/>
    <mergeCell ref="J114:K114"/>
    <mergeCell ref="J115:K116"/>
    <mergeCell ref="J84:K84"/>
    <mergeCell ref="D84:E84"/>
    <mergeCell ref="D85:E87"/>
    <mergeCell ref="B102:M103"/>
    <mergeCell ref="B92:M93"/>
  </mergeCells>
  <dataValidations count="1">
    <dataValidation type="list" allowBlank="1" showInputMessage="1" showErrorMessage="1" sqref="D16:E16" xr:uid="{BBAEDDF8-4856-4087-9493-2C8D4B7CE128}">
      <formula1>$Q$1:$Q$5</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X93"/>
  <sheetViews>
    <sheetView showGridLines="0" zoomScale="85" zoomScaleNormal="85" workbookViewId="0">
      <selection activeCell="A7" sqref="A7"/>
    </sheetView>
  </sheetViews>
  <sheetFormatPr baseColWidth="10" defaultColWidth="11.42578125" defaultRowHeight="15" x14ac:dyDescent="0.25"/>
  <cols>
    <col min="1" max="1" width="13.42578125" customWidth="1"/>
    <col min="2" max="2" width="9" customWidth="1"/>
    <col min="3" max="3" width="19.28515625" customWidth="1"/>
    <col min="4" max="4" width="10.7109375" customWidth="1"/>
    <col min="5" max="5" width="19.28515625" customWidth="1"/>
    <col min="6" max="6" width="10.42578125" customWidth="1"/>
    <col min="7" max="7" width="19.28515625" customWidth="1"/>
    <col min="8" max="8" width="23.140625" customWidth="1"/>
    <col min="9" max="9" width="17.7109375" customWidth="1"/>
    <col min="10" max="10" width="13.7109375" customWidth="1"/>
    <col min="11" max="14" width="16" style="37" customWidth="1"/>
    <col min="15" max="17" width="14.5703125" style="37" customWidth="1"/>
    <col min="18" max="18" width="16" style="38" customWidth="1"/>
    <col min="19" max="19" width="27.5703125" customWidth="1"/>
    <col min="20" max="22" width="14.5703125" customWidth="1"/>
    <col min="23" max="23" width="16" customWidth="1"/>
    <col min="24" max="24" width="27.5703125" customWidth="1"/>
  </cols>
  <sheetData>
    <row r="1" spans="1:24" s="20" ht="26.25" customFormat="1" x14ac:dyDescent="0.3">
      <c r="A1" s="31" t="s">
        <v>107</v>
      </c>
      <c r="B1" s="4"/>
      <c r="C1" s="4"/>
      <c r="D1" s="4"/>
      <c r="E1" s="4"/>
      <c r="F1" s="4"/>
      <c r="G1" s="4"/>
      <c r="H1" s="4"/>
      <c r="I1" s="4"/>
      <c r="J1" s="4"/>
      <c r="K1" s="18"/>
      <c r="L1" s="18"/>
      <c r="M1" s="18"/>
      <c r="N1" s="18"/>
      <c r="O1" s="18"/>
      <c r="P1" s="18"/>
      <c r="Q1" s="18"/>
      <c r="R1" s="19"/>
      <c r="S1" s="4"/>
      <c r="T1" s="53"/>
      <c r="U1" s="4"/>
      <c r="V1" s="4"/>
      <c r="W1" s="4"/>
      <c r="X1" s="4"/>
    </row>
    <row r="2" spans="1:24" s="20" ht="65.25" customFormat="1" customHeight="1" x14ac:dyDescent="0.3">
      <c r="A2" s="94" t="s">
        <v>118</v>
      </c>
      <c r="B2" s="94"/>
      <c r="C2" s="94"/>
      <c r="D2" s="94"/>
      <c r="E2" s="94"/>
      <c r="F2" s="94"/>
      <c r="G2" s="94"/>
      <c r="H2" s="94"/>
      <c r="I2" s="94"/>
      <c r="J2" s="94"/>
      <c r="K2" s="94"/>
      <c r="L2" s="94"/>
      <c r="M2" s="46"/>
      <c r="N2" s="46"/>
      <c r="O2" s="18"/>
      <c r="P2" s="18"/>
      <c r="Q2" s="18"/>
      <c r="R2" s="19"/>
      <c r="S2" s="4"/>
      <c r="T2" s="4"/>
      <c r="U2" s="4"/>
      <c r="V2" s="4"/>
      <c r="W2" s="4"/>
      <c r="X2" s="4"/>
    </row>
    <row r="3" spans="1:24" s="20" ht="35.25" customFormat="1" customHeight="1" x14ac:dyDescent="0.3">
      <c r="A3" s="94" t="s">
        <v>108</v>
      </c>
      <c r="B3" s="94"/>
      <c r="C3" s="94"/>
      <c r="D3" s="94"/>
      <c r="E3" s="94"/>
      <c r="F3" s="94"/>
      <c r="G3" s="94"/>
      <c r="H3" s="94"/>
      <c r="I3" s="94"/>
      <c r="J3" s="94"/>
      <c r="K3" s="94"/>
      <c r="L3" s="94"/>
      <c r="M3" s="46"/>
      <c r="N3" s="46"/>
      <c r="O3" s="18"/>
      <c r="P3" s="18"/>
      <c r="Q3" s="18"/>
      <c r="R3" s="19"/>
      <c r="S3" s="4"/>
      <c r="T3" s="4"/>
      <c r="U3" s="4"/>
      <c r="V3" s="4"/>
      <c r="W3" s="4"/>
      <c r="X3" s="4"/>
    </row>
    <row r="4" spans="1:24" s="20" ht="16.5" customFormat="1" x14ac:dyDescent="0.3">
      <c r="A4" s="95" t="s">
        <v>131</v>
      </c>
      <c r="B4" s="95"/>
      <c r="C4" s="95"/>
      <c r="D4" s="95"/>
      <c r="E4" s="95"/>
      <c r="F4" s="95"/>
      <c r="G4" s="95"/>
      <c r="H4" s="95"/>
      <c r="I4" s="95"/>
      <c r="J4" s="95"/>
      <c r="K4" s="95"/>
      <c r="L4" s="95"/>
      <c r="M4" s="46"/>
      <c r="N4" s="46"/>
      <c r="O4" s="18"/>
      <c r="P4" s="18"/>
      <c r="Q4" s="18"/>
      <c r="R4" s="19"/>
      <c r="S4" s="4"/>
      <c r="T4" s="4"/>
      <c r="U4" s="4"/>
      <c r="V4" s="4"/>
      <c r="W4" s="4"/>
      <c r="X4" s="4"/>
    </row>
    <row r="5" spans="1:24" s="20" ht="9.75" customFormat="1" customHeight="1" x14ac:dyDescent="0.3">
      <c r="A5" s="46"/>
      <c r="B5" s="46"/>
      <c r="C5" s="46"/>
      <c r="D5" s="46"/>
      <c r="E5" s="46"/>
      <c r="F5" s="46"/>
      <c r="G5" s="46"/>
      <c r="H5" s="46"/>
      <c r="I5" s="46"/>
      <c r="J5" s="46"/>
      <c r="K5" s="46"/>
      <c r="L5" s="46"/>
      <c r="M5" s="46"/>
      <c r="N5" s="46"/>
      <c r="O5" s="18"/>
      <c r="P5" s="18"/>
      <c r="Q5" s="18"/>
      <c r="R5" s="19"/>
      <c r="S5" s="4"/>
      <c r="T5" s="4"/>
      <c r="U5" s="4"/>
      <c r="V5" s="4"/>
      <c r="W5" s="4"/>
      <c r="X5" s="4"/>
    </row>
    <row r="6" spans="1:24" s="20" ht="20.45" customFormat="1" customHeight="1" x14ac:dyDescent="0.3">
      <c r="A6" s="4"/>
      <c r="B6" s="4"/>
      <c r="C6" s="4"/>
      <c r="D6" s="4"/>
      <c r="E6" s="4"/>
      <c r="F6" s="4"/>
      <c r="G6" s="4"/>
      <c r="H6" s="4"/>
      <c r="I6" s="4"/>
      <c r="J6" s="4"/>
      <c r="K6" s="91" t="s">
        <v>124</v>
      </c>
      <c r="L6" s="92"/>
      <c r="M6" s="92"/>
      <c r="N6" s="93"/>
      <c r="O6" s="89" t="s">
        <v>68</v>
      </c>
      <c r="P6" s="89"/>
      <c r="Q6" s="89"/>
      <c r="R6" s="89"/>
      <c r="S6" s="90"/>
      <c r="T6" s="88" t="str">
        <f>CONCATENATE("Ejecución CUIPO ",Resumen!$X$1)</f>
        <v>Ejecución CUIPO (Dar clic en Habilitar Edición)</v>
      </c>
      <c r="U6" s="89"/>
      <c r="V6" s="89"/>
      <c r="W6" s="89"/>
      <c r="X6" s="90"/>
    </row>
    <row r="7" spans="1:24" s="20" ht="66" customFormat="1" x14ac:dyDescent="0.3">
      <c r="A7" s="16" t="inlineStr">
        <is>
          <t>Consecutivos IP (SisPT)</t>
        </is>
      </c>
      <c r="B7" s="16" t="inlineStr">
        <is>
          <t>Código Sector (MGA)</t>
        </is>
      </c>
      <c r="C7" s="16" t="inlineStr">
        <is>
          <t>Sector (MGA)</t>
        </is>
      </c>
      <c r="D7" s="16" t="inlineStr">
        <is>
          <t>Código Programa (MGA)</t>
        </is>
      </c>
      <c r="E7" s="16" t="inlineStr">
        <is>
          <t>Programa (MGA)</t>
        </is>
      </c>
      <c r="F7" s="16" t="inlineStr">
        <is>
          <t>Código Producto (MGA)</t>
        </is>
      </c>
      <c r="G7" s="16" t="inlineStr">
        <is>
          <t>Producto (MGA)</t>
        </is>
      </c>
      <c r="H7" s="16" t="inlineStr">
        <is>
          <t>Descripción del Producto (MGA)</t>
        </is>
      </c>
      <c r="I7" s="16" t="inlineStr">
        <is>
          <t>Códigos BPIN Asociados</t>
        </is>
      </c>
      <c r="J7" s="16" t="inlineStr">
        <is>
          <t>Programación Cuatrienio SisPT</t>
        </is>
      </c>
      <c r="K7" s="60" t="inlineStr">
        <is>
          <t>Programado 2024 (SisPT)</t>
        </is>
      </c>
      <c r="L7" s="51" t="inlineStr">
        <is>
          <t>Programado 2025 (SisPT)</t>
        </is>
      </c>
      <c r="M7" s="51" t="inlineStr">
        <is>
          <t>Programado 2026 (SisPT)</t>
        </is>
      </c>
      <c r="N7" s="52" t="inlineStr">
        <is>
          <t>Programado 2027 (SisPT)</t>
        </is>
      </c>
      <c r="O7" s="58" t="inlineStr">
        <is>
          <t>Compromisos 2024 (CUIPO)</t>
        </is>
      </c>
      <c r="P7" s="58" t="inlineStr">
        <is>
          <t>Obligaciones 2024 (CUIPO)</t>
        </is>
      </c>
      <c r="Q7" s="58" t="inlineStr">
        <is>
          <t>Pagos 2024 (CUIPO)</t>
        </is>
      </c>
      <c r="R7" s="64" t="inlineStr">
        <is>
          <t>Obligaciones como % de lo programado (2024)</t>
        </is>
      </c>
      <c r="S7" s="67" t="inlineStr">
        <is>
          <t>Explicación del valor 2024</t>
        </is>
      </c>
      <c r="T7" s="59" t="inlineStr">
        <is>
          <t>Compromisos 2025 (CUIPO)</t>
        </is>
      </c>
      <c r="U7" s="58" t="inlineStr">
        <is>
          <t>Obligaciones 2025 (CUIPO)</t>
        </is>
      </c>
      <c r="V7" s="58" t="inlineStr">
        <is>
          <t>Pagos 2025 (CUIPO)</t>
        </is>
      </c>
      <c r="W7" s="64" t="inlineStr">
        <is>
          <t>Obligaciones como % de lo programado (2025)</t>
        </is>
      </c>
      <c r="X7" s="67" t="inlineStr">
        <is>
          <t>Explicación del valor 2025</t>
        </is>
      </c>
    </row>
    <row r="8">
      <c r="A8" t="inlineStr">
        <is>
          <t>IP-1</t>
        </is>
      </c>
      <c r="B8" t="inlineStr">
        <is>
          <t>19</t>
        </is>
      </c>
      <c r="C8" t="inlineStr">
        <is>
          <t>Salud y protección social</t>
        </is>
      </c>
      <c r="D8" t="inlineStr">
        <is>
          <t>1903</t>
        </is>
      </c>
      <c r="E8" t="inlineStr">
        <is>
          <t>Inspección, vigilancia y control</t>
        </is>
      </c>
      <c r="F8" t="inlineStr">
        <is>
          <t>1903025</t>
        </is>
      </c>
      <c r="G8" t="inlineStr">
        <is>
          <t>Servicio de implementación de estrategias para el fortalecimiento del control social en salud</t>
        </is>
      </c>
      <c r="H8" t="inlineStr">
        <is>
          <t xml:space="preserve">Este servicio permite obtener estrategias para el fortalecimiento del control social en salud </t>
        </is>
      </c>
      <c r="I8" t="inlineStr">
        <is>
          <t>2024252000001</t>
        </is>
      </c>
      <c r="J8" s="99">
        <v>1279193547.7087</v>
      </c>
      <c r="K8" s="99">
        <v>293281951</v>
      </c>
      <c r="L8" s="99">
        <v>310292304.158</v>
      </c>
      <c r="M8" s="99">
        <v>328289257.7992</v>
      </c>
      <c r="N8" s="99">
        <v>347330034.7515</v>
      </c>
      <c r="O8" s="99">
        <v>95673332</v>
      </c>
      <c r="P8" s="99">
        <v>95673332</v>
      </c>
      <c r="Q8" s="99">
        <v>95673332</v>
      </c>
      <c r="R8" s="100">
        <v>0.326216228696596</v>
      </c>
      <c r="S8" t="inlineStr">
        <is>
          <t>Lo obligado está por debajo de lo programado en la vigencia</t>
        </is>
      </c>
      <c r="T8" s="101">
        <v>445100000</v>
      </c>
      <c r="U8" s="101">
        <v>271513750</v>
      </c>
      <c r="V8" s="101">
        <v>271513750</v>
      </c>
      <c r="W8" s="102">
        <v>0.875025730131373</v>
      </c>
      <c r="X8" t="inlineStr">
        <is>
          <t>Lo obligado está por debajo de lo programado en la vigencia</t>
        </is>
      </c>
    </row>
    <row r="9">
      <c r="A9" t="inlineStr">
        <is>
          <t>IP-2</t>
        </is>
      </c>
      <c r="B9" t="inlineStr">
        <is>
          <t>19</t>
        </is>
      </c>
      <c r="C9" t="inlineStr">
        <is>
          <t>Salud y protección social</t>
        </is>
      </c>
      <c r="D9" t="inlineStr">
        <is>
          <t>1903</t>
        </is>
      </c>
      <c r="E9" t="inlineStr">
        <is>
          <t>Inspección, vigilancia y control</t>
        </is>
      </c>
      <c r="F9" t="inlineStr">
        <is>
          <t>1903020</t>
        </is>
      </c>
      <c r="G9" t="inlineStr">
        <is>
          <t>Servicio de diseño de metodologías, instrumentos y estrategias de inspección, vigilancia y control</t>
        </is>
      </c>
      <c r="H9" t="inlineStr">
        <is>
          <t xml:space="preserve">este servicio permite definir el diseño de metodologías, instrumentos y estrategias  de Inspección Vigilancia y Control </t>
        </is>
      </c>
      <c r="I9" t="inlineStr">
        <is>
          <t>2024252000001</t>
        </is>
      </c>
      <c r="J9" s="99">
        <v>254284259.8296</v>
      </c>
      <c r="K9" s="99">
        <v>58300000</v>
      </c>
      <c r="L9" s="99">
        <v>61681400</v>
      </c>
      <c r="M9" s="99">
        <v>65258921.2</v>
      </c>
      <c r="N9" s="99">
        <v>69043938.6296</v>
      </c>
      <c r="O9" s="99">
        <v>13720000</v>
      </c>
      <c r="P9" s="99">
        <v>13720000</v>
      </c>
      <c r="Q9" s="99">
        <v>13720000</v>
      </c>
      <c r="R9" s="100">
        <v>0.235334476843911</v>
      </c>
      <c r="S9" t="inlineStr">
        <is>
          <t>Lo obligado está por debajo de lo programado en la vigencia</t>
        </is>
      </c>
      <c r="T9" s="101">
        <v>61200000</v>
      </c>
      <c r="U9" s="101">
        <v>41700000</v>
      </c>
      <c r="V9" s="101">
        <v>41700000</v>
      </c>
      <c r="W9" s="102">
        <v>0.676054693959605</v>
      </c>
      <c r="X9" t="inlineStr">
        <is>
          <t>Lo obligado está por debajo de lo programado en la vigencia</t>
        </is>
      </c>
    </row>
    <row r="10">
      <c r="A10" t="inlineStr">
        <is>
          <t>IP-3, IP-4</t>
        </is>
      </c>
      <c r="B10" t="inlineStr">
        <is>
          <t>19</t>
        </is>
      </c>
      <c r="C10" t="inlineStr">
        <is>
          <t>Salud y protección social</t>
        </is>
      </c>
      <c r="D10" t="inlineStr">
        <is>
          <t>1903</t>
        </is>
      </c>
      <c r="E10" t="inlineStr">
        <is>
          <t>Inspección, vigilancia y control</t>
        </is>
      </c>
      <c r="F10" t="inlineStr">
        <is>
          <t>1903046</t>
        </is>
      </c>
      <c r="G10" t="inlineStr">
        <is>
          <t>Documentos metodológicos</t>
        </is>
      </c>
      <c r="H10" t="inlineStr">
        <is>
          <t>Documentos cuyo objetivo es describir y explicar métodos, herramientas analíticas, o procesos que determinan un camino o forma de realizar un análisis en particular.</t>
        </is>
      </c>
      <c r="I10" t="inlineStr">
        <is>
          <t>2024252000001</t>
        </is>
      </c>
      <c r="J10" s="99">
        <v>301699066.72</v>
      </c>
      <c r="K10" s="99">
        <v>60000000</v>
      </c>
      <c r="L10" s="99">
        <v>103480000</v>
      </c>
      <c r="M10" s="99">
        <v>67161840</v>
      </c>
      <c r="N10" s="99">
        <v>71057226.72</v>
      </c>
      <c r="O10" s="99" t="inlineStr">
        <is>
          <t xml:space="preserve"> </t>
        </is>
      </c>
      <c r="P10" s="99" t="inlineStr">
        <is>
          <t xml:space="preserve"> </t>
        </is>
      </c>
      <c r="Q10" s="99" t="inlineStr">
        <is>
          <t xml:space="preserve"> </t>
        </is>
      </c>
      <c r="R10" s="100" t="inlineStr">
        <is>
          <t xml:space="preserve"> </t>
        </is>
      </c>
      <c r="S10" t="inlineStr">
        <is>
          <t>No se encontró ejecución en CUIPO</t>
        </is>
      </c>
      <c r="T10" s="101">
        <v>39750000</v>
      </c>
      <c r="U10" s="101">
        <v>21200000</v>
      </c>
      <c r="V10" s="101">
        <v>21200000</v>
      </c>
      <c r="W10" s="102">
        <v>0.204870506378044</v>
      </c>
      <c r="X10" t="inlineStr">
        <is>
          <t>Lo obligado está por debajo de lo programado en la vigencia</t>
        </is>
      </c>
    </row>
    <row r="11">
      <c r="A11" t="inlineStr">
        <is>
          <t>IP-5</t>
        </is>
      </c>
      <c r="B11" t="inlineStr">
        <is>
          <t>19</t>
        </is>
      </c>
      <c r="C11" t="inlineStr">
        <is>
          <t>Salud y protección social</t>
        </is>
      </c>
      <c r="D11" t="inlineStr">
        <is>
          <t>1905</t>
        </is>
      </c>
      <c r="E11" t="inlineStr">
        <is>
          <t>Salud pública</t>
        </is>
      </c>
      <c r="F11" t="inlineStr">
        <is>
          <t>1905015</t>
        </is>
      </c>
      <c r="G11" t="inlineStr">
        <is>
          <t>Documentos de planeación</t>
        </is>
      </c>
      <c r="H11" t="inlineStr">
        <is>
          <t>Documentos cuyo objetivo es plasmar una visión de futuro a nivel país, entidad territorial, comunidad, sector, región, entidad o cualquier nivel de desagregación que se requiera. Incluye objetivos, estrategias, metas e indicadores.</t>
        </is>
      </c>
      <c r="I11" t="inlineStr">
        <is>
          <t>2024252000002</t>
        </is>
      </c>
      <c r="J11" s="99">
        <v>1567938205.4327</v>
      </c>
      <c r="K11" s="99">
        <v>359482720</v>
      </c>
      <c r="L11" s="99">
        <v>380332717.76</v>
      </c>
      <c r="M11" s="99">
        <v>402392015.39</v>
      </c>
      <c r="N11" s="99">
        <v>425730752.2827</v>
      </c>
      <c r="O11" s="99">
        <v>156089500</v>
      </c>
      <c r="P11" s="99">
        <v>156089500</v>
      </c>
      <c r="Q11" s="99">
        <v>156089500</v>
      </c>
      <c r="R11" s="100">
        <v>0.434205850005808</v>
      </c>
      <c r="S11" t="inlineStr">
        <is>
          <t>Lo obligado está por debajo de lo programado en la vigencia</t>
        </is>
      </c>
      <c r="T11" s="101">
        <v>349942200</v>
      </c>
      <c r="U11" s="101">
        <v>178727294</v>
      </c>
      <c r="V11" s="101">
        <v>178727294</v>
      </c>
      <c r="W11" s="102">
        <v>0.469923531829259</v>
      </c>
      <c r="X11" t="inlineStr">
        <is>
          <t>Lo obligado está por debajo de lo programado en la vigencia</t>
        </is>
      </c>
    </row>
    <row r="12">
      <c r="A12" t="inlineStr">
        <is>
          <t>IP-6</t>
        </is>
      </c>
      <c r="B12" t="inlineStr">
        <is>
          <t>19</t>
        </is>
      </c>
      <c r="C12" t="inlineStr">
        <is>
          <t>Salud y protección social</t>
        </is>
      </c>
      <c r="D12" t="inlineStr">
        <is>
          <t>1905</t>
        </is>
      </c>
      <c r="E12" t="inlineStr">
        <is>
          <t>Salud pública</t>
        </is>
      </c>
      <c r="F12" t="inlineStr">
        <is>
          <t>1905049</t>
        </is>
      </c>
      <c r="G12" t="inlineStr">
        <is>
          <t>Servicio de promoción de la participación social en salud</t>
        </is>
      </c>
      <c r="H12" t="inlineStr">
        <is>
          <t xml:space="preserve">Corresponde a las estrategias y acciones para la articulación de actores sociales, gubernamentales a nivel sectorial e intersectorial, entre otros, para generar mecanismos y espacios de participación, socialización y abogacía, para la participación en la planeación social, comunitaria y ciudadana en salud y la participación en la atención integral en salud, la salud pública, la gobernanza en salud y las intervenciones colectivas. </t>
        </is>
      </c>
      <c r="I12" t="inlineStr">
        <is>
          <t>2024252000002</t>
        </is>
      </c>
      <c r="J12" s="99">
        <v>143934486.696</v>
      </c>
      <c r="K12" s="99">
        <v>33000000</v>
      </c>
      <c r="L12" s="99">
        <v>34914000</v>
      </c>
      <c r="M12" s="99">
        <v>36939012</v>
      </c>
      <c r="N12" s="99">
        <v>39081474.696</v>
      </c>
      <c r="O12" s="99">
        <v>7600000</v>
      </c>
      <c r="P12" s="99">
        <v>7600000</v>
      </c>
      <c r="Q12" s="99">
        <v>7600000</v>
      </c>
      <c r="R12" s="100">
        <v>0.23030303030303</v>
      </c>
      <c r="S12" t="inlineStr">
        <is>
          <t>Lo obligado está por debajo de lo programado en la vigencia</t>
        </is>
      </c>
      <c r="T12" s="101">
        <v>34200000</v>
      </c>
      <c r="U12" s="101">
        <v>22800000</v>
      </c>
      <c r="V12" s="101">
        <v>22800000</v>
      </c>
      <c r="W12" s="102">
        <v>0.653033167210861</v>
      </c>
      <c r="X12" t="inlineStr">
        <is>
          <t>Lo obligado está por debajo de lo programado en la vigencia</t>
        </is>
      </c>
    </row>
    <row r="13">
      <c r="A13" t="inlineStr">
        <is>
          <t>IP-7</t>
        </is>
      </c>
      <c r="B13" t="inlineStr">
        <is>
          <t>19</t>
        </is>
      </c>
      <c r="C13" t="inlineStr">
        <is>
          <t>Salud y protección social</t>
        </is>
      </c>
      <c r="D13" t="inlineStr">
        <is>
          <t>1906</t>
        </is>
      </c>
      <c r="E13" t="inlineStr">
        <is>
          <t>Aseguramiento y prestación integral de servicios de salud</t>
        </is>
      </c>
      <c r="F13" t="inlineStr">
        <is>
          <t>1906044</t>
        </is>
      </c>
      <c r="G13" t="inlineStr">
        <is>
          <t>Servicio de afiliaciones al régimen subsidiado del Sistema General de Seguridad Social</t>
        </is>
      </c>
      <c r="H13" t="inlineStr">
        <is>
          <t xml:space="preserve">Este servicio permite a las entidades territoriales realizar la afiliación de la población al régimen subsidiado conforme a las condiciones del Sistema General de Seguridad Social; incluye el registro, reporte, sistematización y seguimiento de afiliados en los sistemas de información correspondientes. </t>
        </is>
      </c>
      <c r="I13" t="inlineStr">
        <is>
          <t>2024252000003</t>
        </is>
      </c>
      <c r="J13" s="99">
        <v>34354877897.2558</v>
      </c>
      <c r="K13" s="99">
        <v>7893655904</v>
      </c>
      <c r="L13" s="99">
        <v>8343389278.09</v>
      </c>
      <c r="M13" s="99">
        <v>8811172612.8833</v>
      </c>
      <c r="N13" s="99">
        <v>9306660102.2825</v>
      </c>
      <c r="O13" s="99">
        <v>3830874122</v>
      </c>
      <c r="P13" s="99">
        <v>3830874122</v>
      </c>
      <c r="Q13" s="99">
        <v>3830874122</v>
      </c>
      <c r="R13" s="100">
        <v>0.485310503598055</v>
      </c>
      <c r="S13" t="inlineStr">
        <is>
          <t>Lo obligado está por debajo de lo programado en la vigencia</t>
        </is>
      </c>
      <c r="T13" s="101">
        <v>5440092111</v>
      </c>
      <c r="U13" s="101">
        <v>5440092111</v>
      </c>
      <c r="V13" s="101">
        <v>5440092111</v>
      </c>
      <c r="W13" s="102">
        <v>0.652024246943128</v>
      </c>
      <c r="X13" t="inlineStr">
        <is>
          <t>Lo obligado está por debajo de lo programado en la vigencia</t>
        </is>
      </c>
    </row>
    <row r="14">
      <c r="A14" t="inlineStr">
        <is>
          <t>IP-8</t>
        </is>
      </c>
      <c r="B14" t="inlineStr">
        <is>
          <t>19</t>
        </is>
      </c>
      <c r="C14" t="inlineStr">
        <is>
          <t>Salud y protección social</t>
        </is>
      </c>
      <c r="D14" t="inlineStr">
        <is>
          <t>1906</t>
        </is>
      </c>
      <c r="E14" t="inlineStr">
        <is>
          <t>Aseguramiento y prestación integral de servicios de salud</t>
        </is>
      </c>
      <c r="F14" t="inlineStr">
        <is>
          <t>1906004</t>
        </is>
      </c>
      <c r="G14" t="inlineStr">
        <is>
          <t>Servicio de atención en salud a la población</t>
        </is>
      </c>
      <c r="H14" t="inlineStr">
        <is>
          <t>Incluye el servicio de atención en salud a la población dentro del Sistema General de Seguridad Social en Salud y los servicios de atención en urgencias a la población migrante no afiliada dentro del Sistema General de Seguridad Social en Salud.</t>
        </is>
      </c>
      <c r="I14" t="inlineStr">
        <is>
          <t>2024252000003</t>
        </is>
      </c>
      <c r="J14" s="99">
        <v>30531557.784</v>
      </c>
      <c r="K14" s="99">
        <v>7000000</v>
      </c>
      <c r="L14" s="99">
        <v>7406000</v>
      </c>
      <c r="M14" s="99">
        <v>7835548</v>
      </c>
      <c r="N14" s="99">
        <v>8290009.784</v>
      </c>
      <c r="O14" s="99" t="inlineStr">
        <is>
          <t xml:space="preserve"> </t>
        </is>
      </c>
      <c r="P14" s="99" t="inlineStr">
        <is>
          <t xml:space="preserve"> </t>
        </is>
      </c>
      <c r="Q14" s="99" t="inlineStr">
        <is>
          <t xml:space="preserve"> </t>
        </is>
      </c>
      <c r="R14" s="100" t="inlineStr">
        <is>
          <t xml:space="preserve"> </t>
        </is>
      </c>
      <c r="S14" t="inlineStr">
        <is>
          <t>No se encontró ejecución en CUIPO</t>
        </is>
      </c>
      <c r="T14" s="101" t="inlineStr">
        <is>
          <t xml:space="preserve"> </t>
        </is>
      </c>
      <c r="U14" s="101" t="inlineStr">
        <is>
          <t xml:space="preserve"> </t>
        </is>
      </c>
      <c r="V14" s="101" t="inlineStr">
        <is>
          <t xml:space="preserve"> </t>
        </is>
      </c>
      <c r="W14" s="102" t="inlineStr">
        <is>
          <t xml:space="preserve"> </t>
        </is>
      </c>
      <c r="X14" t="inlineStr">
        <is>
          <t>No se encontró ejecución en CUIPO</t>
        </is>
      </c>
    </row>
    <row r="15">
      <c r="A15" t="inlineStr">
        <is>
          <t>IP-9</t>
        </is>
      </c>
      <c r="B15" t="inlineStr">
        <is>
          <t>43</t>
        </is>
      </c>
      <c r="C15" t="inlineStr">
        <is>
          <t>Deporte y Recreación</t>
        </is>
      </c>
      <c r="D15" t="inlineStr">
        <is>
          <t>4301</t>
        </is>
      </c>
      <c r="E15" t="inlineStr">
        <is>
          <t>Fomento a la recreación, la actividad física y el deporte para desarrollar entornos de convivencia y paz</t>
        </is>
      </c>
      <c r="F15" t="inlineStr">
        <is>
          <t>4301037</t>
        </is>
      </c>
      <c r="G15" t="inlineStr">
        <is>
          <t>Servicio de promoción de la actividad física, la recreación y el deporte</t>
        </is>
      </c>
      <c r="H15" t="inlineStr">
        <is>
          <t>Aprovechamiento del deporte, la recreación y la actividad física con fines de esparcimiento y desarrollo físico procurando la integración el descanso mediante la realización de actividades deportivas y la promoción de espacios con  la participación comunitaria. Incluye el programa Supérate con la promoción del deporte en niños adolescentes y jóvenes de  los 7 a los 28 años en el territorio nacional a través de competencias deportivas.</t>
        </is>
      </c>
      <c r="I15" t="inlineStr">
        <is>
          <t>2024252000004</t>
        </is>
      </c>
      <c r="J15" s="99">
        <v>230295178.7136</v>
      </c>
      <c r="K15" s="99">
        <v>52800000</v>
      </c>
      <c r="L15" s="99">
        <v>55862400</v>
      </c>
      <c r="M15" s="99">
        <v>59102419.2</v>
      </c>
      <c r="N15" s="99">
        <v>62530359.5136</v>
      </c>
      <c r="O15" s="99" t="inlineStr">
        <is>
          <t xml:space="preserve"> </t>
        </is>
      </c>
      <c r="P15" s="99" t="inlineStr">
        <is>
          <t xml:space="preserve"> </t>
        </is>
      </c>
      <c r="Q15" s="99" t="inlineStr">
        <is>
          <t xml:space="preserve"> </t>
        </is>
      </c>
      <c r="R15" s="100" t="inlineStr">
        <is>
          <t xml:space="preserve"> </t>
        </is>
      </c>
      <c r="S15" t="inlineStr">
        <is>
          <t>No se encontró ejecución en CUIPO</t>
        </is>
      </c>
      <c r="T15" s="101">
        <v>52888500</v>
      </c>
      <c r="U15" s="101">
        <v>32445000</v>
      </c>
      <c r="V15" s="101">
        <v>32445000</v>
      </c>
      <c r="W15" s="102">
        <v>0.580802113765252</v>
      </c>
      <c r="X15" t="inlineStr">
        <is>
          <t>Lo obligado está por debajo de lo programado en la vigencia</t>
        </is>
      </c>
    </row>
    <row r="16">
      <c r="A16" t="inlineStr">
        <is>
          <t>IP-10</t>
        </is>
      </c>
      <c r="B16" t="inlineStr">
        <is>
          <t>43</t>
        </is>
      </c>
      <c r="C16" t="inlineStr">
        <is>
          <t>Deporte y Recreación</t>
        </is>
      </c>
      <c r="D16" t="inlineStr">
        <is>
          <t>4301</t>
        </is>
      </c>
      <c r="E16" t="inlineStr">
        <is>
          <t>Fomento a la recreación, la actividad física y el deporte para desarrollar entornos de convivencia y paz</t>
        </is>
      </c>
      <c r="F16" t="inlineStr">
        <is>
          <t>4301003</t>
        </is>
      </c>
      <c r="G16" t="inlineStr">
        <is>
          <t>Servicio de administración de la infraestructura deportiva</t>
        </is>
      </c>
      <c r="H16" t="inlineStr">
        <is>
          <t>Corresponde al acceso y uso de la infraestructura deportiva para garantizar su operación por parte de las Entidades Territoriales. Implica la sostenibilidad del escenario entregado (servicios públicos, seguridad de los escenarios, garantías de la funcionalidad de la implementación deportiva necesaria para la práctica de la actividad física y  vías de acceso).</t>
        </is>
      </c>
      <c r="I16" t="inlineStr">
        <is>
          <t>2024252000005</t>
        </is>
      </c>
      <c r="J16" s="99">
        <v>683413048.694</v>
      </c>
      <c r="K16" s="99">
        <v>198156163</v>
      </c>
      <c r="L16" s="99">
        <v>209649220.454</v>
      </c>
      <c r="M16" s="99">
        <v>221808875.24</v>
      </c>
      <c r="N16" s="99">
        <v>53798790</v>
      </c>
      <c r="O16" s="99">
        <v>69741772</v>
      </c>
      <c r="P16" s="99">
        <v>53341772</v>
      </c>
      <c r="Q16" s="99">
        <v>53341772</v>
      </c>
      <c r="R16" s="100">
        <v>0.269190577736409</v>
      </c>
      <c r="S16" t="inlineStr">
        <is>
          <t>Lo obligado está por debajo de lo programado en la vigencia</t>
        </is>
      </c>
      <c r="T16" s="101">
        <v>357713267</v>
      </c>
      <c r="U16" s="101">
        <v>239138766</v>
      </c>
      <c r="V16" s="101">
        <v>239138766</v>
      </c>
      <c r="W16" s="102">
        <v>1.14066136512285</v>
      </c>
      <c r="X16" t="inlineStr">
        <is>
          <t>Hubo ejecución por encima de lo programado en SisPT</t>
        </is>
      </c>
    </row>
    <row r="17">
      <c r="A17" t="inlineStr">
        <is>
          <t>IP-11, IP-12</t>
        </is>
      </c>
      <c r="B17" t="inlineStr">
        <is>
          <t>43</t>
        </is>
      </c>
      <c r="C17" t="inlineStr">
        <is>
          <t>Deporte y Recreación</t>
        </is>
      </c>
      <c r="D17" t="inlineStr">
        <is>
          <t>4302</t>
        </is>
      </c>
      <c r="E17" t="inlineStr">
        <is>
          <t>Formación y preparación de deportistas</t>
        </is>
      </c>
      <c r="F17" t="inlineStr">
        <is>
          <t>4302001</t>
        </is>
      </c>
      <c r="G17" t="inlineStr">
        <is>
          <t>Servicio de preparación deportiva</t>
        </is>
      </c>
      <c r="H17" t="inlineStr">
        <is>
          <t>Corresponde a la preparación para las competencias de alto rendimiento deportivas que debe garantizarle al deportista un entrenador, una concentración deportiva para su entrenamiento y hospedaje</t>
        </is>
      </c>
      <c r="I17" t="inlineStr">
        <is>
          <t>2024252000006</t>
        </is>
      </c>
      <c r="J17" s="99">
        <v>636801062.352</v>
      </c>
      <c r="K17" s="99">
        <v>146000000</v>
      </c>
      <c r="L17" s="99">
        <v>154468000</v>
      </c>
      <c r="M17" s="99">
        <v>163427144</v>
      </c>
      <c r="N17" s="99">
        <v>172905918.352</v>
      </c>
      <c r="O17" s="99" t="inlineStr">
        <is>
          <t xml:space="preserve"> </t>
        </is>
      </c>
      <c r="P17" s="99" t="inlineStr">
        <is>
          <t xml:space="preserve"> </t>
        </is>
      </c>
      <c r="Q17" s="99" t="inlineStr">
        <is>
          <t xml:space="preserve"> </t>
        </is>
      </c>
      <c r="R17" s="100" t="inlineStr">
        <is>
          <t xml:space="preserve"> </t>
        </is>
      </c>
      <c r="S17" t="inlineStr">
        <is>
          <t>No se encontró ejecución en CUIPO</t>
        </is>
      </c>
      <c r="T17" s="101">
        <v>292550702</v>
      </c>
      <c r="U17" s="101">
        <v>152900204</v>
      </c>
      <c r="V17" s="101">
        <v>152900204</v>
      </c>
      <c r="W17" s="102">
        <v>0.989850350881736</v>
      </c>
      <c r="X17" t="inlineStr">
        <is>
          <t>Lo obligado está por debajo de lo programado en la vigencia</t>
        </is>
      </c>
    </row>
    <row r="18">
      <c r="A18" t="inlineStr">
        <is>
          <t>IP-13, IP-14</t>
        </is>
      </c>
      <c r="B18" t="inlineStr">
        <is>
          <t>22</t>
        </is>
      </c>
      <c r="C18" t="inlineStr">
        <is>
          <t>Educación</t>
        </is>
      </c>
      <c r="D18" t="inlineStr">
        <is>
          <t>2201</t>
        </is>
      </c>
      <c r="E18" t="inlineStr">
        <is>
          <t>Calidad, cobertura y fortalecimiento de la educación inicial, prescolar, básica y media</t>
        </is>
      </c>
      <c r="F18" t="inlineStr">
        <is>
          <t>2201028</t>
        </is>
      </c>
      <c r="G18" t="inlineStr">
        <is>
          <t>Servicio de apoyo a la permanencia con alimentación escolar</t>
        </is>
      </c>
      <c r="H18" t="inlineStr">
        <is>
          <t>Incluye la implementación de estrategias de alimentación escolar para fortalecer las acciones de retención estudiantil.</t>
        </is>
      </c>
      <c r="I18" t="inlineStr">
        <is>
          <t>2024252000010</t>
        </is>
      </c>
      <c r="J18" s="99">
        <v>854297295.4166</v>
      </c>
      <c r="K18" s="99">
        <v>200000000</v>
      </c>
      <c r="L18" s="99">
        <v>211491285.74</v>
      </c>
      <c r="M18" s="99">
        <v>220930298.8383</v>
      </c>
      <c r="N18" s="99">
        <v>221875710.8383</v>
      </c>
      <c r="O18" s="99">
        <v>24172846</v>
      </c>
      <c r="P18" s="99">
        <v>24172846</v>
      </c>
      <c r="Q18" s="99">
        <v>24172846</v>
      </c>
      <c r="R18" s="100">
        <v>0.12086423</v>
      </c>
      <c r="S18" t="inlineStr">
        <is>
          <t>Lo obligado está por debajo de lo programado en la vigencia</t>
        </is>
      </c>
      <c r="T18" s="101">
        <v>63362748</v>
      </c>
      <c r="U18" s="101">
        <v>31681374</v>
      </c>
      <c r="V18" s="101">
        <v>31681374</v>
      </c>
      <c r="W18" s="102">
        <v>0.149799902578246</v>
      </c>
      <c r="X18" t="inlineStr">
        <is>
          <t>Lo obligado está por debajo de lo programado en la vigencia</t>
        </is>
      </c>
    </row>
    <row r="19">
      <c r="A19" t="inlineStr">
        <is>
          <t>IP-15, IP-16</t>
        </is>
      </c>
      <c r="B19" t="inlineStr">
        <is>
          <t>22</t>
        </is>
      </c>
      <c r="C19" t="inlineStr">
        <is>
          <t>Educación</t>
        </is>
      </c>
      <c r="D19" t="inlineStr">
        <is>
          <t>2201</t>
        </is>
      </c>
      <c r="E19" t="inlineStr">
        <is>
          <t>Calidad, cobertura y fortalecimiento de la educación inicial, prescolar, básica y media</t>
        </is>
      </c>
      <c r="F19" t="inlineStr">
        <is>
          <t>2201029</t>
        </is>
      </c>
      <c r="G19" t="inlineStr">
        <is>
          <t>Servicio de apoyo a la permanencia con transporte escolar</t>
        </is>
      </c>
      <c r="H19" t="inlineStr">
        <is>
          <t>Incluye la implementación de estrategias de transporte escolar para fortalecer las acciones de retención estudiantil</t>
        </is>
      </c>
      <c r="I19" t="inlineStr">
        <is>
          <t>2024252000010</t>
        </is>
      </c>
      <c r="J19" s="99">
        <v>1958751435.5</v>
      </c>
      <c r="K19" s="99">
        <v>460000000</v>
      </c>
      <c r="L19" s="99">
        <v>466680000</v>
      </c>
      <c r="M19" s="99">
        <v>508580600</v>
      </c>
      <c r="N19" s="99">
        <v>523490835.5</v>
      </c>
      <c r="O19" s="99">
        <v>207455212</v>
      </c>
      <c r="P19" s="99">
        <v>207455212</v>
      </c>
      <c r="Q19" s="99">
        <v>207455212</v>
      </c>
      <c r="R19" s="100">
        <v>0.450989591304348</v>
      </c>
      <c r="S19" t="inlineStr">
        <is>
          <t>Lo obligado está por debajo de lo programado en la vigencia</t>
        </is>
      </c>
      <c r="T19" s="101">
        <v>304658231</v>
      </c>
      <c r="U19" s="101">
        <v>253419386</v>
      </c>
      <c r="V19" s="101">
        <v>253419386</v>
      </c>
      <c r="W19" s="102">
        <v>0.543026026399246</v>
      </c>
      <c r="X19" t="inlineStr">
        <is>
          <t>Lo obligado está por debajo de lo programado en la vigencia</t>
        </is>
      </c>
    </row>
    <row r="20">
      <c r="A20" t="inlineStr">
        <is>
          <t>IP-17, IP-19, IP-20, IP-21</t>
        </is>
      </c>
      <c r="B20" t="inlineStr">
        <is>
          <t>22</t>
        </is>
      </c>
      <c r="C20" t="inlineStr">
        <is>
          <t>Educación</t>
        </is>
      </c>
      <c r="D20" t="inlineStr">
        <is>
          <t>2201</t>
        </is>
      </c>
      <c r="E20" t="inlineStr">
        <is>
          <t>Calidad, cobertura y fortalecimiento de la educación inicial, prescolar, básica y media</t>
        </is>
      </c>
      <c r="F20" t="inlineStr">
        <is>
          <t>2201001</t>
        </is>
      </c>
      <c r="G20" t="inlineStr">
        <is>
          <t>Documentos de planeación</t>
        </is>
      </c>
      <c r="H20" t="inlineStr">
        <is>
          <t>Incluyen los servicio de asesoría y orientación técnica prestados a las Secretarías de Educación o por estas en los temas relacionados con la política educativa y aquellos definidos para la educación inicial, preescolar, básica y media.</t>
        </is>
      </c>
      <c r="I20" t="inlineStr">
        <is>
          <t>2024252000009</t>
        </is>
      </c>
      <c r="J20" s="99">
        <v>618281831.75</v>
      </c>
      <c r="K20" s="99">
        <v>115000000</v>
      </c>
      <c r="L20" s="99">
        <v>153270000</v>
      </c>
      <c r="M20" s="99">
        <v>167145150</v>
      </c>
      <c r="N20" s="99">
        <v>182866681.75</v>
      </c>
      <c r="O20" s="99">
        <v>31425000</v>
      </c>
      <c r="P20" s="99">
        <v>31425000</v>
      </c>
      <c r="Q20" s="99">
        <v>31425000</v>
      </c>
      <c r="R20" s="100">
        <v>0.273260869565217</v>
      </c>
      <c r="S20" t="inlineStr">
        <is>
          <t>Lo obligado está por debajo de lo programado en la vigencia</t>
        </is>
      </c>
      <c r="T20" s="101">
        <v>216914624</v>
      </c>
      <c r="U20" s="101">
        <v>151501424</v>
      </c>
      <c r="V20" s="101">
        <v>151501424</v>
      </c>
      <c r="W20" s="102">
        <v>0.988461042604554</v>
      </c>
      <c r="X20" t="inlineStr">
        <is>
          <t>Lo obligado está por debajo de lo programado en la vigencia</t>
        </is>
      </c>
    </row>
    <row r="21">
      <c r="A21" t="inlineStr">
        <is>
          <t>IP-18</t>
        </is>
      </c>
      <c r="B21" t="inlineStr">
        <is>
          <t>22</t>
        </is>
      </c>
      <c r="C21" t="inlineStr">
        <is>
          <t>Educación</t>
        </is>
      </c>
      <c r="D21" t="inlineStr">
        <is>
          <t>2201</t>
        </is>
      </c>
      <c r="E21" t="inlineStr">
        <is>
          <t>Calidad, cobertura y fortalecimiento de la educación inicial, prescolar, básica y media</t>
        </is>
      </c>
      <c r="F21" t="inlineStr">
        <is>
          <t>2201071</t>
        </is>
      </c>
      <c r="G21" t="inlineStr">
        <is>
          <t>Servicio educativo</t>
        </is>
      </c>
      <c r="H21" t="inlineStr">
        <is>
          <t>Contempla las actividades asociadas al pago de nómina del personal administrativo de los establecimientos educativos, incluidos los gastos inherentes a la nómina como los aportes patronales, parafiscales y pago de  prestaciones sociales del Magisterio (CPSM) conforme a las leyes 43 DE 1975, 91 DE 1989 Y 715 DE 2001. Así mismo, incluye la  prestación del servicio educativo a través de la contratación con privados y los servicios administrativos de apoyo a la prestación del servicio educativo tales como arrendamiento de bienes inmuebles, servicios de aseo y vigilancia, impresiones y publicaciones, primas por seguros para amparar personas y bienes de los establecimientos educativos, el desarrollo de las acciones requeridas para la adecuada disposición de los bienes y la mitigación del deterioro y el pago de servicios públicos domiciliarios y telefonía móvil e internet.</t>
        </is>
      </c>
      <c r="I21" t="inlineStr">
        <is>
          <t>2024252000010</t>
        </is>
      </c>
      <c r="J21" s="99">
        <v>1675410977</v>
      </c>
      <c r="K21" s="99">
        <v>377349659</v>
      </c>
      <c r="L21" s="99">
        <v>403764135</v>
      </c>
      <c r="M21" s="99">
        <v>432027625</v>
      </c>
      <c r="N21" s="99">
        <v>462269558</v>
      </c>
      <c r="O21" s="99" t="inlineStr">
        <is>
          <t xml:space="preserve"> </t>
        </is>
      </c>
      <c r="P21" s="99" t="inlineStr">
        <is>
          <t xml:space="preserve"> </t>
        </is>
      </c>
      <c r="Q21" s="99" t="inlineStr">
        <is>
          <t xml:space="preserve"> </t>
        </is>
      </c>
      <c r="R21" s="100" t="inlineStr">
        <is>
          <t xml:space="preserve"> </t>
        </is>
      </c>
      <c r="S21" t="inlineStr">
        <is>
          <t>No se encontró ejecución en CUIPO</t>
        </is>
      </c>
      <c r="T21" s="101">
        <v>661049007</v>
      </c>
      <c r="U21" s="101">
        <v>661049007</v>
      </c>
      <c r="V21" s="101">
        <v>661049007</v>
      </c>
      <c r="W21" s="102">
        <v>1.63721576459484</v>
      </c>
      <c r="X21" t="inlineStr">
        <is>
          <t>Hubo ejecución por encima de lo programado en SisPT</t>
        </is>
      </c>
    </row>
    <row r="22">
      <c r="A22" t="inlineStr">
        <is>
          <t>IP-22</t>
        </is>
      </c>
      <c r="B22" t="inlineStr">
        <is>
          <t>22</t>
        </is>
      </c>
      <c r="C22" t="inlineStr">
        <is>
          <t>Educación</t>
        </is>
      </c>
      <c r="D22" t="inlineStr">
        <is>
          <t>2202</t>
        </is>
      </c>
      <c r="E22" t="inlineStr">
        <is>
          <t>Calidad y fomento de la educación superior</t>
        </is>
      </c>
      <c r="F22" t="inlineStr">
        <is>
          <t>2202065</t>
        </is>
      </c>
      <c r="G22" t="inlineStr">
        <is>
          <t xml:space="preserve">Servicio de apoyo financiero para el acceso y permanencia a la educación superior </t>
        </is>
      </c>
      <c r="H22" t="inlineStr">
        <is>
          <t xml:space="preserve">Incluye créditos - beca y subsidios en todas sus modalidades  para fortalecer las acciones para el acceso más la permanencia estudiantil en la educación superior </t>
        </is>
      </c>
      <c r="I22" t="inlineStr">
        <is>
          <t>2024252000007</t>
        </is>
      </c>
      <c r="J22" s="99">
        <v>1265596150</v>
      </c>
      <c r="K22" s="99">
        <v>340000000</v>
      </c>
      <c r="L22" s="99">
        <v>359720000</v>
      </c>
      <c r="M22" s="99">
        <v>375907400</v>
      </c>
      <c r="N22" s="99">
        <v>189968750</v>
      </c>
      <c r="O22" s="99" t="inlineStr">
        <is>
          <t xml:space="preserve"> </t>
        </is>
      </c>
      <c r="P22" s="99" t="inlineStr">
        <is>
          <t xml:space="preserve"> </t>
        </is>
      </c>
      <c r="Q22" s="99" t="inlineStr">
        <is>
          <t xml:space="preserve"> </t>
        </is>
      </c>
      <c r="R22" s="100" t="inlineStr">
        <is>
          <t xml:space="preserve"> </t>
        </is>
      </c>
      <c r="S22" t="inlineStr">
        <is>
          <t>No se encontró ejecución en CUIPO</t>
        </is>
      </c>
      <c r="T22" s="101">
        <v>171174000</v>
      </c>
      <c r="U22" s="101">
        <v>159174000</v>
      </c>
      <c r="V22" s="101">
        <v>159174000</v>
      </c>
      <c r="W22" s="102">
        <v>0.442494162126098</v>
      </c>
      <c r="X22" t="inlineStr">
        <is>
          <t>Lo obligado está por debajo de lo programado en la vigencia</t>
        </is>
      </c>
    </row>
    <row r="23">
      <c r="A23" t="inlineStr">
        <is>
          <t>IP-23</t>
        </is>
      </c>
      <c r="B23" t="inlineStr">
        <is>
          <t>33</t>
        </is>
      </c>
      <c r="C23" t="inlineStr">
        <is>
          <t>Cultura</t>
        </is>
      </c>
      <c r="D23" t="inlineStr">
        <is>
          <t>3301</t>
        </is>
      </c>
      <c r="E23" t="inlineStr">
        <is>
          <t>Promoción y acceso efectivo a procesos culturales y artísticos</t>
        </is>
      </c>
      <c r="F23" t="inlineStr">
        <is>
          <t>3301068</t>
        </is>
      </c>
      <c r="G23" t="inlineStr">
        <is>
          <t>Servicio de mantenimiento de infraestructura cultural</t>
        </is>
      </c>
      <c r="H23" t="inlineStr">
        <is>
          <t>Ajuste o adaptación de una Infraestructura Cultural en la cual ya se estén desarrollando prácticas culturales, se busca garantizar la permanencia del inmueble original con las especificaciones requeridas. Este proceso puede o no tener reforzamiento estructural.</t>
        </is>
      </c>
      <c r="I23" t="inlineStr">
        <is>
          <t>2024252000011</t>
        </is>
      </c>
      <c r="J23" s="99">
        <v>378000000</v>
      </c>
      <c r="K23" s="99">
        <v>28000000</v>
      </c>
      <c r="L23" s="99">
        <v>258000000</v>
      </c>
      <c r="M23" s="99">
        <v>72000000</v>
      </c>
      <c r="N23" s="99">
        <v>20000000</v>
      </c>
      <c r="O23" s="99">
        <v>8782430</v>
      </c>
      <c r="P23" s="99">
        <v>7282430</v>
      </c>
      <c r="Q23" s="99">
        <v>7282430</v>
      </c>
      <c r="R23" s="100">
        <v>0.260086785714286</v>
      </c>
      <c r="S23" t="inlineStr">
        <is>
          <t>Lo obligado está por debajo de lo programado en la vigencia</t>
        </is>
      </c>
      <c r="T23" s="101">
        <v>27016938</v>
      </c>
      <c r="U23" s="101">
        <v>19497868</v>
      </c>
      <c r="V23" s="101">
        <v>19497868</v>
      </c>
      <c r="W23" s="102">
        <v>0.0755731317829457</v>
      </c>
      <c r="X23" t="inlineStr">
        <is>
          <t>Lo obligado está por debajo de lo programado en la vigencia</t>
        </is>
      </c>
    </row>
    <row r="24">
      <c r="A24" t="inlineStr">
        <is>
          <t>IP-24</t>
        </is>
      </c>
      <c r="B24" t="inlineStr">
        <is>
          <t>33</t>
        </is>
      </c>
      <c r="C24" t="inlineStr">
        <is>
          <t>Cultura</t>
        </is>
      </c>
      <c r="D24" t="inlineStr">
        <is>
          <t>3301</t>
        </is>
      </c>
      <c r="E24" t="inlineStr">
        <is>
          <t>Promoción y acceso efectivo a procesos culturales y artísticos</t>
        </is>
      </c>
      <c r="F24" t="inlineStr">
        <is>
          <t>3301003</t>
        </is>
      </c>
      <c r="G24" t="inlineStr">
        <is>
          <t>Bibliotecas adecuadas</t>
        </is>
      </c>
      <c r="H24" t="inlineStr">
        <is>
          <t>Cambio del uso de la infraestructura cultural o parte de ella, garantizando la permanencia del inmueble original.</t>
        </is>
      </c>
      <c r="I24" t="inlineStr">
        <is>
          <t>2024252000012</t>
        </is>
      </c>
      <c r="J24" s="99">
        <v>64698207.301</v>
      </c>
      <c r="K24" s="99">
        <v>14980000</v>
      </c>
      <c r="L24" s="99">
        <v>15848840</v>
      </c>
      <c r="M24" s="99">
        <v>16562037.8</v>
      </c>
      <c r="N24" s="99">
        <v>17307329.501</v>
      </c>
      <c r="O24" s="99">
        <v>19139150</v>
      </c>
      <c r="P24" s="99">
        <v>19139150</v>
      </c>
      <c r="Q24" s="99">
        <v>19139150</v>
      </c>
      <c r="R24" s="100">
        <v>1.27764686248331</v>
      </c>
      <c r="S24" t="inlineStr">
        <is>
          <t>Hubo ejecución por encima de lo programado en SisPT</t>
        </is>
      </c>
      <c r="T24" s="101">
        <v>28856720</v>
      </c>
      <c r="U24" s="101">
        <v>13800000</v>
      </c>
      <c r="V24" s="101">
        <v>13800000</v>
      </c>
      <c r="W24" s="102">
        <v>0.870726185638823</v>
      </c>
      <c r="X24" t="inlineStr">
        <is>
          <t>Lo obligado está por debajo de lo programado en la vigencia</t>
        </is>
      </c>
    </row>
    <row r="25">
      <c r="A25" t="inlineStr">
        <is>
          <t>IP-25, IP-26, IP-27, IP-28</t>
        </is>
      </c>
      <c r="B25" t="inlineStr">
        <is>
          <t>33</t>
        </is>
      </c>
      <c r="C25" t="inlineStr">
        <is>
          <t>Cultura</t>
        </is>
      </c>
      <c r="D25" t="inlineStr">
        <is>
          <t>3301</t>
        </is>
      </c>
      <c r="E25" t="inlineStr">
        <is>
          <t>Promoción y acceso efectivo a procesos culturales y artísticos</t>
        </is>
      </c>
      <c r="F25" t="inlineStr">
        <is>
          <t>3301122</t>
        </is>
      </c>
      <c r="G25" t="inlineStr">
        <is>
          <t>Servicio de fomento para el acceso de la oferta cultural</t>
        </is>
      </c>
      <c r="H25" t="inlineStr">
        <is>
          <t>Beneficios otorgados para que la ciudadanía acceda a la oferta cultural, entre ellos cine.</t>
        </is>
      </c>
      <c r="I25" t="inlineStr">
        <is>
          <t>2024252000012</t>
        </is>
      </c>
      <c r="J25" s="99">
        <v>176379449</v>
      </c>
      <c r="K25" s="99">
        <v>20000000</v>
      </c>
      <c r="L25" s="99">
        <v>51160000</v>
      </c>
      <c r="M25" s="99">
        <v>52112200</v>
      </c>
      <c r="N25" s="99">
        <v>53107249</v>
      </c>
      <c r="O25" s="99">
        <v>49920531</v>
      </c>
      <c r="P25" s="99">
        <v>49920531</v>
      </c>
      <c r="Q25" s="99">
        <v>49920531</v>
      </c>
      <c r="R25" s="100">
        <v>2.49602655</v>
      </c>
      <c r="S25" t="inlineStr">
        <is>
          <t>Hubo ejecución por encima de lo programado en SisPT</t>
        </is>
      </c>
      <c r="T25" s="101">
        <v>14000000</v>
      </c>
      <c r="U25" s="101">
        <v>4000000</v>
      </c>
      <c r="V25" s="101">
        <v>4000000</v>
      </c>
      <c r="W25" s="102">
        <v>0.0781860828772478</v>
      </c>
      <c r="X25" t="inlineStr">
        <is>
          <t>Lo obligado está por debajo de lo programado en la vigencia</t>
        </is>
      </c>
    </row>
    <row r="26">
      <c r="A26" t="inlineStr">
        <is>
          <t>IP-29</t>
        </is>
      </c>
      <c r="B26" t="inlineStr">
        <is>
          <t>41</t>
        </is>
      </c>
      <c r="C26" t="inlineStr">
        <is>
          <t xml:space="preserve">Inclusión social y reconciliación </t>
        </is>
      </c>
      <c r="D26" t="inlineStr">
        <is>
          <t>4101</t>
        </is>
      </c>
      <c r="E26" t="inlineStr">
        <is>
          <t>Atención, asistencia y reparación integral a las víctimas</t>
        </is>
      </c>
      <c r="F26" t="inlineStr">
        <is>
          <t>4101092</t>
        </is>
      </c>
      <c r="G26" t="inlineStr">
        <is>
          <t>Servicios de satisfacción y garantías de no repetición a víctimas del conflicto armado</t>
        </is>
      </c>
      <c r="H26" t="inlineStr">
        <is>
          <t>Corresponde a la implementación de medidas de satisfacción y garantías de no repetición a víctimas del conflicto armado dentro del proceso de Reparación Integral. Comprende la implementación de acciones concertadas y estrategias grupales en los componentes de memoria, dignificación y recuperación de prácticas sociales. Este incluye el reconocimiento de víctima ante la comunidad y el ofensor, reconocimiento de responsabilidad de los hechos y solicitudes de perdón, homenajes y actos conmemorativos a las victimas del conflicto armado, difusión del relato de víctimas y apoyo psicosocial en entrega de restos a familiares de víctimas de desaparición forzada, así como, acciones en el marco de la medida de garantías de no repetición a nivel individual enfocada en los componentes de pedagogía social y reconciliación.</t>
        </is>
      </c>
      <c r="I26" t="inlineStr">
        <is>
          <t>2024252000014</t>
        </is>
      </c>
      <c r="J26" s="99">
        <v>129569173.5</v>
      </c>
      <c r="K26" s="99">
        <v>30000000</v>
      </c>
      <c r="L26" s="99">
        <v>31740000</v>
      </c>
      <c r="M26" s="99">
        <v>33168300</v>
      </c>
      <c r="N26" s="99">
        <v>34660873.5</v>
      </c>
      <c r="O26" s="99">
        <v>4800000</v>
      </c>
      <c r="P26" s="99">
        <v>4800000</v>
      </c>
      <c r="Q26" s="99">
        <v>4800000</v>
      </c>
      <c r="R26" s="100">
        <v>0.16</v>
      </c>
      <c r="S26" t="inlineStr">
        <is>
          <t>Lo obligado está por debajo de lo programado en la vigencia</t>
        </is>
      </c>
      <c r="T26" s="101">
        <v>24000000</v>
      </c>
      <c r="U26" s="101">
        <v>11420000</v>
      </c>
      <c r="V26" s="101">
        <v>11420000</v>
      </c>
      <c r="W26" s="102">
        <v>0.359798361688721</v>
      </c>
      <c r="X26" t="inlineStr">
        <is>
          <t>Lo obligado está por debajo de lo programado en la vigencia</t>
        </is>
      </c>
    </row>
    <row r="27">
      <c r="A27" t="inlineStr">
        <is>
          <t>IP-30</t>
        </is>
      </c>
      <c r="B27" t="inlineStr">
        <is>
          <t>41</t>
        </is>
      </c>
      <c r="C27" t="inlineStr">
        <is>
          <t xml:space="preserve">Inclusión social y reconciliación </t>
        </is>
      </c>
      <c r="D27" t="inlineStr">
        <is>
          <t>4101</t>
        </is>
      </c>
      <c r="E27" t="inlineStr">
        <is>
          <t>Atención, asistencia y reparación integral a las víctimas</t>
        </is>
      </c>
      <c r="F27" t="inlineStr">
        <is>
          <t>4101025</t>
        </is>
      </c>
      <c r="G27" t="inlineStr">
        <is>
          <t>Servicio de ayuda y atención humanitaria</t>
        </is>
      </c>
      <c r="H27" t="inlineStr">
        <is>
          <t>Mediante los cuales se entrega ayuda y atención humanitaria a las víctimas del conflicto armado. La ayuda humanitaria se entrega a las víctimas de otros hechos diferentes al desplazamiento forzado y la atención humanitaria a víctimas de desplazamiento forzado.</t>
        </is>
      </c>
      <c r="I27" t="inlineStr">
        <is>
          <t>2024252000014</t>
        </is>
      </c>
      <c r="J27" s="99">
        <v>30232807.15</v>
      </c>
      <c r="K27" s="99">
        <v>7000000</v>
      </c>
      <c r="L27" s="99">
        <v>7406000</v>
      </c>
      <c r="M27" s="99">
        <v>7739270</v>
      </c>
      <c r="N27" s="99">
        <v>8087537.15</v>
      </c>
      <c r="O27" s="99">
        <v>4849500</v>
      </c>
      <c r="P27" s="99">
        <v>4849500</v>
      </c>
      <c r="Q27" s="99">
        <v>4849500</v>
      </c>
      <c r="R27" s="100">
        <v>0.692785714285714</v>
      </c>
      <c r="S27" t="inlineStr">
        <is>
          <t>Lo obligado está por debajo de lo programado en la vigencia</t>
        </is>
      </c>
      <c r="T27" s="101">
        <v>5085850</v>
      </c>
      <c r="U27" s="101">
        <v>5085850</v>
      </c>
      <c r="V27" s="101">
        <v>5085850</v>
      </c>
      <c r="W27" s="102">
        <v>0.6867202268431</v>
      </c>
      <c r="X27" t="inlineStr">
        <is>
          <t>Lo obligado está por debajo de lo programado en la vigencia</t>
        </is>
      </c>
    </row>
    <row r="28">
      <c r="A28" t="inlineStr">
        <is>
          <t>IP-31</t>
        </is>
      </c>
      <c r="B28" t="inlineStr">
        <is>
          <t>41</t>
        </is>
      </c>
      <c r="C28" t="inlineStr">
        <is>
          <t xml:space="preserve">Inclusión social y reconciliación </t>
        </is>
      </c>
      <c r="D28" t="inlineStr">
        <is>
          <t>4103</t>
        </is>
      </c>
      <c r="E28" t="inlineStr">
        <is>
          <t>Inclusión social y productiva para la población en situación de vulnerabilidad</t>
        </is>
      </c>
      <c r="F28" t="inlineStr">
        <is>
          <t>4103050</t>
        </is>
      </c>
      <c r="G28" t="inlineStr">
        <is>
          <t>Servicio de acompañamiento familiar y comunitario para la superación de la pobreza</t>
        </is>
      </c>
      <c r="H28" t="inlineStr">
        <is>
          <t>Incluye el desarrollo de acciones mediante las cuales se busca fortalecer la capacidad de autogestión y el tejido social en los hogares que se encuentran en situación de pobreza y en las comunidades focalizadas, para mejorar sus condiciones de vida. Tiene componentes de acompañamiento familiar y comunitario y de gestión de oferta institucional.</t>
        </is>
      </c>
      <c r="I28" t="inlineStr">
        <is>
          <t>2024252000015</t>
        </is>
      </c>
      <c r="J28" s="99">
        <v>431897245</v>
      </c>
      <c r="K28" s="99">
        <v>100000000</v>
      </c>
      <c r="L28" s="99">
        <v>105800000</v>
      </c>
      <c r="M28" s="99">
        <v>110561000</v>
      </c>
      <c r="N28" s="99">
        <v>115536245</v>
      </c>
      <c r="O28" s="99">
        <v>10050000</v>
      </c>
      <c r="P28" s="99">
        <v>10050000</v>
      </c>
      <c r="Q28" s="99">
        <v>10050000</v>
      </c>
      <c r="R28" s="100">
        <v>0.1005</v>
      </c>
      <c r="S28" t="inlineStr">
        <is>
          <t>Lo obligado está por debajo de lo programado en la vigencia</t>
        </is>
      </c>
      <c r="T28" s="101">
        <v>124187500</v>
      </c>
      <c r="U28" s="101">
        <v>70349500</v>
      </c>
      <c r="V28" s="101">
        <v>70349500</v>
      </c>
      <c r="W28" s="102">
        <v>0.664929111531191</v>
      </c>
      <c r="X28" t="inlineStr">
        <is>
          <t>Lo obligado está por debajo de lo programado en la vigencia</t>
        </is>
      </c>
    </row>
    <row r="29">
      <c r="A29" t="inlineStr">
        <is>
          <t>IP-32, IP-33, IP-34, IP-35, IP-36, IP-38</t>
        </is>
      </c>
      <c r="B29" t="inlineStr">
        <is>
          <t>41</t>
        </is>
      </c>
      <c r="C29" t="inlineStr">
        <is>
          <t xml:space="preserve">Inclusión social y reconciliación </t>
        </is>
      </c>
      <c r="D29" t="inlineStr">
        <is>
          <t>4103</t>
        </is>
      </c>
      <c r="E29" t="inlineStr">
        <is>
          <t>Inclusión social y productiva para la población en situación de vulnerabilidad</t>
        </is>
      </c>
      <c r="F29" t="inlineStr">
        <is>
          <t>4103052</t>
        </is>
      </c>
      <c r="G29" t="inlineStr">
        <is>
          <t>Servicio de gestión de oferta social para la población vulnerable</t>
        </is>
      </c>
      <c r="H29" t="inlineStr">
        <is>
          <t>Incluye el desarrollo de acciones encaminadas a generar dinámicas de atención conjunta, articulada y eficiente entre las instituciones del estado hacia la población vulnerable.</t>
        </is>
      </c>
      <c r="I29" t="inlineStr">
        <is>
          <t>2024252000015</t>
        </is>
      </c>
      <c r="J29" s="99">
        <v>705293886.85</v>
      </c>
      <c r="K29" s="99">
        <v>178000000</v>
      </c>
      <c r="L29" s="99">
        <v>169554000</v>
      </c>
      <c r="M29" s="99">
        <v>174933930</v>
      </c>
      <c r="N29" s="99">
        <v>182805956.85</v>
      </c>
      <c r="O29" s="99">
        <v>109348490</v>
      </c>
      <c r="P29" s="99">
        <v>105779990</v>
      </c>
      <c r="Q29" s="99">
        <v>105779990</v>
      </c>
      <c r="R29" s="100">
        <v>0.594269606741573</v>
      </c>
      <c r="S29" t="inlineStr">
        <is>
          <t>Lo obligado está por debajo de lo programado en la vigencia</t>
        </is>
      </c>
      <c r="T29" s="101">
        <v>282286400</v>
      </c>
      <c r="U29" s="101">
        <v>191043483</v>
      </c>
      <c r="V29" s="101">
        <v>191043483</v>
      </c>
      <c r="W29" s="102">
        <v>1.12674123288156</v>
      </c>
      <c r="X29" t="inlineStr">
        <is>
          <t>Hubo ejecución por encima de lo programado en SisPT</t>
        </is>
      </c>
    </row>
    <row r="30">
      <c r="A30" t="inlineStr">
        <is>
          <t>IP-37</t>
        </is>
      </c>
      <c r="B30" t="inlineStr">
        <is>
          <t>41</t>
        </is>
      </c>
      <c r="C30" t="inlineStr">
        <is>
          <t xml:space="preserve">Inclusión social y reconciliación </t>
        </is>
      </c>
      <c r="D30" t="inlineStr">
        <is>
          <t>4103</t>
        </is>
      </c>
      <c r="E30" t="inlineStr">
        <is>
          <t>Inclusión social y productiva para la población en situación de vulnerabilidad</t>
        </is>
      </c>
      <c r="F30" t="inlineStr">
        <is>
          <t>4103026</t>
        </is>
      </c>
      <c r="G30" t="inlineStr">
        <is>
          <t>Centros comunitarios ampliados</t>
        </is>
      </c>
      <c r="H30" t="inlineStr">
        <is>
          <t xml:space="preserve">Ampliación de infraestructura dispuesta a la comunidad para que pueda desarrollar actividades culturales, sociales y de formación. </t>
        </is>
      </c>
      <c r="I30" t="inlineStr">
        <is>
          <t>2024252000015</t>
        </is>
      </c>
      <c r="J30" s="99">
        <v>132054449</v>
      </c>
      <c r="K30" s="99">
        <v>35000000</v>
      </c>
      <c r="L30" s="99">
        <v>21160000</v>
      </c>
      <c r="M30" s="99">
        <v>37112200</v>
      </c>
      <c r="N30" s="99">
        <v>38782249</v>
      </c>
      <c r="O30" s="99" t="inlineStr">
        <is>
          <t xml:space="preserve"> </t>
        </is>
      </c>
      <c r="P30" s="99" t="inlineStr">
        <is>
          <t xml:space="preserve"> </t>
        </is>
      </c>
      <c r="Q30" s="99" t="inlineStr">
        <is>
          <t xml:space="preserve"> </t>
        </is>
      </c>
      <c r="R30" s="100" t="inlineStr">
        <is>
          <t xml:space="preserve"> </t>
        </is>
      </c>
      <c r="S30" t="inlineStr">
        <is>
          <t>No se encontró ejecución en CUIPO</t>
        </is>
      </c>
      <c r="T30" s="101" t="inlineStr">
        <is>
          <t xml:space="preserve"> </t>
        </is>
      </c>
      <c r="U30" s="101" t="inlineStr">
        <is>
          <t xml:space="preserve"> </t>
        </is>
      </c>
      <c r="V30" s="101" t="inlineStr">
        <is>
          <t xml:space="preserve"> </t>
        </is>
      </c>
      <c r="W30" s="102" t="inlineStr">
        <is>
          <t xml:space="preserve"> </t>
        </is>
      </c>
      <c r="X30" t="inlineStr">
        <is>
          <t>No se encontró ejecución en CUIPO</t>
        </is>
      </c>
    </row>
    <row r="31">
      <c r="A31" t="inlineStr">
        <is>
          <t>IP-39</t>
        </is>
      </c>
      <c r="B31" t="inlineStr">
        <is>
          <t>41</t>
        </is>
      </c>
      <c r="C31" t="inlineStr">
        <is>
          <t xml:space="preserve">Inclusión social y reconciliación </t>
        </is>
      </c>
      <c r="D31" t="inlineStr">
        <is>
          <t>4103</t>
        </is>
      </c>
      <c r="E31" t="inlineStr">
        <is>
          <t>Inclusión social y productiva para la población en situación de vulnerabilidad</t>
        </is>
      </c>
      <c r="F31" t="inlineStr">
        <is>
          <t>4103058</t>
        </is>
      </c>
      <c r="G31" t="inlineStr">
        <is>
          <t>Servicio de apoyo para el fortalecimiento de unidades productivas colectivas para la generación de ingresos</t>
        </is>
      </c>
      <c r="H31" t="inlineStr">
        <is>
          <t>Corresponde a la entrega de recursos en especie o monetarios mediante incentivos dirigidos a generar las condiciones para el fortalecimiento de las unidades productivas colectivas</t>
        </is>
      </c>
      <c r="I31" t="inlineStr">
        <is>
          <t>2024252000015</t>
        </is>
      </c>
      <c r="J31" s="99">
        <v>43189724.5</v>
      </c>
      <c r="K31" s="99">
        <v>10000000</v>
      </c>
      <c r="L31" s="99">
        <v>10580000</v>
      </c>
      <c r="M31" s="99">
        <v>11056100</v>
      </c>
      <c r="N31" s="99">
        <v>11553624.5</v>
      </c>
      <c r="O31" s="99" t="inlineStr">
        <is>
          <t xml:space="preserve"> </t>
        </is>
      </c>
      <c r="P31" s="99" t="inlineStr">
        <is>
          <t xml:space="preserve"> </t>
        </is>
      </c>
      <c r="Q31" s="99" t="inlineStr">
        <is>
          <t xml:space="preserve"> </t>
        </is>
      </c>
      <c r="R31" s="100" t="inlineStr">
        <is>
          <t xml:space="preserve"> </t>
        </is>
      </c>
      <c r="S31" t="inlineStr">
        <is>
          <t>No se encontró ejecución en CUIPO</t>
        </is>
      </c>
      <c r="T31" s="101" t="inlineStr">
        <is>
          <t xml:space="preserve"> </t>
        </is>
      </c>
      <c r="U31" s="101" t="inlineStr">
        <is>
          <t xml:space="preserve"> </t>
        </is>
      </c>
      <c r="V31" s="101" t="inlineStr">
        <is>
          <t xml:space="preserve"> </t>
        </is>
      </c>
      <c r="W31" s="102" t="inlineStr">
        <is>
          <t xml:space="preserve"> </t>
        </is>
      </c>
      <c r="X31" t="inlineStr">
        <is>
          <t>No se encontró ejecución en CUIPO</t>
        </is>
      </c>
    </row>
    <row r="32">
      <c r="A32" t="inlineStr">
        <is>
          <t>IP-40, IP-52</t>
        </is>
      </c>
      <c r="B32" t="inlineStr">
        <is>
          <t>41</t>
        </is>
      </c>
      <c r="C32" t="inlineStr">
        <is>
          <t xml:space="preserve">Inclusión social y reconciliación </t>
        </is>
      </c>
      <c r="D32" t="inlineStr">
        <is>
          <t>4103</t>
        </is>
      </c>
      <c r="E32" t="inlineStr">
        <is>
          <t>Inclusión social y productiva para la población en situación de vulnerabilidad</t>
        </is>
      </c>
      <c r="F32" t="inlineStr">
        <is>
          <t>4103052</t>
        </is>
      </c>
      <c r="G32" t="inlineStr">
        <is>
          <t>Servicio de gestión de oferta social para la población vulnerable</t>
        </is>
      </c>
      <c r="H32" t="inlineStr">
        <is>
          <t>Incluye el desarrollo de acciones encaminadas a generar dinámicas de atención conjunta, articulada y eficiente entre las instituciones del estado hacia la población vulnerable.</t>
        </is>
      </c>
      <c r="I32" t="inlineStr">
        <is>
          <t>2024252000016</t>
        </is>
      </c>
      <c r="J32" s="99">
        <v>723625024.8724</v>
      </c>
      <c r="K32" s="99">
        <v>167545645</v>
      </c>
      <c r="L32" s="99">
        <v>177263292.41</v>
      </c>
      <c r="M32" s="99">
        <v>185240140.5684</v>
      </c>
      <c r="N32" s="99">
        <v>193575946.894</v>
      </c>
      <c r="O32" s="99">
        <v>105513933</v>
      </c>
      <c r="P32" s="99">
        <v>105513933</v>
      </c>
      <c r="Q32" s="99">
        <v>105513933</v>
      </c>
      <c r="R32" s="100">
        <v>0.629762313428081</v>
      </c>
      <c r="S32" t="inlineStr">
        <is>
          <t>Lo obligado está por debajo de lo programado en la vigencia</t>
        </is>
      </c>
      <c r="T32" s="101">
        <v>118811896</v>
      </c>
      <c r="U32" s="101">
        <v>80050748</v>
      </c>
      <c r="V32" s="101">
        <v>80050748</v>
      </c>
      <c r="W32" s="102">
        <v>0.451592356836333</v>
      </c>
      <c r="X32" t="inlineStr">
        <is>
          <t>Lo obligado está por debajo de lo programado en la vigencia</t>
        </is>
      </c>
    </row>
    <row r="33">
      <c r="A33" t="inlineStr">
        <is>
          <t>IP-41</t>
        </is>
      </c>
      <c r="B33" t="inlineStr">
        <is>
          <t>41</t>
        </is>
      </c>
      <c r="C33" t="inlineStr">
        <is>
          <t xml:space="preserve">Inclusión social y reconciliación </t>
        </is>
      </c>
      <c r="D33" t="inlineStr">
        <is>
          <t>4103</t>
        </is>
      </c>
      <c r="E33" t="inlineStr">
        <is>
          <t>Inclusión social y productiva para la población en situación de vulnerabilidad</t>
        </is>
      </c>
      <c r="F33" t="inlineStr">
        <is>
          <t>4103025</t>
        </is>
      </c>
      <c r="G33" t="inlineStr">
        <is>
          <t>Centros comunitarios construidos</t>
        </is>
      </c>
      <c r="H33" t="inlineStr">
        <is>
          <t xml:space="preserve">Construcción de infraestructura dispuesta a la comunidad para que pueda desarrollar actividades culturales, sociales y de formación. </t>
        </is>
      </c>
      <c r="I33" t="inlineStr">
        <is>
          <t>2024252000016</t>
        </is>
      </c>
      <c r="J33" s="99">
        <v>1760000000</v>
      </c>
      <c r="K33" s="99">
        <v>1530000000</v>
      </c>
      <c r="L33" s="99">
        <v>180000000</v>
      </c>
      <c r="M33" s="99">
        <v>50000000</v>
      </c>
      <c r="N33" s="99">
        <v>0</v>
      </c>
      <c r="O33" s="99">
        <v>230000000</v>
      </c>
      <c r="P33" s="99">
        <v>230000000</v>
      </c>
      <c r="Q33" s="99">
        <v>230000000</v>
      </c>
      <c r="R33" s="100">
        <v>0.150326797385621</v>
      </c>
      <c r="S33" t="inlineStr">
        <is>
          <t>Lo obligado está por debajo de lo programado en la vigencia</t>
        </is>
      </c>
      <c r="T33" s="101" t="inlineStr">
        <is>
          <t xml:space="preserve"> </t>
        </is>
      </c>
      <c r="U33" s="101" t="inlineStr">
        <is>
          <t xml:space="preserve"> </t>
        </is>
      </c>
      <c r="V33" s="101" t="inlineStr">
        <is>
          <t xml:space="preserve"> </t>
        </is>
      </c>
      <c r="W33" s="102" t="inlineStr">
        <is>
          <t xml:space="preserve"> </t>
        </is>
      </c>
      <c r="X33" t="inlineStr">
        <is>
          <t>No se encontró ejecución en CUIPO</t>
        </is>
      </c>
    </row>
    <row r="34">
      <c r="A34" t="inlineStr">
        <is>
          <t>IP-42, IP-43, IP-44</t>
        </is>
      </c>
      <c r="B34" t="inlineStr">
        <is>
          <t>41</t>
        </is>
      </c>
      <c r="C34" t="inlineStr">
        <is>
          <t xml:space="preserve">Inclusión social y reconciliación </t>
        </is>
      </c>
      <c r="D34" t="inlineStr">
        <is>
          <t>4104</t>
        </is>
      </c>
      <c r="E34" t="inlineStr">
        <is>
          <t>Atención integral de población en situación permanente de desprotección social y/o familiar</t>
        </is>
      </c>
      <c r="F34" t="inlineStr">
        <is>
          <t>4104015</t>
        </is>
      </c>
      <c r="G34" t="inlineStr">
        <is>
          <t>Centros de protección social de día para el adulto mayor construidos y dotados</t>
        </is>
      </c>
      <c r="H34" t="inlineStr">
        <is>
          <t>Corresponde a la construcción y dotación de infraestructura destinada a brindar servicios diurnos para el cuidado, bienestar integral y asistencia social de los adultos mayores en condicionesde descuido, abandono o víctimas de violencia intrafamiliar.</t>
        </is>
      </c>
      <c r="I34" t="inlineStr">
        <is>
          <t>2024252000017</t>
        </is>
      </c>
      <c r="J34" s="99">
        <v>439259620.045</v>
      </c>
      <c r="K34" s="99">
        <v>321285230</v>
      </c>
      <c r="L34" s="99">
        <v>42354457</v>
      </c>
      <c r="M34" s="99">
        <v>38680980</v>
      </c>
      <c r="N34" s="99">
        <v>36938953.045</v>
      </c>
      <c r="O34" s="99">
        <v>314365646</v>
      </c>
      <c r="P34" s="99">
        <v>291855850</v>
      </c>
      <c r="Q34" s="99">
        <v>291855850</v>
      </c>
      <c r="R34" s="100">
        <v>0.908401080248849</v>
      </c>
      <c r="S34" t="inlineStr">
        <is>
          <t>Lo obligado está por debajo de lo programado en la vigencia</t>
        </is>
      </c>
      <c r="T34" s="101">
        <v>703604693</v>
      </c>
      <c r="U34" s="101">
        <v>318332205</v>
      </c>
      <c r="V34" s="101">
        <v>318332205</v>
      </c>
      <c r="W34" s="102">
        <v>7.51590806606256</v>
      </c>
      <c r="X34" t="inlineStr">
        <is>
          <t>Hubo ejecución por encima de lo programado en SisPT</t>
        </is>
      </c>
    </row>
    <row r="35">
      <c r="A35" t="inlineStr">
        <is>
          <t>IP-45</t>
        </is>
      </c>
      <c r="B35" t="inlineStr">
        <is>
          <t>41</t>
        </is>
      </c>
      <c r="C35" t="inlineStr">
        <is>
          <t xml:space="preserve">Inclusión social y reconciliación </t>
        </is>
      </c>
      <c r="D35" t="inlineStr">
        <is>
          <t>4104</t>
        </is>
      </c>
      <c r="E35" t="inlineStr">
        <is>
          <t>Atención integral de población en situación permanente de desprotección social y/o familiar</t>
        </is>
      </c>
      <c r="F35" t="inlineStr">
        <is>
          <t>4104013</t>
        </is>
      </c>
      <c r="G35" t="inlineStr">
        <is>
          <t>Centros de protección social de día para el adulto mayor construidos</t>
        </is>
      </c>
      <c r="H35" t="inlineStr">
        <is>
          <t>Corresponde a la construcción de infraestructura destinada a brindar servicios diurnos para el cuidado, bienestar integral y asistencia social de los adultos mayores en condicionesde descuido, abandono o víctimas de violencia intrafamiliar.</t>
        </is>
      </c>
      <c r="I35" t="inlineStr">
        <is>
          <t>2024252000017</t>
        </is>
      </c>
      <c r="J35" s="99">
        <v>3400000000</v>
      </c>
      <c r="K35" s="99">
        <v>0</v>
      </c>
      <c r="L35" s="99">
        <v>3000000000</v>
      </c>
      <c r="M35" s="99">
        <v>400000000</v>
      </c>
      <c r="N35" s="99">
        <v>0</v>
      </c>
      <c r="O35" s="99" t="inlineStr">
        <is>
          <t xml:space="preserve"> </t>
        </is>
      </c>
      <c r="P35" s="99" t="inlineStr">
        <is>
          <t xml:space="preserve"> </t>
        </is>
      </c>
      <c r="Q35" s="99" t="inlineStr">
        <is>
          <t xml:space="preserve"> </t>
        </is>
      </c>
      <c r="R35" s="100" t="inlineStr">
        <is>
          <t xml:space="preserve"> </t>
        </is>
      </c>
      <c r="S35" t="inlineStr">
        <is>
          <t>No se encontró ejecución en CUIPO</t>
        </is>
      </c>
      <c r="T35" s="101" t="inlineStr">
        <is>
          <t xml:space="preserve"> </t>
        </is>
      </c>
      <c r="U35" s="101" t="inlineStr">
        <is>
          <t xml:space="preserve"> </t>
        </is>
      </c>
      <c r="V35" s="101" t="inlineStr">
        <is>
          <t xml:space="preserve"> </t>
        </is>
      </c>
      <c r="W35" s="102" t="inlineStr">
        <is>
          <t xml:space="preserve"> </t>
        </is>
      </c>
      <c r="X35" t="inlineStr">
        <is>
          <t>No se encontró ejecución en CUIPO</t>
        </is>
      </c>
    </row>
    <row r="36">
      <c r="A36" t="inlineStr">
        <is>
          <t>IP-46, IP-51</t>
        </is>
      </c>
      <c r="B36" t="inlineStr">
        <is>
          <t>41</t>
        </is>
      </c>
      <c r="C36" t="inlineStr">
        <is>
          <t xml:space="preserve">Inclusión social y reconciliación </t>
        </is>
      </c>
      <c r="D36" t="inlineStr">
        <is>
          <t>4102</t>
        </is>
      </c>
      <c r="E36" t="inlineStr">
        <is>
          <t>Desarrollo integral de la primera infancia a la juventud, y fortalecimiento de las capacidades de las familias de niñas, niños y adolescentes</t>
        </is>
      </c>
      <c r="F36" t="inlineStr">
        <is>
          <t>4102001</t>
        </is>
      </c>
      <c r="G36" t="inlineStr">
        <is>
          <t>Servicio de atención integral a la primera infancia</t>
        </is>
      </c>
      <c r="H36" t="inlineStr">
        <is>
          <t xml:space="preserve">
Servicio dispuestos para atender a los niños y niñas en primera infancia, con el fin de promover su desarrollo integral a través de la atención en educación inicial, cuidado calificado, salud, nutrición, protección y acompañamiento familiar.
</t>
        </is>
      </c>
      <c r="I36" t="inlineStr">
        <is>
          <t>2024252000018</t>
        </is>
      </c>
      <c r="J36" s="99">
        <v>505218824.988</v>
      </c>
      <c r="K36" s="99">
        <v>116976626</v>
      </c>
      <c r="L36" s="99">
        <v>123761270.308</v>
      </c>
      <c r="M36" s="99">
        <v>129330527.4719</v>
      </c>
      <c r="N36" s="99">
        <v>135150401.2081</v>
      </c>
      <c r="O36" s="99">
        <v>52726053</v>
      </c>
      <c r="P36" s="99">
        <v>52726053</v>
      </c>
      <c r="Q36" s="99">
        <v>52726053</v>
      </c>
      <c r="R36" s="100">
        <v>0.450740073491263</v>
      </c>
      <c r="S36" t="inlineStr">
        <is>
          <t>Lo obligado está por debajo de lo programado en la vigencia</t>
        </is>
      </c>
      <c r="T36" s="101">
        <v>105376196</v>
      </c>
      <c r="U36" s="101">
        <v>76418996</v>
      </c>
      <c r="V36" s="101">
        <v>76418996</v>
      </c>
      <c r="W36" s="102">
        <v>0.617471005346171</v>
      </c>
      <c r="X36" t="inlineStr">
        <is>
          <t>Lo obligado está por debajo de lo programado en la vigencia</t>
        </is>
      </c>
    </row>
    <row r="37">
      <c r="A37" t="inlineStr">
        <is>
          <t>IP-47</t>
        </is>
      </c>
      <c r="B37" t="inlineStr">
        <is>
          <t>41</t>
        </is>
      </c>
      <c r="C37" t="inlineStr">
        <is>
          <t xml:space="preserve">Inclusión social y reconciliación </t>
        </is>
      </c>
      <c r="D37" t="inlineStr">
        <is>
          <t>4102</t>
        </is>
      </c>
      <c r="E37" t="inlineStr">
        <is>
          <t>Desarrollo integral de la primera infancia a la juventud, y fortalecimiento de las capacidades de las familias de niñas, niños y adolescentes</t>
        </is>
      </c>
      <c r="F37" t="inlineStr">
        <is>
          <t>4102046</t>
        </is>
      </c>
      <c r="G37" t="inlineStr">
        <is>
          <t>Servicios de promoción de los derechos de los niños, niñas, adolescentes y jóvenes</t>
        </is>
      </c>
      <c r="H37" t="inlineStr">
        <is>
          <t>Estrategias mediante las cuales se difunde, motiva y sensibiliza a la sociedad en general acerca de la información de promoción y prevención de los derechos de los niños, niñas, adolescentes y jóvenes y se dan a conocer los mecanismos para su restablecimiento.  Incluye las acciones que se realizan para el intercambio de experiencias, con los agentes del Sistema Nacional de Bienestar Familiar.</t>
        </is>
      </c>
      <c r="I37" t="inlineStr">
        <is>
          <t>2024252000018</t>
        </is>
      </c>
      <c r="J37" s="99">
        <v>43189724.5</v>
      </c>
      <c r="K37" s="99">
        <v>10000000</v>
      </c>
      <c r="L37" s="99">
        <v>10580000</v>
      </c>
      <c r="M37" s="99">
        <v>11056100</v>
      </c>
      <c r="N37" s="99">
        <v>11553624.5</v>
      </c>
      <c r="O37" s="99">
        <v>6533333</v>
      </c>
      <c r="P37" s="99">
        <v>6533333</v>
      </c>
      <c r="Q37" s="99">
        <v>6533333</v>
      </c>
      <c r="R37" s="100">
        <v>0.6533333</v>
      </c>
      <c r="S37" t="inlineStr">
        <is>
          <t>Lo obligado está por debajo de lo programado en la vigencia</t>
        </is>
      </c>
      <c r="T37" s="101">
        <v>36907000</v>
      </c>
      <c r="U37" s="101">
        <v>8632000</v>
      </c>
      <c r="V37" s="101">
        <v>8632000</v>
      </c>
      <c r="W37" s="102">
        <v>0.815879017013233</v>
      </c>
      <c r="X37" t="inlineStr">
        <is>
          <t>Lo obligado está por debajo de lo programado en la vigencia</t>
        </is>
      </c>
    </row>
    <row r="38">
      <c r="A38" t="inlineStr">
        <is>
          <t>IP-48</t>
        </is>
      </c>
      <c r="B38" t="inlineStr">
        <is>
          <t>41</t>
        </is>
      </c>
      <c r="C38" t="inlineStr">
        <is>
          <t xml:space="preserve">Inclusión social y reconciliación </t>
        </is>
      </c>
      <c r="D38" t="inlineStr">
        <is>
          <t>4102</t>
        </is>
      </c>
      <c r="E38" t="inlineStr">
        <is>
          <t>Desarrollo integral de la primera infancia a la juventud, y fortalecimiento de las capacidades de las familias de niñas, niños y adolescentes</t>
        </is>
      </c>
      <c r="F38" t="inlineStr">
        <is>
          <t>4102009</t>
        </is>
      </c>
      <c r="G38" t="inlineStr">
        <is>
          <t>Edificaciones de atención a la primera infancia modificadas</t>
        </is>
      </c>
      <c r="H38" t="inlineStr">
        <is>
          <t xml:space="preserve">Modificación de infraestructuras dirigidas  específicamente  a prestar Servicio de atención integral a la primera infancia.  </t>
        </is>
      </c>
      <c r="I38" t="inlineStr">
        <is>
          <t>2024252000018</t>
        </is>
      </c>
      <c r="J38" s="99">
        <v>203381908.5</v>
      </c>
      <c r="K38" s="99">
        <v>103812735</v>
      </c>
      <c r="L38" s="99">
        <v>31740000</v>
      </c>
      <c r="M38" s="99">
        <v>33168300</v>
      </c>
      <c r="N38" s="99">
        <v>34660873.5</v>
      </c>
      <c r="O38" s="99" t="inlineStr">
        <is>
          <t xml:space="preserve"> </t>
        </is>
      </c>
      <c r="P38" s="99" t="inlineStr">
        <is>
          <t xml:space="preserve"> </t>
        </is>
      </c>
      <c r="Q38" s="99" t="inlineStr">
        <is>
          <t xml:space="preserve"> </t>
        </is>
      </c>
      <c r="R38" s="100" t="inlineStr">
        <is>
          <t xml:space="preserve"> </t>
        </is>
      </c>
      <c r="S38" t="inlineStr">
        <is>
          <t>No se encontró ejecución en CUIPO</t>
        </is>
      </c>
      <c r="T38" s="101">
        <v>192898276</v>
      </c>
      <c r="U38" s="101">
        <v>123253833</v>
      </c>
      <c r="V38" s="101">
        <v>123253833</v>
      </c>
      <c r="W38" s="102">
        <v>3.88323355387524</v>
      </c>
      <c r="X38" t="inlineStr">
        <is>
          <t>Hubo ejecución por encima de lo programado en SisPT</t>
        </is>
      </c>
    </row>
    <row r="39">
      <c r="A39" t="inlineStr">
        <is>
          <t>IP-49</t>
        </is>
      </c>
      <c r="B39" t="inlineStr">
        <is>
          <t>41</t>
        </is>
      </c>
      <c r="C39" t="inlineStr">
        <is>
          <t xml:space="preserve">Inclusión social y reconciliación </t>
        </is>
      </c>
      <c r="D39" t="inlineStr">
        <is>
          <t>4102</t>
        </is>
      </c>
      <c r="E39" t="inlineStr">
        <is>
          <t>Desarrollo integral de la primera infancia a la juventud, y fortalecimiento de las capacidades de las familias de niñas, niños y adolescentes</t>
        </is>
      </c>
      <c r="F39" t="inlineStr">
        <is>
          <t>4102003</t>
        </is>
      </c>
      <c r="G39" t="inlineStr">
        <is>
          <t>Servicio de educación informal a los agentes educativos</t>
        </is>
      </c>
      <c r="H39" t="inlineStr">
        <is>
          <t>Servicio dirigidos a fortalecer las habilidades y competencias de los agentes educativos para brindar atención integral a la primera infancia.</t>
        </is>
      </c>
      <c r="I39" t="inlineStr">
        <is>
          <t>2024252000018</t>
        </is>
      </c>
      <c r="J39" s="99">
        <v>43189724.5</v>
      </c>
      <c r="K39" s="99">
        <v>10000000</v>
      </c>
      <c r="L39" s="99">
        <v>10580000</v>
      </c>
      <c r="M39" s="99">
        <v>11056100</v>
      </c>
      <c r="N39" s="99">
        <v>11553624.5</v>
      </c>
      <c r="O39" s="99">
        <v>5167306</v>
      </c>
      <c r="P39" s="99">
        <v>5167306</v>
      </c>
      <c r="Q39" s="99">
        <v>5167306</v>
      </c>
      <c r="R39" s="100">
        <v>0.5167306</v>
      </c>
      <c r="S39" t="inlineStr">
        <is>
          <t>Lo obligado está por debajo de lo programado en la vigencia</t>
        </is>
      </c>
      <c r="T39" s="101">
        <v>12775000</v>
      </c>
      <c r="U39" s="101">
        <v>9100000</v>
      </c>
      <c r="V39" s="101">
        <v>9100000</v>
      </c>
      <c r="W39" s="102">
        <v>0.860113421550095</v>
      </c>
      <c r="X39" t="inlineStr">
        <is>
          <t>Lo obligado está por debajo de lo programado en la vigencia</t>
        </is>
      </c>
    </row>
    <row r="40">
      <c r="A40" t="inlineStr">
        <is>
          <t>IP-50</t>
        </is>
      </c>
      <c r="B40" t="inlineStr">
        <is>
          <t>41</t>
        </is>
      </c>
      <c r="C40" t="inlineStr">
        <is>
          <t xml:space="preserve">Inclusión social y reconciliación </t>
        </is>
      </c>
      <c r="D40" t="inlineStr">
        <is>
          <t>4102</t>
        </is>
      </c>
      <c r="E40" t="inlineStr">
        <is>
          <t>Desarrollo integral de la primera infancia a la juventud, y fortalecimiento de las capacidades de las familias de niñas, niños y adolescentes</t>
        </is>
      </c>
      <c r="F40" t="inlineStr">
        <is>
          <t>4102038</t>
        </is>
      </c>
      <c r="G40" t="inlineStr">
        <is>
          <t>Servicio dirigidos a la atención de niños, niñas, adolescentes y jóvenes, con enfoque pedagógico y restaurativo encaminados a la inclusión social</t>
        </is>
      </c>
      <c r="H40" t="inlineStr">
        <is>
          <t>Servicio dirigidos a la atención de niños, niñas, adolescentes y jóvenes, con enfoque pedagógico y restaurativo encaminados a la inclusión social.</t>
        </is>
      </c>
      <c r="I40" t="inlineStr">
        <is>
          <t>2024252000018</t>
        </is>
      </c>
      <c r="J40" s="99">
        <v>43189724.5</v>
      </c>
      <c r="K40" s="99">
        <v>10000000</v>
      </c>
      <c r="L40" s="99">
        <v>10580000</v>
      </c>
      <c r="M40" s="99">
        <v>11056100</v>
      </c>
      <c r="N40" s="99">
        <v>11553624.5</v>
      </c>
      <c r="O40" s="99">
        <v>2100000</v>
      </c>
      <c r="P40" s="99">
        <v>2100000</v>
      </c>
      <c r="Q40" s="99">
        <v>2100000</v>
      </c>
      <c r="R40" s="100">
        <v>0.21</v>
      </c>
      <c r="S40" t="inlineStr">
        <is>
          <t>Lo obligado está por debajo de lo programado en la vigencia</t>
        </is>
      </c>
      <c r="T40" s="101">
        <v>5000000</v>
      </c>
      <c r="U40" s="101">
        <v>5000000</v>
      </c>
      <c r="V40" s="101">
        <v>5000000</v>
      </c>
      <c r="W40" s="102">
        <v>0.472589792060492</v>
      </c>
      <c r="X40" t="inlineStr">
        <is>
          <t>Lo obligado está por debajo de lo programado en la vigencia</t>
        </is>
      </c>
    </row>
    <row r="41">
      <c r="A41" t="inlineStr">
        <is>
          <t>IP-53, IP-54, IP-55</t>
        </is>
      </c>
      <c r="B41" t="inlineStr">
        <is>
          <t>41</t>
        </is>
      </c>
      <c r="C41" t="inlineStr">
        <is>
          <t xml:space="preserve">Inclusión social y reconciliación </t>
        </is>
      </c>
      <c r="D41" t="inlineStr">
        <is>
          <t>4103</t>
        </is>
      </c>
      <c r="E41" t="inlineStr">
        <is>
          <t>Inclusión social y productiva para la población en situación de vulnerabilidad</t>
        </is>
      </c>
      <c r="F41" t="inlineStr">
        <is>
          <t>4103052</t>
        </is>
      </c>
      <c r="G41" t="inlineStr">
        <is>
          <t>Servicio de gestión de oferta social para la población vulnerable</t>
        </is>
      </c>
      <c r="H41" t="inlineStr">
        <is>
          <t>Incluye el desarrollo de acciones encaminadas a generar dinámicas de atención conjunta, articulada y eficiente entre las instituciones del estado hacia la población vulnerable.</t>
        </is>
      </c>
      <c r="I41" t="inlineStr">
        <is>
          <t>2024252000019</t>
        </is>
      </c>
      <c r="J41" s="99">
        <v>325834760.25</v>
      </c>
      <c r="K41" s="99">
        <v>51000000</v>
      </c>
      <c r="L41" s="99">
        <v>87610000</v>
      </c>
      <c r="M41" s="99">
        <v>91552450</v>
      </c>
      <c r="N41" s="99">
        <v>95672310.25</v>
      </c>
      <c r="O41" s="99">
        <v>6300000</v>
      </c>
      <c r="P41" s="99">
        <v>6300000</v>
      </c>
      <c r="Q41" s="99">
        <v>6300000</v>
      </c>
      <c r="R41" s="100">
        <v>0.123529411764706</v>
      </c>
      <c r="S41" t="inlineStr">
        <is>
          <t>Lo obligado está por debajo de lo programado en la vigencia</t>
        </is>
      </c>
      <c r="T41" s="101">
        <v>307487780</v>
      </c>
      <c r="U41" s="101">
        <v>184848636</v>
      </c>
      <c r="V41" s="101">
        <v>184848636</v>
      </c>
      <c r="W41" s="102">
        <v>2.10990339002397</v>
      </c>
      <c r="X41" t="inlineStr">
        <is>
          <t>Hubo ejecución por encima de lo programado en SisPT</t>
        </is>
      </c>
    </row>
    <row r="42">
      <c r="A42" t="inlineStr">
        <is>
          <t>IP-56, IP-58</t>
        </is>
      </c>
      <c r="B42" t="inlineStr">
        <is>
          <t>45</t>
        </is>
      </c>
      <c r="C42" t="inlineStr">
        <is>
          <t>Gobierno Territorial</t>
        </is>
      </c>
      <c r="D42" t="inlineStr">
        <is>
          <t>4501</t>
        </is>
      </c>
      <c r="E42" t="inlineStr">
        <is>
          <t>Fortalecimiento de la convivencia y la seguridad ciudadana</t>
        </is>
      </c>
      <c r="F42" t="inlineStr">
        <is>
          <t>4501007</t>
        </is>
      </c>
      <c r="G42" t="inlineStr">
        <is>
          <t>Servicio información implementado</t>
        </is>
      </c>
      <c r="H42" t="inlineStr">
        <is>
          <t>Diseño e implementación de las Tics orientadas a atender las necesidades de las dependencias de la entidad en Sistemas de Información, infraestructura computacional, y  redes, que apoyen los proceso de toma de decisiones y la accesibilidad a la ciudadanía.</t>
        </is>
      </c>
      <c r="I42" t="inlineStr">
        <is>
          <t>2024252000020</t>
        </is>
      </c>
      <c r="J42" s="99">
        <v>1005704424.6</v>
      </c>
      <c r="K42" s="99">
        <v>195000000</v>
      </c>
      <c r="L42" s="99">
        <v>255150000</v>
      </c>
      <c r="M42" s="99">
        <v>269948700</v>
      </c>
      <c r="N42" s="99">
        <v>285605724.6</v>
      </c>
      <c r="O42" s="99">
        <v>59900078</v>
      </c>
      <c r="P42" s="99">
        <v>59900078</v>
      </c>
      <c r="Q42" s="99">
        <v>59900078</v>
      </c>
      <c r="R42" s="100">
        <v>0.307179887179487</v>
      </c>
      <c r="S42" t="inlineStr">
        <is>
          <t>Lo obligado está por debajo de lo programado en la vigencia</t>
        </is>
      </c>
      <c r="T42" s="101" t="inlineStr">
        <is>
          <t xml:space="preserve"> </t>
        </is>
      </c>
      <c r="U42" s="101" t="inlineStr">
        <is>
          <t xml:space="preserve"> </t>
        </is>
      </c>
      <c r="V42" s="101" t="inlineStr">
        <is>
          <t xml:space="preserve"> </t>
        </is>
      </c>
      <c r="W42" s="102" t="inlineStr">
        <is>
          <t xml:space="preserve"> </t>
        </is>
      </c>
      <c r="X42" t="inlineStr">
        <is>
          <t>No se encontró ejecución en CUIPO</t>
        </is>
      </c>
    </row>
    <row r="43">
      <c r="A43" t="inlineStr">
        <is>
          <t>IP-57, IP-59</t>
        </is>
      </c>
      <c r="B43" t="inlineStr">
        <is>
          <t>45</t>
        </is>
      </c>
      <c r="C43" t="inlineStr">
        <is>
          <t>Gobierno Territorial</t>
        </is>
      </c>
      <c r="D43" t="inlineStr">
        <is>
          <t>4501</t>
        </is>
      </c>
      <c r="E43" t="inlineStr">
        <is>
          <t>Fortalecimiento de la convivencia y la seguridad ciudadana</t>
        </is>
      </c>
      <c r="F43" t="inlineStr">
        <is>
          <t>4501004</t>
        </is>
      </c>
      <c r="G43" t="inlineStr">
        <is>
          <t>Servicio de promoción de convivencia y no repetición</t>
        </is>
      </c>
      <c r="H43" t="inlineStr">
        <is>
          <t>Incluye acciones e iniciativas de carácter institucional e interinstitucional que promuevan la desactivación de los patrones del conflicto armado interno, la construcción de la cultura de respeto y tolerancia en democracia, en perspectiva de crear y mejorar las condiciones de convivencia y de no repetición en los territorios.</t>
        </is>
      </c>
      <c r="I43" t="inlineStr">
        <is>
          <t>2024252000020</t>
        </is>
      </c>
      <c r="J43" s="99">
        <v>617587581.1117</v>
      </c>
      <c r="K43" s="99">
        <v>178589899.67</v>
      </c>
      <c r="L43" s="99">
        <v>138164113.8509</v>
      </c>
      <c r="M43" s="99">
        <v>146177632.4542</v>
      </c>
      <c r="N43" s="99">
        <v>154655935.1366</v>
      </c>
      <c r="O43" s="99">
        <v>14794080</v>
      </c>
      <c r="P43" s="99">
        <v>14794080</v>
      </c>
      <c r="Q43" s="99">
        <v>9996000</v>
      </c>
      <c r="R43" s="100">
        <v>0.082838279361468</v>
      </c>
      <c r="S43" t="inlineStr">
        <is>
          <t>Lo obligado está por debajo de lo programado en la vigencia</t>
        </is>
      </c>
      <c r="T43" s="101">
        <v>322455154</v>
      </c>
      <c r="U43" s="101">
        <v>205580826</v>
      </c>
      <c r="V43" s="101">
        <v>205580826</v>
      </c>
      <c r="W43" s="102">
        <v>1.48794661848194</v>
      </c>
      <c r="X43" t="inlineStr">
        <is>
          <t>Hubo ejecución por encima de lo programado en SisPT</t>
        </is>
      </c>
    </row>
    <row r="44">
      <c r="A44" t="inlineStr">
        <is>
          <t>IP-60</t>
        </is>
      </c>
      <c r="B44" t="inlineStr">
        <is>
          <t>12</t>
        </is>
      </c>
      <c r="C44" t="inlineStr">
        <is>
          <t>Justicia y del derecho</t>
        </is>
      </c>
      <c r="D44" t="inlineStr">
        <is>
          <t>1206</t>
        </is>
      </c>
      <c r="E44" t="inlineStr">
        <is>
          <t>Sistema penitenciario y carcelario en el marco de los derechos humanos</t>
        </is>
      </c>
      <c r="F44" t="inlineStr">
        <is>
          <t>1206004</t>
        </is>
      </c>
      <c r="G44" t="inlineStr">
        <is>
          <t>Servicio de vigilancia carcelaria y penitenciaria</t>
        </is>
      </c>
      <c r="H44" t="inlineStr">
        <is>
          <t>Corresponde a la vigilancia que se presta en los establecimientos de reclusión</t>
        </is>
      </c>
      <c r="I44" t="inlineStr">
        <is>
          <t>2024252000021</t>
        </is>
      </c>
      <c r="J44" s="99">
        <v>141207740</v>
      </c>
      <c r="K44" s="99">
        <v>30000000</v>
      </c>
      <c r="L44" s="99">
        <v>35000000</v>
      </c>
      <c r="M44" s="99">
        <v>37030000</v>
      </c>
      <c r="N44" s="99">
        <v>39177740</v>
      </c>
      <c r="O44" s="99" t="inlineStr">
        <is>
          <t xml:space="preserve"> </t>
        </is>
      </c>
      <c r="P44" s="99" t="inlineStr">
        <is>
          <t xml:space="preserve"> </t>
        </is>
      </c>
      <c r="Q44" s="99" t="inlineStr">
        <is>
          <t xml:space="preserve"> </t>
        </is>
      </c>
      <c r="R44" s="100" t="inlineStr">
        <is>
          <t xml:space="preserve"> </t>
        </is>
      </c>
      <c r="S44" t="inlineStr">
        <is>
          <t>No se encontró ejecución en CUIPO</t>
        </is>
      </c>
      <c r="T44" s="101">
        <v>12000000</v>
      </c>
      <c r="U44" s="101">
        <v>12000000</v>
      </c>
      <c r="V44" s="101">
        <v>12000000</v>
      </c>
      <c r="W44" s="102">
        <v>0.342857142857143</v>
      </c>
      <c r="X44" t="inlineStr">
        <is>
          <t>Lo obligado está por debajo de lo programado en la vigencia</t>
        </is>
      </c>
    </row>
    <row r="45">
      <c r="A45" t="inlineStr">
        <is>
          <t>IP-61</t>
        </is>
      </c>
      <c r="B45" t="inlineStr">
        <is>
          <t>12</t>
        </is>
      </c>
      <c r="C45" t="inlineStr">
        <is>
          <t>Justicia y del derecho</t>
        </is>
      </c>
      <c r="D45" t="inlineStr">
        <is>
          <t>1202</t>
        </is>
      </c>
      <c r="E45" t="inlineStr">
        <is>
          <t>Promoción al acceso a la justicia</t>
        </is>
      </c>
      <c r="F45" t="inlineStr">
        <is>
          <t>1202019</t>
        </is>
      </c>
      <c r="G45" t="inlineStr">
        <is>
          <t>Servicio de promoción del acceso a la justicia</t>
        </is>
      </c>
      <c r="H45" t="inlineStr">
        <is>
          <t>Comprende el desarrollo de estrategias para la promoción del acceso a la justicia </t>
        </is>
      </c>
      <c r="I45" t="inlineStr">
        <is>
          <t>2024252000022</t>
        </is>
      </c>
      <c r="J45" s="99">
        <v>113402928.912</v>
      </c>
      <c r="K45" s="99">
        <v>26000000</v>
      </c>
      <c r="L45" s="99">
        <v>27508000</v>
      </c>
      <c r="M45" s="99">
        <v>29103464</v>
      </c>
      <c r="N45" s="99">
        <v>30791464.912</v>
      </c>
      <c r="O45" s="99" t="inlineStr">
        <is>
          <t xml:space="preserve"> </t>
        </is>
      </c>
      <c r="P45" s="99" t="inlineStr">
        <is>
          <t xml:space="preserve"> </t>
        </is>
      </c>
      <c r="Q45" s="99" t="inlineStr">
        <is>
          <t xml:space="preserve"> </t>
        </is>
      </c>
      <c r="R45" s="100" t="inlineStr">
        <is>
          <t xml:space="preserve"> </t>
        </is>
      </c>
      <c r="S45" t="inlineStr">
        <is>
          <t>No se encontró ejecución en CUIPO</t>
        </is>
      </c>
      <c r="T45" s="101">
        <v>27820000</v>
      </c>
      <c r="U45" s="101">
        <v>27820000</v>
      </c>
      <c r="V45" s="101">
        <v>27820000</v>
      </c>
      <c r="W45" s="102">
        <v>1.01134215500945</v>
      </c>
      <c r="X45" t="inlineStr">
        <is>
          <t>Hubo ejecución por encima de lo programado en SisPT</t>
        </is>
      </c>
    </row>
    <row r="46">
      <c r="A46" t="inlineStr">
        <is>
          <t>IP-62</t>
        </is>
      </c>
      <c r="B46" t="inlineStr">
        <is>
          <t>12</t>
        </is>
      </c>
      <c r="C46" t="inlineStr">
        <is>
          <t>Justicia y del derecho</t>
        </is>
      </c>
      <c r="D46" t="inlineStr">
        <is>
          <t>1202</t>
        </is>
      </c>
      <c r="E46" t="inlineStr">
        <is>
          <t>Promoción al acceso a la justicia</t>
        </is>
      </c>
      <c r="F46" t="inlineStr">
        <is>
          <t>1202011</t>
        </is>
      </c>
      <c r="G46" t="inlineStr">
        <is>
          <t>Documentos normativos</t>
        </is>
      </c>
      <c r="H46" t="inlineStr">
        <is>
          <t>Documentos con contenidos a nivel normativo y regulatorio en relación al sistema de administración de justicia.</t>
        </is>
      </c>
      <c r="I46" t="inlineStr">
        <is>
          <t>2024252000022</t>
        </is>
      </c>
      <c r="J46" s="99">
        <v>69786417.792</v>
      </c>
      <c r="K46" s="99">
        <v>16000000</v>
      </c>
      <c r="L46" s="99">
        <v>16928000</v>
      </c>
      <c r="M46" s="99">
        <v>17909824</v>
      </c>
      <c r="N46" s="99">
        <v>18948593.792</v>
      </c>
      <c r="O46" s="99" t="inlineStr">
        <is>
          <t xml:space="preserve"> </t>
        </is>
      </c>
      <c r="P46" s="99" t="inlineStr">
        <is>
          <t xml:space="preserve"> </t>
        </is>
      </c>
      <c r="Q46" s="99" t="inlineStr">
        <is>
          <t xml:space="preserve"> </t>
        </is>
      </c>
      <c r="R46" s="100" t="inlineStr">
        <is>
          <t xml:space="preserve"> </t>
        </is>
      </c>
      <c r="S46" t="inlineStr">
        <is>
          <t>No se encontró ejecución en CUIPO</t>
        </is>
      </c>
      <c r="T46" s="101">
        <v>17120000</v>
      </c>
      <c r="U46" s="101">
        <v>15826800</v>
      </c>
      <c r="V46" s="101">
        <v>15826800</v>
      </c>
      <c r="W46" s="102">
        <v>0.934948015122873</v>
      </c>
      <c r="X46" t="inlineStr">
        <is>
          <t>Lo obligado está por debajo de lo programado en la vigencia</t>
        </is>
      </c>
    </row>
    <row r="47">
      <c r="A47" t="inlineStr">
        <is>
          <t>IP-63</t>
        </is>
      </c>
      <c r="B47" t="inlineStr">
        <is>
          <t>45</t>
        </is>
      </c>
      <c r="C47" t="inlineStr">
        <is>
          <t>Gobierno Territorial</t>
        </is>
      </c>
      <c r="D47" t="inlineStr">
        <is>
          <t>4501</t>
        </is>
      </c>
      <c r="E47" t="inlineStr">
        <is>
          <t>Fortalecimiento de la convivencia y la seguridad ciudadana</t>
        </is>
      </c>
      <c r="F47" t="inlineStr">
        <is>
          <t>4501018</t>
        </is>
      </c>
      <c r="G47" t="inlineStr">
        <is>
          <t>Comisarías de familia dotadas</t>
        </is>
      </c>
      <c r="H47" t="inlineStr">
        <is>
          <t xml:space="preserve">Incluye la dotación a la infraestructura construida. </t>
        </is>
      </c>
      <c r="I47" t="inlineStr">
        <is>
          <t>2024252000020</t>
        </is>
      </c>
      <c r="J47" s="99">
        <v>948958351</v>
      </c>
      <c r="K47" s="99">
        <v>174372431</v>
      </c>
      <c r="L47" s="99">
        <v>235400000</v>
      </c>
      <c r="M47" s="99">
        <v>257560000</v>
      </c>
      <c r="N47" s="99">
        <v>281625920</v>
      </c>
      <c r="O47" s="99">
        <v>129525595</v>
      </c>
      <c r="P47" s="99">
        <v>129525595</v>
      </c>
      <c r="Q47" s="99">
        <v>129525595</v>
      </c>
      <c r="R47" s="100">
        <v>0.742810054646769</v>
      </c>
      <c r="S47" t="inlineStr">
        <is>
          <t>Lo obligado está por debajo de lo programado en la vigencia</t>
        </is>
      </c>
      <c r="T47" s="101">
        <v>224605391</v>
      </c>
      <c r="U47" s="101">
        <v>212005391</v>
      </c>
      <c r="V47" s="101">
        <v>210190557</v>
      </c>
      <c r="W47" s="102">
        <v>0.900617633814783</v>
      </c>
      <c r="X47" t="inlineStr">
        <is>
          <t>Lo obligado está por debajo de lo programado en la vigencia</t>
        </is>
      </c>
    </row>
    <row r="48">
      <c r="A48" t="inlineStr">
        <is>
          <t>IP-64</t>
        </is>
      </c>
      <c r="B48" t="inlineStr">
        <is>
          <t>12</t>
        </is>
      </c>
      <c r="C48" t="inlineStr">
        <is>
          <t>Justicia y del derecho</t>
        </is>
      </c>
      <c r="D48" t="inlineStr">
        <is>
          <t>1202</t>
        </is>
      </c>
      <c r="E48" t="inlineStr">
        <is>
          <t>Promoción al acceso a la justicia</t>
        </is>
      </c>
      <c r="F48" t="inlineStr">
        <is>
          <t>1202005</t>
        </is>
      </c>
      <c r="G48" t="inlineStr">
        <is>
          <t>Servicio de asistencia técnica para la descentralización de los Servicio de justicia en los territorios</t>
        </is>
      </c>
      <c r="H48" t="inlineStr">
        <is>
          <t>Asesoría y acompañamiento a entidades territoriales para fortalecer la descentralización de los Servicio de justicia</t>
        </is>
      </c>
      <c r="I48" t="inlineStr">
        <is>
          <t>2024252000022</t>
        </is>
      </c>
      <c r="J48" s="99">
        <v>901222400</v>
      </c>
      <c r="K48" s="99">
        <v>200000000</v>
      </c>
      <c r="L48" s="99">
        <v>216000000</v>
      </c>
      <c r="M48" s="99">
        <v>233280000</v>
      </c>
      <c r="N48" s="99">
        <v>251942400</v>
      </c>
      <c r="O48" s="99" t="inlineStr">
        <is>
          <t xml:space="preserve"> </t>
        </is>
      </c>
      <c r="P48" s="99" t="inlineStr">
        <is>
          <t xml:space="preserve"> </t>
        </is>
      </c>
      <c r="Q48" s="99" t="inlineStr">
        <is>
          <t xml:space="preserve"> </t>
        </is>
      </c>
      <c r="R48" s="100" t="inlineStr">
        <is>
          <t xml:space="preserve"> </t>
        </is>
      </c>
      <c r="S48" t="inlineStr">
        <is>
          <t>No se encontró ejecución en CUIPO</t>
        </is>
      </c>
      <c r="T48" s="101">
        <v>85669918</v>
      </c>
      <c r="U48" s="101">
        <v>85669918</v>
      </c>
      <c r="V48" s="101">
        <v>81780584</v>
      </c>
      <c r="W48" s="102">
        <v>0.396619990740741</v>
      </c>
      <c r="X48" t="inlineStr">
        <is>
          <t>Lo obligado está por debajo de lo programado en la vigencia</t>
        </is>
      </c>
    </row>
    <row r="49">
      <c r="A49" t="inlineStr">
        <is>
          <t>IP-65, IP-66</t>
        </is>
      </c>
      <c r="B49" t="inlineStr">
        <is>
          <t>45</t>
        </is>
      </c>
      <c r="C49" t="inlineStr">
        <is>
          <t>Gobierno Territorial</t>
        </is>
      </c>
      <c r="D49" t="inlineStr">
        <is>
          <t>4502</t>
        </is>
      </c>
      <c r="E49" t="inlineStr">
        <is>
          <t>Fortalecimiento del buen gobierno para el respeto y garantía de los derechos humanos.</t>
        </is>
      </c>
      <c r="F49" t="inlineStr">
        <is>
          <t>4502001</t>
        </is>
      </c>
      <c r="G49" t="inlineStr">
        <is>
          <t>Servicio de promoción a la participación ciudadana</t>
        </is>
      </c>
      <c r="H49" t="inlineStr">
        <is>
          <t>Corresponde al diseño e implementación de acciones y estrategias que promuevan el ejercicio de la participación ciudadana para el respeto y garantía de los derechos humanos</t>
        </is>
      </c>
      <c r="I49" t="inlineStr">
        <is>
          <t>2024252000023</t>
        </is>
      </c>
      <c r="J49" s="99">
        <v>8000000</v>
      </c>
      <c r="K49" s="99">
        <v>2000000</v>
      </c>
      <c r="L49" s="99">
        <v>2000000</v>
      </c>
      <c r="M49" s="99">
        <v>2000000</v>
      </c>
      <c r="N49" s="99">
        <v>2000000</v>
      </c>
      <c r="O49" s="99">
        <v>189050670</v>
      </c>
      <c r="P49" s="99">
        <v>189050670</v>
      </c>
      <c r="Q49" s="99">
        <v>189050670</v>
      </c>
      <c r="R49" s="100">
        <v>94.525335</v>
      </c>
      <c r="S49" t="inlineStr">
        <is>
          <t>Hubo ejecución por encima de lo programado en SisPT</t>
        </is>
      </c>
      <c r="T49" s="101">
        <v>49428899</v>
      </c>
      <c r="U49" s="101">
        <v>20593700</v>
      </c>
      <c r="V49" s="101">
        <v>20593700</v>
      </c>
      <c r="W49" s="102">
        <v>10.29685</v>
      </c>
      <c r="X49" t="inlineStr">
        <is>
          <t>Hubo ejecución por encima de lo programado en SisPT</t>
        </is>
      </c>
    </row>
    <row r="50">
      <c r="A50" t="inlineStr">
        <is>
          <t>IP-67, IP-68, IP-69, IP-70, IP-71</t>
        </is>
      </c>
      <c r="B50" t="inlineStr">
        <is>
          <t>45</t>
        </is>
      </c>
      <c r="C50" t="inlineStr">
        <is>
          <t>Gobierno Territorial</t>
        </is>
      </c>
      <c r="D50" t="inlineStr">
        <is>
          <t>4502</t>
        </is>
      </c>
      <c r="E50" t="inlineStr">
        <is>
          <t>Fortalecimiento del buen gobierno para el respeto y garantía de los derechos humanos.</t>
        </is>
      </c>
      <c r="F50" t="inlineStr">
        <is>
          <t>4502001</t>
        </is>
      </c>
      <c r="G50" t="inlineStr">
        <is>
          <t>Servicio de promoción a la participación ciudadana</t>
        </is>
      </c>
      <c r="H50" t="inlineStr">
        <is>
          <t>Corresponde al diseño e implementación de acciones y estrategias que promuevan el ejercicio de la participación ciudadana para el respeto y garantía de los derechos humanos</t>
        </is>
      </c>
      <c r="I50" t="inlineStr">
        <is>
          <t>2024252000024</t>
        </is>
      </c>
      <c r="J50" s="99">
        <v>152000000</v>
      </c>
      <c r="K50" s="99">
        <v>38000000</v>
      </c>
      <c r="L50" s="99">
        <v>38000000</v>
      </c>
      <c r="M50" s="99">
        <v>38000000</v>
      </c>
      <c r="N50" s="99">
        <v>38000000</v>
      </c>
      <c r="O50" s="99">
        <v>17998294</v>
      </c>
      <c r="P50" s="99">
        <v>17998294</v>
      </c>
      <c r="Q50" s="99">
        <v>14998294</v>
      </c>
      <c r="R50" s="100">
        <v>0.473639315789474</v>
      </c>
      <c r="S50" t="inlineStr">
        <is>
          <t>Lo obligado está por debajo de lo programado en la vigencia</t>
        </is>
      </c>
      <c r="T50" s="101">
        <v>27000000</v>
      </c>
      <c r="U50" s="101">
        <v>10000000</v>
      </c>
      <c r="V50" s="101">
        <v>10000000</v>
      </c>
      <c r="W50" s="102">
        <v>0.263157894736842</v>
      </c>
      <c r="X50" t="inlineStr">
        <is>
          <t>Lo obligado está por debajo de lo programado en la vigencia</t>
        </is>
      </c>
    </row>
    <row r="51">
      <c r="A51" t="inlineStr">
        <is>
          <t>IP-72, IP-73</t>
        </is>
      </c>
      <c r="B51" t="inlineStr">
        <is>
          <t>24</t>
        </is>
      </c>
      <c r="C51" t="inlineStr">
        <is>
          <t>Transporte</t>
        </is>
      </c>
      <c r="D51" t="inlineStr">
        <is>
          <t>2409</t>
        </is>
      </c>
      <c r="E51" t="inlineStr">
        <is>
          <t>Seguridad de transporte</t>
        </is>
      </c>
      <c r="F51" t="inlineStr">
        <is>
          <t>2409014</t>
        </is>
      </c>
      <c r="G51" t="inlineStr">
        <is>
          <t>Documentos de planeación</t>
        </is>
      </c>
      <c r="H51"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51" t="inlineStr">
        <is>
          <t>2024252000026</t>
        </is>
      </c>
      <c r="J51" s="99">
        <v>290000000</v>
      </c>
      <c r="K51" s="99">
        <v>0</v>
      </c>
      <c r="L51" s="99">
        <v>130000000</v>
      </c>
      <c r="M51" s="99">
        <v>80000000</v>
      </c>
      <c r="N51" s="99">
        <v>80000000</v>
      </c>
      <c r="O51" s="99">
        <v>47768385</v>
      </c>
      <c r="P51" s="99">
        <v>47768385</v>
      </c>
      <c r="Q51" s="99">
        <v>47768385</v>
      </c>
      <c r="R51" s="100" t="inlineStr">
        <is>
          <t xml:space="preserve"> </t>
        </is>
      </c>
      <c r="S51" t="inlineStr">
        <is>
          <t>Se ejecutó un producto no programado en la vigencia</t>
        </is>
      </c>
      <c r="T51" s="101">
        <v>12204168</v>
      </c>
      <c r="U51" s="101">
        <v>4704168</v>
      </c>
      <c r="V51" s="101">
        <v>4704168</v>
      </c>
      <c r="W51" s="102">
        <v>0.0361859076923077</v>
      </c>
      <c r="X51" t="inlineStr">
        <is>
          <t>Lo obligado está por debajo de lo programado en la vigencia</t>
        </is>
      </c>
    </row>
    <row r="52">
      <c r="A52" t="inlineStr">
        <is>
          <t>IP-74</t>
        </is>
      </c>
      <c r="B52" t="inlineStr">
        <is>
          <t>45</t>
        </is>
      </c>
      <c r="C52" t="inlineStr">
        <is>
          <t>Gobierno Territorial</t>
        </is>
      </c>
      <c r="D52" t="inlineStr">
        <is>
          <t>4501</t>
        </is>
      </c>
      <c r="E52" t="inlineStr">
        <is>
          <t>Fortalecimiento de la convivencia y la seguridad ciudadana</t>
        </is>
      </c>
      <c r="F52" t="inlineStr">
        <is>
          <t>4501058</t>
        </is>
      </c>
      <c r="G52" t="inlineStr">
        <is>
          <t>Infraestructura para el bienestar animal construida y dotada</t>
        </is>
      </c>
      <c r="H52" t="inlineStr">
        <is>
          <t>Corresponde a un inmueble resultado de obras de edificación en terrenos no construidos o cuya área esté libre por autorización de demolición total, con destino a la atención integral de los animales que se encuentren en condición de abandono, pérdida, desatención estatal o de  tenencia irresponsable o en situación de vulnerabilidad y aprehendidos por la policía o en riesgo que ello suceda. Incluye la dotación para la operación del inmueble tanto para el desarrollo de sus actividades misionales como de las administrativas requeridas para la prestación del servicio.</t>
        </is>
      </c>
      <c r="I52" t="inlineStr">
        <is>
          <t>2024252000027</t>
        </is>
      </c>
      <c r="J52" s="99">
        <v>20000000</v>
      </c>
      <c r="K52" s="99">
        <v>0</v>
      </c>
      <c r="L52" s="99">
        <v>20000000</v>
      </c>
      <c r="M52" s="99">
        <v>0</v>
      </c>
      <c r="N52" s="99">
        <v>0</v>
      </c>
      <c r="O52" s="99">
        <v>5000000</v>
      </c>
      <c r="P52" s="99">
        <v>5000000</v>
      </c>
      <c r="Q52" s="99">
        <v>5000000</v>
      </c>
      <c r="R52" s="100" t="inlineStr">
        <is>
          <t xml:space="preserve"> </t>
        </is>
      </c>
      <c r="S52" t="inlineStr">
        <is>
          <t>Se ejecutó un producto no programado en la vigencia</t>
        </is>
      </c>
      <c r="T52" s="101" t="inlineStr">
        <is>
          <t xml:space="preserve"> </t>
        </is>
      </c>
      <c r="U52" s="101" t="inlineStr">
        <is>
          <t xml:space="preserve"> </t>
        </is>
      </c>
      <c r="V52" s="101" t="inlineStr">
        <is>
          <t xml:space="preserve"> </t>
        </is>
      </c>
      <c r="W52" s="102" t="inlineStr">
        <is>
          <t xml:space="preserve"> </t>
        </is>
      </c>
      <c r="X52" t="inlineStr">
        <is>
          <t>No se encontró ejecución en CUIPO</t>
        </is>
      </c>
    </row>
    <row r="53">
      <c r="A53" t="inlineStr">
        <is>
          <t>IP-75</t>
        </is>
      </c>
      <c r="B53" t="inlineStr">
        <is>
          <t>45</t>
        </is>
      </c>
      <c r="C53" t="inlineStr">
        <is>
          <t>Gobierno Territorial</t>
        </is>
      </c>
      <c r="D53" t="inlineStr">
        <is>
          <t>4501</t>
        </is>
      </c>
      <c r="E53" t="inlineStr">
        <is>
          <t>Fortalecimiento de la convivencia y la seguridad ciudadana</t>
        </is>
      </c>
      <c r="F53" t="inlineStr">
        <is>
          <t>4501004</t>
        </is>
      </c>
      <c r="G53" t="inlineStr">
        <is>
          <t>Servicio de promoción de convivencia y no repetición</t>
        </is>
      </c>
      <c r="H53" t="inlineStr">
        <is>
          <t>Incluye acciones e iniciativas de carácter institucional e interinstitucional que promuevan la desactivación de los patrones del conflicto armado interno, la construcción de la cultura de respeto y tolerancia en democracia, en perspectiva de crear y mejorar las condiciones de convivencia y de no repetición en los territorios.</t>
        </is>
      </c>
      <c r="I53" t="inlineStr">
        <is>
          <t>2024252000027</t>
        </is>
      </c>
      <c r="J53" s="99">
        <v>37000000</v>
      </c>
      <c r="K53" s="99">
        <v>0</v>
      </c>
      <c r="L53" s="99">
        <v>30000000</v>
      </c>
      <c r="M53" s="99">
        <v>3000000</v>
      </c>
      <c r="N53" s="99">
        <v>4000000</v>
      </c>
      <c r="O53" s="99" t="inlineStr">
        <is>
          <t xml:space="preserve"> </t>
        </is>
      </c>
      <c r="P53" s="99" t="inlineStr">
        <is>
          <t xml:space="preserve"> </t>
        </is>
      </c>
      <c r="Q53" s="99" t="inlineStr">
        <is>
          <t xml:space="preserve"> </t>
        </is>
      </c>
      <c r="R53" s="100" t="inlineStr">
        <is>
          <t xml:space="preserve"> </t>
        </is>
      </c>
      <c r="S53" t="inlineStr">
        <is>
          <t>No se encontró ejecución en CUIPO</t>
        </is>
      </c>
      <c r="T53" s="101">
        <v>29970000</v>
      </c>
      <c r="U53" s="101">
        <v>16650000</v>
      </c>
      <c r="V53" s="101">
        <v>16650000</v>
      </c>
      <c r="W53" s="102">
        <v>0.555</v>
      </c>
      <c r="X53" t="inlineStr">
        <is>
          <t>Lo obligado está por debajo de lo programado en la vigencia</t>
        </is>
      </c>
    </row>
    <row r="54">
      <c r="A54" t="inlineStr">
        <is>
          <t>IP-76</t>
        </is>
      </c>
      <c r="B54" t="inlineStr">
        <is>
          <t>17</t>
        </is>
      </c>
      <c r="C54" t="inlineStr">
        <is>
          <t xml:space="preserve">Agricultura y desarrollo rural
</t>
        </is>
      </c>
      <c r="D54" t="inlineStr">
        <is>
          <t>1702</t>
        </is>
      </c>
      <c r="E54" t="inlineStr">
        <is>
          <t>Inclusión productiva de pequeños productores rurales</t>
        </is>
      </c>
      <c r="F54" t="inlineStr">
        <is>
          <t>1702038</t>
        </is>
      </c>
      <c r="G54" t="inlineStr">
        <is>
          <t>Servicio de apoyo a la comercialización</t>
        </is>
      </c>
      <c r="H54" t="inlineStr">
        <is>
          <t>Consiste en el acompañamiento para la  identificación de apoyos específicos, la adquisición de competencias comerciales y  en casos requeridos, la inserción o consolidación en  encadenamientos comerciales.</t>
        </is>
      </c>
      <c r="I54" t="inlineStr">
        <is>
          <t>2024252000028</t>
        </is>
      </c>
      <c r="J54" s="99">
        <v>43616511.12</v>
      </c>
      <c r="K54" s="99">
        <v>10000000</v>
      </c>
      <c r="L54" s="99">
        <v>10580000</v>
      </c>
      <c r="M54" s="99">
        <v>11193640</v>
      </c>
      <c r="N54" s="99">
        <v>11842871.12</v>
      </c>
      <c r="O54" s="99">
        <v>41658849</v>
      </c>
      <c r="P54" s="99">
        <v>41658849</v>
      </c>
      <c r="Q54" s="99">
        <v>0</v>
      </c>
      <c r="R54" s="100">
        <v>4.1658849</v>
      </c>
      <c r="S54" t="inlineStr">
        <is>
          <t>Hubo ejecución por encima de lo programado en SisPT</t>
        </is>
      </c>
      <c r="T54" s="101">
        <v>79542840</v>
      </c>
      <c r="U54" s="101">
        <v>69542840</v>
      </c>
      <c r="V54" s="101">
        <v>69542840</v>
      </c>
      <c r="W54" s="102">
        <v>6.57304725897921</v>
      </c>
      <c r="X54" t="inlineStr">
        <is>
          <t>Hubo ejecución por encima de lo programado en SisPT</t>
        </is>
      </c>
    </row>
    <row r="55">
      <c r="A55" t="inlineStr">
        <is>
          <t>IP-77</t>
        </is>
      </c>
      <c r="B55" t="inlineStr">
        <is>
          <t>17</t>
        </is>
      </c>
      <c r="C55" t="inlineStr">
        <is>
          <t xml:space="preserve">Agricultura y desarrollo rural
</t>
        </is>
      </c>
      <c r="D55" t="inlineStr">
        <is>
          <t>1702</t>
        </is>
      </c>
      <c r="E55" t="inlineStr">
        <is>
          <t>Inclusión productiva de pequeños productores rurales</t>
        </is>
      </c>
      <c r="F55" t="inlineStr">
        <is>
          <t>1702014</t>
        </is>
      </c>
      <c r="G55" t="inlineStr">
        <is>
          <t>Servicio de apoyo para el acceso a maquinaria y equipos</t>
        </is>
      </c>
      <c r="H55" t="inlineStr">
        <is>
          <t>Contempla el acceso de los pequeños productores a los bancos de maquinaria a partir de figuras como el arriendo, la adquisición, entre otros, entre otros</t>
        </is>
      </c>
      <c r="I55" t="inlineStr">
        <is>
          <t>2024252000028</t>
        </is>
      </c>
      <c r="J55" s="99">
        <v>392548600.08</v>
      </c>
      <c r="K55" s="99">
        <v>90000000</v>
      </c>
      <c r="L55" s="99">
        <v>95220000</v>
      </c>
      <c r="M55" s="99">
        <v>100742760</v>
      </c>
      <c r="N55" s="99">
        <v>106585840.08</v>
      </c>
      <c r="O55" s="99">
        <v>148700000</v>
      </c>
      <c r="P55" s="99">
        <v>148700000</v>
      </c>
      <c r="Q55" s="99">
        <v>148700000</v>
      </c>
      <c r="R55" s="100">
        <v>1.65222222222222</v>
      </c>
      <c r="S55" t="inlineStr">
        <is>
          <t>Hubo ejecución por encima de lo programado en SisPT</t>
        </is>
      </c>
      <c r="T55" s="101">
        <v>79985000</v>
      </c>
      <c r="U55" s="101">
        <v>38713359</v>
      </c>
      <c r="V55" s="101">
        <v>38713359</v>
      </c>
      <c r="W55" s="102">
        <v>0.406567517328292</v>
      </c>
      <c r="X55" t="inlineStr">
        <is>
          <t>Lo obligado está por debajo de lo programado en la vigencia</t>
        </is>
      </c>
    </row>
    <row r="56">
      <c r="A56" t="inlineStr">
        <is>
          <t>IP-78</t>
        </is>
      </c>
      <c r="B56" t="inlineStr">
        <is>
          <t>17</t>
        </is>
      </c>
      <c r="C56" t="inlineStr">
        <is>
          <t xml:space="preserve">Agricultura y desarrollo rural
</t>
        </is>
      </c>
      <c r="D56" t="inlineStr">
        <is>
          <t>1708</t>
        </is>
      </c>
      <c r="E56" t="inlineStr">
        <is>
          <t>Ciencia, tecnología e innovación agropecuaria</t>
        </is>
      </c>
      <c r="F56" t="inlineStr">
        <is>
          <t>1708032</t>
        </is>
      </c>
      <c r="G56" t="inlineStr">
        <is>
          <t>Parcelas, módulos y unidades demostrativas adecuadas</t>
        </is>
      </c>
      <c r="H56" t="inlineStr">
        <is>
          <t>Corresponde a la adecuación, ajuste o adaptación de un sitio, espacio o área de una edificación, de los espacios para la transferencia de tecnologías u ofertas tecnologicas a través de probar, ajustar, validar y transferir nuevas prácticas, además de servir como medios de difusión.</t>
        </is>
      </c>
      <c r="I56" t="inlineStr">
        <is>
          <t>2024252000029</t>
        </is>
      </c>
      <c r="J56" s="99">
        <v>98477703.3772</v>
      </c>
      <c r="K56" s="99">
        <v>22578079</v>
      </c>
      <c r="L56" s="99">
        <v>23887607.582</v>
      </c>
      <c r="M56" s="99">
        <v>25273088.8218</v>
      </c>
      <c r="N56" s="99">
        <v>26738927.9734</v>
      </c>
      <c r="O56" s="99">
        <v>3466665</v>
      </c>
      <c r="P56" s="99">
        <v>3466665</v>
      </c>
      <c r="Q56" s="99">
        <v>3466665</v>
      </c>
      <c r="R56" s="100">
        <v>0.153541184792559</v>
      </c>
      <c r="S56" t="inlineStr">
        <is>
          <t>Lo obligado está por debajo de lo programado en la vigencia</t>
        </is>
      </c>
      <c r="T56" s="101">
        <v>64000000</v>
      </c>
      <c r="U56" s="101">
        <v>46400000</v>
      </c>
      <c r="V56" s="101">
        <v>46400000</v>
      </c>
      <c r="W56" s="102">
        <v>1.94242976575703</v>
      </c>
      <c r="X56" t="inlineStr">
        <is>
          <t>Hubo ejecución por encima de lo programado en SisPT</t>
        </is>
      </c>
    </row>
    <row r="57">
      <c r="A57" t="inlineStr">
        <is>
          <t>IP-79</t>
        </is>
      </c>
      <c r="B57" t="inlineStr">
        <is>
          <t>36</t>
        </is>
      </c>
      <c r="C57" t="inlineStr">
        <is>
          <t>Trabajo</t>
        </is>
      </c>
      <c r="D57" t="inlineStr">
        <is>
          <t>3602</t>
        </is>
      </c>
      <c r="E57" t="inlineStr">
        <is>
          <t>Generación y formalización del empleo</t>
        </is>
      </c>
      <c r="F57" t="inlineStr">
        <is>
          <t>3602022</t>
        </is>
      </c>
      <c r="G57" t="inlineStr">
        <is>
          <t>Servicios de asistencia técnica para la generación de Alianzas Estratégicas</t>
        </is>
      </c>
      <c r="H57" t="inlineStr">
        <is>
          <t>Hace referencia a la asistencia técnica para la generación de alianzas estratégicas público privadas necesarias para adelantar los negocios inclusivos en beneficio de las víctimas.</t>
        </is>
      </c>
      <c r="I57" t="inlineStr">
        <is>
          <t>2024252000036</t>
        </is>
      </c>
      <c r="J57" s="99">
        <v>40000000</v>
      </c>
      <c r="K57" s="99">
        <v>10000000</v>
      </c>
      <c r="L57" s="99">
        <v>10000000</v>
      </c>
      <c r="M57" s="99">
        <v>10000000</v>
      </c>
      <c r="N57" s="99">
        <v>10000000</v>
      </c>
      <c r="O57" s="99">
        <v>5000000</v>
      </c>
      <c r="P57" s="99">
        <v>5000000</v>
      </c>
      <c r="Q57" s="99">
        <v>5000000</v>
      </c>
      <c r="R57" s="100">
        <v>0.5</v>
      </c>
      <c r="S57" t="inlineStr">
        <is>
          <t>Lo obligado está por debajo de lo programado en la vigencia</t>
        </is>
      </c>
      <c r="T57" s="101">
        <v>10000000</v>
      </c>
      <c r="U57" s="101">
        <v>0</v>
      </c>
      <c r="V57" s="101">
        <v>0</v>
      </c>
      <c r="W57" s="102">
        <v>0</v>
      </c>
      <c r="X57" t="inlineStr">
        <is>
          <t>No se ejecutó en la vigencia</t>
        </is>
      </c>
    </row>
    <row r="58">
      <c r="A58" t="inlineStr">
        <is>
          <t>IP-80, IP-81</t>
        </is>
      </c>
      <c r="B58" t="inlineStr">
        <is>
          <t>36</t>
        </is>
      </c>
      <c r="C58" t="inlineStr">
        <is>
          <t>Trabajo</t>
        </is>
      </c>
      <c r="D58" t="inlineStr">
        <is>
          <t>3602</t>
        </is>
      </c>
      <c r="E58" t="inlineStr">
        <is>
          <t>Generación y formalización del empleo</t>
        </is>
      </c>
      <c r="F58" t="inlineStr">
        <is>
          <t>3602017</t>
        </is>
      </c>
      <c r="G58" t="inlineStr">
        <is>
          <t>Servicio de asistencia técnica para la generación y formalización de empresa</t>
        </is>
      </c>
      <c r="H58" t="inlineStr">
        <is>
          <t>Corresponde al servicio de asistencia brindado a los emprendedores Colombianos correspondiente al fortalecimiento de sus capacidades técnicas requeridas para formular un plan de negocio.</t>
        </is>
      </c>
      <c r="I58" t="inlineStr">
        <is>
          <t>2024252000036</t>
        </is>
      </c>
      <c r="J58" s="99">
        <v>1173866988.92</v>
      </c>
      <c r="K58" s="99">
        <v>103000000</v>
      </c>
      <c r="L58" s="99">
        <v>337030000</v>
      </c>
      <c r="M58" s="99">
        <v>356577740</v>
      </c>
      <c r="N58" s="99">
        <v>377259248.92</v>
      </c>
      <c r="O58" s="99">
        <v>12956419</v>
      </c>
      <c r="P58" s="99">
        <v>12956419</v>
      </c>
      <c r="Q58" s="99">
        <v>12956419</v>
      </c>
      <c r="R58" s="100">
        <v>0.125790475728155</v>
      </c>
      <c r="S58" t="inlineStr">
        <is>
          <t>Lo obligado está por debajo de lo programado en la vigencia</t>
        </is>
      </c>
      <c r="T58" s="101">
        <v>104901500</v>
      </c>
      <c r="U58" s="101">
        <v>64882000</v>
      </c>
      <c r="V58" s="101">
        <v>64882000</v>
      </c>
      <c r="W58" s="102">
        <v>0.192511052428567</v>
      </c>
      <c r="X58" t="inlineStr">
        <is>
          <t>Lo obligado está por debajo de lo programado en la vigencia</t>
        </is>
      </c>
    </row>
    <row r="59">
      <c r="A59" t="inlineStr">
        <is>
          <t>IP-82</t>
        </is>
      </c>
      <c r="B59" t="inlineStr">
        <is>
          <t>35</t>
        </is>
      </c>
      <c r="C59" t="inlineStr">
        <is>
          <t>Comercio, industria y turismo</t>
        </is>
      </c>
      <c r="D59" t="inlineStr">
        <is>
          <t>3502</t>
        </is>
      </c>
      <c r="E59" t="inlineStr">
        <is>
          <t>Productividad y competitividad de las empresas colombianas</t>
        </is>
      </c>
      <c r="F59" t="inlineStr">
        <is>
          <t>3502026</t>
        </is>
      </c>
      <c r="G59" t="inlineStr">
        <is>
          <t>Servicio de diseño y/o mejoramiento de productos artesanales</t>
        </is>
      </c>
      <c r="H59" t="inlineStr">
        <is>
          <t>Bajo la metodología de Artesanías de Colombia que retoma y fortalece los caracteres de identidad y cultura, se preservan y fortalecen las técnicas artesanales y se aplican los conceptos básicos de innovación de producto bajo la óptica de los modos de intervención en la artesanía que son: creación, diversificación, mejoramiento, rediseño y rescate.</t>
        </is>
      </c>
      <c r="I59" t="inlineStr">
        <is>
          <t>2024252000034</t>
        </is>
      </c>
      <c r="J59" s="99">
        <v>21808255.56</v>
      </c>
      <c r="K59" s="99">
        <v>5000000</v>
      </c>
      <c r="L59" s="99">
        <v>5290000</v>
      </c>
      <c r="M59" s="99">
        <v>5596820</v>
      </c>
      <c r="N59" s="99">
        <v>5921435.56</v>
      </c>
      <c r="O59" s="99">
        <v>4136700</v>
      </c>
      <c r="P59" s="99">
        <v>4136700</v>
      </c>
      <c r="Q59" s="99">
        <v>4136700</v>
      </c>
      <c r="R59" s="100">
        <v>0.82734</v>
      </c>
      <c r="S59" t="inlineStr">
        <is>
          <t>Lo obligado está por debajo de lo programado en la vigencia</t>
        </is>
      </c>
      <c r="T59" s="101">
        <v>2000000</v>
      </c>
      <c r="U59" s="101">
        <v>2000000</v>
      </c>
      <c r="V59" s="101">
        <v>2000000</v>
      </c>
      <c r="W59" s="102">
        <v>0.378071833648393</v>
      </c>
      <c r="X59" t="inlineStr">
        <is>
          <t>Lo obligado está por debajo de lo programado en la vigencia</t>
        </is>
      </c>
    </row>
    <row r="60">
      <c r="A60" t="inlineStr">
        <is>
          <t>IP-83</t>
        </is>
      </c>
      <c r="B60" t="inlineStr">
        <is>
          <t>35</t>
        </is>
      </c>
      <c r="C60" t="inlineStr">
        <is>
          <t>Comercio, industria y turismo</t>
        </is>
      </c>
      <c r="D60" t="inlineStr">
        <is>
          <t>3502</t>
        </is>
      </c>
      <c r="E60" t="inlineStr">
        <is>
          <t>Productividad y competitividad de las empresas colombianas</t>
        </is>
      </c>
      <c r="F60" t="inlineStr">
        <is>
          <t>3502055</t>
        </is>
      </c>
      <c r="G60" t="inlineStr">
        <is>
          <t>Centro turístico mantenido</t>
        </is>
      </c>
      <c r="H60" t="inlineStr">
        <is>
          <t>Obras para mantener el inmueble en las debidas condiciones de higiene y ornato sin afectar su materia original, su estructura portante, su distribución interior y sus características funcionales Incluye obras de mantenimiento y reparación como limpieza, renovación de pintura, eliminación de goteras, remplazo de piezas en mal estado, obras de drenaje, control de humedades.</t>
        </is>
      </c>
      <c r="I60" t="inlineStr">
        <is>
          <t>2024252000035</t>
        </is>
      </c>
      <c r="J60" s="99">
        <v>31773640</v>
      </c>
      <c r="K60" s="99">
        <v>10000000</v>
      </c>
      <c r="L60" s="99">
        <v>10580000</v>
      </c>
      <c r="M60" s="99">
        <v>11193640</v>
      </c>
      <c r="N60" s="99">
        <v>0</v>
      </c>
      <c r="O60" s="99" t="inlineStr">
        <is>
          <t xml:space="preserve"> </t>
        </is>
      </c>
      <c r="P60" s="99" t="inlineStr">
        <is>
          <t xml:space="preserve"> </t>
        </is>
      </c>
      <c r="Q60" s="99" t="inlineStr">
        <is>
          <t xml:space="preserve"> </t>
        </is>
      </c>
      <c r="R60" s="100" t="inlineStr">
        <is>
          <t xml:space="preserve"> </t>
        </is>
      </c>
      <c r="S60" t="inlineStr">
        <is>
          <t>No se encontró ejecución en CUIPO</t>
        </is>
      </c>
      <c r="T60" s="101">
        <v>10000000</v>
      </c>
      <c r="U60" s="101">
        <v>0</v>
      </c>
      <c r="V60" s="101">
        <v>0</v>
      </c>
      <c r="W60" s="102">
        <v>0</v>
      </c>
      <c r="X60" t="inlineStr">
        <is>
          <t>No se ejecutó en la vigencia</t>
        </is>
      </c>
    </row>
    <row r="61">
      <c r="A61" t="inlineStr">
        <is>
          <t>IP-84</t>
        </is>
      </c>
      <c r="B61" t="inlineStr">
        <is>
          <t>32</t>
        </is>
      </c>
      <c r="C61" t="inlineStr">
        <is>
          <t>Ambiente y desarrollo sostenible</t>
        </is>
      </c>
      <c r="D61" t="inlineStr">
        <is>
          <t>3201</t>
        </is>
      </c>
      <c r="E61" t="inlineStr">
        <is>
          <t>Fortalecimiento del desempeño ambiental de los sectores productivos</t>
        </is>
      </c>
      <c r="F61" t="inlineStr">
        <is>
          <t>3201008</t>
        </is>
      </c>
      <c r="G61" t="inlineStr">
        <is>
          <t>Servicio de vigilancia de la calidad del aire</t>
        </is>
      </c>
      <c r="H61" t="inlineStr">
        <is>
          <t xml:space="preserve">Acciones orientadas a vigilar la cálida del aire de una zona determinada. </t>
        </is>
      </c>
      <c r="I61" t="inlineStr">
        <is>
          <t>2024252000044</t>
        </is>
      </c>
      <c r="J61" s="99">
        <v>164998272.2</v>
      </c>
      <c r="K61" s="99">
        <v>29706412</v>
      </c>
      <c r="L61" s="99">
        <v>41731860</v>
      </c>
      <c r="M61" s="99">
        <v>44442307.88</v>
      </c>
      <c r="N61" s="99">
        <v>49117692.32</v>
      </c>
      <c r="O61" s="99" t="inlineStr">
        <is>
          <t xml:space="preserve"> </t>
        </is>
      </c>
      <c r="P61" s="99" t="inlineStr">
        <is>
          <t xml:space="preserve"> </t>
        </is>
      </c>
      <c r="Q61" s="99" t="inlineStr">
        <is>
          <t xml:space="preserve"> </t>
        </is>
      </c>
      <c r="R61" s="100" t="inlineStr">
        <is>
          <t xml:space="preserve"> </t>
        </is>
      </c>
      <c r="S61" t="inlineStr">
        <is>
          <t>No se encontró ejecución en CUIPO</t>
        </is>
      </c>
      <c r="T61" s="101">
        <v>10000000</v>
      </c>
      <c r="U61" s="101">
        <v>400000</v>
      </c>
      <c r="V61" s="101">
        <v>400000</v>
      </c>
      <c r="W61" s="102">
        <v>0.00958500292102964</v>
      </c>
      <c r="X61" t="inlineStr">
        <is>
          <t>Lo obligado está por debajo de lo programado en la vigencia</t>
        </is>
      </c>
    </row>
    <row r="62">
      <c r="A62" t="inlineStr">
        <is>
          <t>IP-85</t>
        </is>
      </c>
      <c r="B62" t="inlineStr">
        <is>
          <t>32</t>
        </is>
      </c>
      <c r="C62" t="inlineStr">
        <is>
          <t>Ambiente y desarrollo sostenible</t>
        </is>
      </c>
      <c r="D62" t="inlineStr">
        <is>
          <t>3202</t>
        </is>
      </c>
      <c r="E62" t="inlineStr">
        <is>
          <t>Conservación de la biodiversidad y sus servicios ecosistémicos</t>
        </is>
      </c>
      <c r="F62" t="inlineStr">
        <is>
          <t>3202029</t>
        </is>
      </c>
      <c r="G62" t="inlineStr">
        <is>
          <t>Centro de atención e interpretación de la biodiversidad y sus servicios ecosistemicos construido y dotado</t>
        </is>
      </c>
      <c r="H62" t="inlineStr">
        <is>
          <t>Incluye la construcción (en terrenos no construidos o cuya área esté libre por autorización de demolición total) y dotación de la infraestructura destinada para la atención y servicios informativos acerca de la importancia de la biodiversidad en zonas de importancia ambiental.</t>
        </is>
      </c>
      <c r="I62" t="inlineStr">
        <is>
          <t>2024252000045</t>
        </is>
      </c>
      <c r="J62" s="99">
        <v>305000000</v>
      </c>
      <c r="K62" s="99">
        <v>5000000</v>
      </c>
      <c r="L62" s="99">
        <v>0</v>
      </c>
      <c r="M62" s="99">
        <v>300000000</v>
      </c>
      <c r="N62" s="99">
        <v>0</v>
      </c>
      <c r="O62" s="99" t="inlineStr">
        <is>
          <t xml:space="preserve"> </t>
        </is>
      </c>
      <c r="P62" s="99" t="inlineStr">
        <is>
          <t xml:space="preserve"> </t>
        </is>
      </c>
      <c r="Q62" s="99" t="inlineStr">
        <is>
          <t xml:space="preserve"> </t>
        </is>
      </c>
      <c r="R62" s="100" t="inlineStr">
        <is>
          <t xml:space="preserve"> </t>
        </is>
      </c>
      <c r="S62" t="inlineStr">
        <is>
          <t>No se encontró ejecución en CUIPO</t>
        </is>
      </c>
      <c r="T62" s="101" t="inlineStr">
        <is>
          <t xml:space="preserve"> </t>
        </is>
      </c>
      <c r="U62" s="101" t="inlineStr">
        <is>
          <t xml:space="preserve"> </t>
        </is>
      </c>
      <c r="V62" s="101" t="inlineStr">
        <is>
          <t xml:space="preserve"> </t>
        </is>
      </c>
      <c r="W62" s="102" t="inlineStr">
        <is>
          <t xml:space="preserve"> </t>
        </is>
      </c>
      <c r="X62" t="inlineStr">
        <is>
          <t>No se encontró ejecución en CUIPO</t>
        </is>
      </c>
    </row>
    <row r="63">
      <c r="A63" t="inlineStr">
        <is>
          <t>IP-86</t>
        </is>
      </c>
      <c r="B63" t="inlineStr">
        <is>
          <t>32</t>
        </is>
      </c>
      <c r="C63" t="inlineStr">
        <is>
          <t>Ambiente y desarrollo sostenible</t>
        </is>
      </c>
      <c r="D63" t="inlineStr">
        <is>
          <t>3202</t>
        </is>
      </c>
      <c r="E63" t="inlineStr">
        <is>
          <t>Conservación de la biodiversidad y sus servicios ecosistémicos</t>
        </is>
      </c>
      <c r="F63" t="inlineStr">
        <is>
          <t>3202038</t>
        </is>
      </c>
      <c r="G63" t="inlineStr">
        <is>
          <t>Servicio de producción de plántulas en viveros</t>
        </is>
      </c>
      <c r="H63" t="inlineStr">
        <is>
          <t>Acciones orientadas a producir plántulas en viveros que serán utilizadas en la recuperación de ecosistemas degradados</t>
        </is>
      </c>
      <c r="I63" t="inlineStr">
        <is>
          <t>2024252000045</t>
        </is>
      </c>
      <c r="J63" s="99">
        <v>102000000</v>
      </c>
      <c r="K63" s="99">
        <v>62000000</v>
      </c>
      <c r="L63" s="99">
        <v>10000000</v>
      </c>
      <c r="M63" s="99">
        <v>20000000</v>
      </c>
      <c r="N63" s="99">
        <v>10000000</v>
      </c>
      <c r="O63" s="99" t="inlineStr">
        <is>
          <t xml:space="preserve"> </t>
        </is>
      </c>
      <c r="P63" s="99" t="inlineStr">
        <is>
          <t xml:space="preserve"> </t>
        </is>
      </c>
      <c r="Q63" s="99" t="inlineStr">
        <is>
          <t xml:space="preserve"> </t>
        </is>
      </c>
      <c r="R63" s="100" t="inlineStr">
        <is>
          <t xml:space="preserve"> </t>
        </is>
      </c>
      <c r="S63" t="inlineStr">
        <is>
          <t>No se encontró ejecución en CUIPO</t>
        </is>
      </c>
      <c r="T63" s="101">
        <v>49300000</v>
      </c>
      <c r="U63" s="101">
        <v>40100000</v>
      </c>
      <c r="V63" s="101">
        <v>40100000</v>
      </c>
      <c r="W63" s="102">
        <v>4.01</v>
      </c>
      <c r="X63" t="inlineStr">
        <is>
          <t>Hubo ejecución por encima de lo programado en SisPT</t>
        </is>
      </c>
    </row>
    <row r="64">
      <c r="A64" t="inlineStr">
        <is>
          <t>IP-87</t>
        </is>
      </c>
      <c r="B64" t="inlineStr">
        <is>
          <t>32</t>
        </is>
      </c>
      <c r="C64" t="inlineStr">
        <is>
          <t>Ambiente y desarrollo sostenible</t>
        </is>
      </c>
      <c r="D64" t="inlineStr">
        <is>
          <t>3201</t>
        </is>
      </c>
      <c r="E64" t="inlineStr">
        <is>
          <t>Fortalecimiento del desempeño ambiental de los sectores productivos</t>
        </is>
      </c>
      <c r="F64" t="inlineStr">
        <is>
          <t>3201013</t>
        </is>
      </c>
      <c r="G64" t="inlineStr">
        <is>
          <t>Documentos de lineamientos técnicos para mejorar la calidad ambiental de las áreas urbanas</t>
        </is>
      </c>
      <c r="H64" t="inlineStr">
        <is>
          <t>Documentos cuyo objetivo es describir y explicar instrumentos, estándares, requisitos y condiciones necesarias para llevar a cabo un proceso o actividad en el marco del mejoramiento de la calidad ambiental de las áreas urbanas</t>
        </is>
      </c>
      <c r="I64" t="inlineStr">
        <is>
          <t>2024252000043</t>
        </is>
      </c>
      <c r="J64" s="99">
        <v>210633632</v>
      </c>
      <c r="K64" s="99">
        <v>42233340</v>
      </c>
      <c r="L64" s="99">
        <v>53000000</v>
      </c>
      <c r="M64" s="99">
        <v>56074000</v>
      </c>
      <c r="N64" s="99">
        <v>59326292</v>
      </c>
      <c r="O64" s="99">
        <v>5000000</v>
      </c>
      <c r="P64" s="99">
        <v>5000000</v>
      </c>
      <c r="Q64" s="99">
        <v>5000000</v>
      </c>
      <c r="R64" s="100">
        <v>0.118389878707201</v>
      </c>
      <c r="S64" t="inlineStr">
        <is>
          <t>Lo obligado está por debajo de lo programado en la vigencia</t>
        </is>
      </c>
      <c r="T64" s="101">
        <v>55450000</v>
      </c>
      <c r="U64" s="101">
        <v>31500000</v>
      </c>
      <c r="V64" s="101">
        <v>31500000</v>
      </c>
      <c r="W64" s="102">
        <v>0.594339622641509</v>
      </c>
      <c r="X64" t="inlineStr">
        <is>
          <t>Lo obligado está por debajo de lo programado en la vigencia</t>
        </is>
      </c>
    </row>
    <row r="65">
      <c r="A65" t="inlineStr">
        <is>
          <t>IP-88</t>
        </is>
      </c>
      <c r="B65" t="inlineStr">
        <is>
          <t>32</t>
        </is>
      </c>
      <c r="C65" t="inlineStr">
        <is>
          <t>Ambiente y desarrollo sostenible</t>
        </is>
      </c>
      <c r="D65" t="inlineStr">
        <is>
          <t>3204</t>
        </is>
      </c>
      <c r="E65" t="inlineStr">
        <is>
          <t>Gestión de la información y el conocimiento ambiental</t>
        </is>
      </c>
      <c r="F65" t="inlineStr">
        <is>
          <t>3204011</t>
        </is>
      </c>
      <c r="G65" t="inlineStr">
        <is>
          <t>Servicio de educación para el trabajo en el marco de la información y el conocimiento ambiental</t>
        </is>
      </c>
      <c r="H65" t="inlineStr">
        <is>
          <t>Acciones encaminadas a  complementar, actualizar, suplir conocimientos y formar, en el marco de la información y el conocimiento ambiental en aspectos académicos o laborales sin sujeción al sistema de niveles y grados propios de la educación formal</t>
        </is>
      </c>
      <c r="I65" t="inlineStr">
        <is>
          <t>2024252000047</t>
        </is>
      </c>
      <c r="J65" s="99">
        <v>45000000</v>
      </c>
      <c r="K65" s="99">
        <v>30000000</v>
      </c>
      <c r="L65" s="99">
        <v>5000000</v>
      </c>
      <c r="M65" s="99">
        <v>5000000</v>
      </c>
      <c r="N65" s="99">
        <v>5000000</v>
      </c>
      <c r="O65" s="99" t="inlineStr">
        <is>
          <t xml:space="preserve"> </t>
        </is>
      </c>
      <c r="P65" s="99" t="inlineStr">
        <is>
          <t xml:space="preserve"> </t>
        </is>
      </c>
      <c r="Q65" s="99" t="inlineStr">
        <is>
          <t xml:space="preserve"> </t>
        </is>
      </c>
      <c r="R65" s="100" t="inlineStr">
        <is>
          <t xml:space="preserve"> </t>
        </is>
      </c>
      <c r="S65" t="inlineStr">
        <is>
          <t>No se encontró ejecución en CUIPO</t>
        </is>
      </c>
      <c r="T65" s="101" t="inlineStr">
        <is>
          <t xml:space="preserve"> </t>
        </is>
      </c>
      <c r="U65" s="101" t="inlineStr">
        <is>
          <t xml:space="preserve"> </t>
        </is>
      </c>
      <c r="V65" s="101" t="inlineStr">
        <is>
          <t xml:space="preserve"> </t>
        </is>
      </c>
      <c r="W65" s="102" t="inlineStr">
        <is>
          <t xml:space="preserve"> </t>
        </is>
      </c>
      <c r="X65" t="inlineStr">
        <is>
          <t>No se encontró ejecución en CUIPO</t>
        </is>
      </c>
    </row>
    <row r="66">
      <c r="A66" t="inlineStr">
        <is>
          <t>IP-89</t>
        </is>
      </c>
      <c r="B66" t="inlineStr">
        <is>
          <t>32</t>
        </is>
      </c>
      <c r="C66" t="inlineStr">
        <is>
          <t>Ambiente y desarrollo sostenible</t>
        </is>
      </c>
      <c r="D66" t="inlineStr">
        <is>
          <t>3201</t>
        </is>
      </c>
      <c r="E66" t="inlineStr">
        <is>
          <t>Fortalecimiento del desempeño ambiental de los sectores productivos</t>
        </is>
      </c>
      <c r="F66" t="inlineStr">
        <is>
          <t>3201008</t>
        </is>
      </c>
      <c r="G66" t="inlineStr">
        <is>
          <t>Servicio de vigilancia de la calidad del aire</t>
        </is>
      </c>
      <c r="H66" t="inlineStr">
        <is>
          <t xml:space="preserve">Acciones orientadas a vigilar la cálida del aire de una zona determinada. </t>
        </is>
      </c>
      <c r="I66" t="inlineStr">
        <is>
          <t>2024252000043</t>
        </is>
      </c>
      <c r="J66" s="99">
        <v>15000000</v>
      </c>
      <c r="K66" s="99">
        <v>0</v>
      </c>
      <c r="L66" s="99">
        <v>5000000</v>
      </c>
      <c r="M66" s="99">
        <v>5000000</v>
      </c>
      <c r="N66" s="99">
        <v>5000000</v>
      </c>
      <c r="O66" s="99" t="inlineStr">
        <is>
          <t xml:space="preserve"> </t>
        </is>
      </c>
      <c r="P66" s="99" t="inlineStr">
        <is>
          <t xml:space="preserve"> </t>
        </is>
      </c>
      <c r="Q66" s="99" t="inlineStr">
        <is>
          <t xml:space="preserve"> </t>
        </is>
      </c>
      <c r="R66" s="100" t="inlineStr">
        <is>
          <t xml:space="preserve"> </t>
        </is>
      </c>
      <c r="S66" t="inlineStr">
        <is>
          <t>No se encontró ejecución en CUIPO</t>
        </is>
      </c>
      <c r="T66" s="101">
        <v>33900000</v>
      </c>
      <c r="U66" s="101">
        <v>33900000</v>
      </c>
      <c r="V66" s="101">
        <v>33900000</v>
      </c>
      <c r="W66" s="102">
        <v>6.78</v>
      </c>
      <c r="X66" t="inlineStr">
        <is>
          <t>Hubo ejecución por encima de lo programado en SisPT</t>
        </is>
      </c>
    </row>
    <row r="67">
      <c r="A67" t="inlineStr">
        <is>
          <t>IP-90</t>
        </is>
      </c>
      <c r="B67" t="inlineStr">
        <is>
          <t>45</t>
        </is>
      </c>
      <c r="C67" t="inlineStr">
        <is>
          <t>Gobierno Territorial</t>
        </is>
      </c>
      <c r="D67" t="inlineStr">
        <is>
          <t>4503</t>
        </is>
      </c>
      <c r="E67" t="inlineStr">
        <is>
          <t>Gestión del riesgo de desastres y emergencias</t>
        </is>
      </c>
      <c r="F67" t="inlineStr">
        <is>
          <t>4503023</t>
        </is>
      </c>
      <c r="G67" t="inlineStr">
        <is>
          <t>Documentos de planeación</t>
        </is>
      </c>
      <c r="H67" t="inlineStr">
        <is>
          <t>Documentos cuyo objetivo es plasmar una visión de futuro a nivel país, entidad territorial, comunidad, sector, región, entidad o cualquier nivel de desagregación que se requiera. Incluye objetivos, estrategias, metas e indicadores</t>
        </is>
      </c>
      <c r="I67" t="inlineStr">
        <is>
          <t>2024252000038</t>
        </is>
      </c>
      <c r="J67" s="99">
        <v>150849533.36</v>
      </c>
      <c r="K67" s="99">
        <v>50000000</v>
      </c>
      <c r="L67" s="99">
        <v>31740000</v>
      </c>
      <c r="M67" s="99">
        <v>33580920</v>
      </c>
      <c r="N67" s="99">
        <v>35528613.36</v>
      </c>
      <c r="O67" s="99" t="inlineStr">
        <is>
          <t xml:space="preserve"> </t>
        </is>
      </c>
      <c r="P67" s="99" t="inlineStr">
        <is>
          <t xml:space="preserve"> </t>
        </is>
      </c>
      <c r="Q67" s="99" t="inlineStr">
        <is>
          <t xml:space="preserve"> </t>
        </is>
      </c>
      <c r="R67" s="100" t="inlineStr">
        <is>
          <t xml:space="preserve"> </t>
        </is>
      </c>
      <c r="S67" t="inlineStr">
        <is>
          <t>No se encontró ejecución en CUIPO</t>
        </is>
      </c>
      <c r="T67" s="101" t="inlineStr">
        <is>
          <t xml:space="preserve"> </t>
        </is>
      </c>
      <c r="U67" s="101" t="inlineStr">
        <is>
          <t xml:space="preserve"> </t>
        </is>
      </c>
      <c r="V67" s="101" t="inlineStr">
        <is>
          <t xml:space="preserve"> </t>
        </is>
      </c>
      <c r="W67" s="102" t="inlineStr">
        <is>
          <t xml:space="preserve"> </t>
        </is>
      </c>
      <c r="X67" t="inlineStr">
        <is>
          <t>No se encontró ejecución en CUIPO</t>
        </is>
      </c>
    </row>
    <row r="68">
      <c r="A68" t="inlineStr">
        <is>
          <t>IP-91</t>
        </is>
      </c>
      <c r="B68" t="inlineStr">
        <is>
          <t>45</t>
        </is>
      </c>
      <c r="C68" t="inlineStr">
        <is>
          <t>Gobierno Territorial</t>
        </is>
      </c>
      <c r="D68" t="inlineStr">
        <is>
          <t>4503</t>
        </is>
      </c>
      <c r="E68" t="inlineStr">
        <is>
          <t>Gestión del riesgo de desastres y emergencias</t>
        </is>
      </c>
      <c r="F68" t="inlineStr">
        <is>
          <t>4503003</t>
        </is>
      </c>
      <c r="G68" t="inlineStr">
        <is>
          <t>Servicio de asistencia técnica</t>
        </is>
      </c>
      <c r="H68" t="inlineStr">
        <is>
          <t xml:space="preserve">Corresponde al acompañamiento, apoyo, asesoría y seguimiento técnico para la transferencia de herramientas de gestión y conocimiento en políticas, planes , proyectos y programas de apoyo a la dirección y gestión de la administración territorial. </t>
        </is>
      </c>
      <c r="I68" t="inlineStr">
        <is>
          <t>2024252000038</t>
        </is>
      </c>
      <c r="J68" s="99">
        <v>1071095527.7758</v>
      </c>
      <c r="K68" s="99">
        <v>261610404</v>
      </c>
      <c r="L68" s="99">
        <v>277764127.622</v>
      </c>
      <c r="M68" s="99">
        <v>270881175.8404</v>
      </c>
      <c r="N68" s="99">
        <v>260839820.3134</v>
      </c>
      <c r="O68" s="99">
        <v>4000000</v>
      </c>
      <c r="P68" s="99">
        <v>4000000</v>
      </c>
      <c r="Q68" s="99">
        <v>4000000</v>
      </c>
      <c r="R68" s="100">
        <v>0.0152899117880648</v>
      </c>
      <c r="S68" t="inlineStr">
        <is>
          <t>Lo obligado está por debajo de lo programado en la vigencia</t>
        </is>
      </c>
      <c r="T68" s="101">
        <v>400907188</v>
      </c>
      <c r="U68" s="101">
        <v>239575526</v>
      </c>
      <c r="V68" s="101">
        <v>239575526</v>
      </c>
      <c r="W68" s="102">
        <v>0.862514278035321</v>
      </c>
      <c r="X68" t="inlineStr">
        <is>
          <t>Lo obligado está por debajo de lo programado en la vigencia</t>
        </is>
      </c>
    </row>
    <row r="69">
      <c r="A69" t="inlineStr">
        <is>
          <t>IP-92</t>
        </is>
      </c>
      <c r="B69" t="inlineStr">
        <is>
          <t>40</t>
        </is>
      </c>
      <c r="C69" t="inlineStr">
        <is>
          <t>Vivienda, ciudad y territorio</t>
        </is>
      </c>
      <c r="D69" t="inlineStr">
        <is>
          <t>4001</t>
        </is>
      </c>
      <c r="E69" t="inlineStr">
        <is>
          <t>Acceso a soluciones de vivienda</t>
        </is>
      </c>
      <c r="F69" t="inlineStr">
        <is>
          <t>4001001</t>
        </is>
      </c>
      <c r="G69" t="inlineStr">
        <is>
          <t>Servicio de asistencia técnica y jurídica en saneamiento y titulación de predios</t>
        </is>
      </c>
      <c r="H69" t="inlineStr">
        <is>
          <t>Corresponde al conjunto de acciones de acompañamiento, asesoría, apoyo técnico y jurídico que se deben adelantar para la procesos de saneamiento, titulación  y legalización urbanística de cuerdo establecido en la normativa vigente</t>
        </is>
      </c>
      <c r="I69" t="inlineStr">
        <is>
          <t>2024252000037</t>
        </is>
      </c>
      <c r="J69" s="99">
        <v>67121606.4</v>
      </c>
      <c r="K69" s="99">
        <v>11200000</v>
      </c>
      <c r="L69" s="99">
        <v>17600000</v>
      </c>
      <c r="M69" s="99">
        <v>18620800</v>
      </c>
      <c r="N69" s="99">
        <v>19700806.4</v>
      </c>
      <c r="O69" s="99">
        <v>2000000</v>
      </c>
      <c r="P69" s="99">
        <v>2000000</v>
      </c>
      <c r="Q69" s="99">
        <v>2000000</v>
      </c>
      <c r="R69" s="100">
        <v>0.178571428571429</v>
      </c>
      <c r="S69" t="inlineStr">
        <is>
          <t>Lo obligado está por debajo de lo programado en la vigencia</t>
        </is>
      </c>
      <c r="T69" s="101">
        <v>26000000</v>
      </c>
      <c r="U69" s="101">
        <v>14400000</v>
      </c>
      <c r="V69" s="101">
        <v>14400000</v>
      </c>
      <c r="W69" s="102">
        <v>0.818181818181818</v>
      </c>
      <c r="X69" t="inlineStr">
        <is>
          <t>Lo obligado está por debajo de lo programado en la vigencia</t>
        </is>
      </c>
    </row>
    <row r="70">
      <c r="A70" t="inlineStr">
        <is>
          <t>IP-93</t>
        </is>
      </c>
      <c r="B70" t="inlineStr">
        <is>
          <t>40</t>
        </is>
      </c>
      <c r="C70" t="inlineStr">
        <is>
          <t>Vivienda, ciudad y territorio</t>
        </is>
      </c>
      <c r="D70" t="inlineStr">
        <is>
          <t>4001</t>
        </is>
      </c>
      <c r="E70" t="inlineStr">
        <is>
          <t>Acceso a soluciones de vivienda</t>
        </is>
      </c>
      <c r="F70" t="inlineStr">
        <is>
          <t>4001004</t>
        </is>
      </c>
      <c r="G70" t="inlineStr">
        <is>
          <t>Documentos de planeación</t>
        </is>
      </c>
      <c r="H70" t="inlineStr">
        <is>
          <t>Documentos cuyo objetivo es plasmar una visión de futuro a nivel país, entidad territorial, comunidad, sector, región, entidad o cualquier nivel de desagregación que se requiera. Incluye objetivos, estrategias, metas e indicadores</t>
        </is>
      </c>
      <c r="I70" t="inlineStr">
        <is>
          <t>2024252000037</t>
        </is>
      </c>
      <c r="J70" s="99">
        <v>427232128</v>
      </c>
      <c r="K70" s="99">
        <v>157232128</v>
      </c>
      <c r="L70" s="99">
        <v>200000000</v>
      </c>
      <c r="M70" s="99">
        <v>30000000</v>
      </c>
      <c r="N70" s="99">
        <v>40000000</v>
      </c>
      <c r="O70" s="99">
        <v>6607083</v>
      </c>
      <c r="P70" s="99">
        <v>6607083</v>
      </c>
      <c r="Q70" s="99">
        <v>6607083</v>
      </c>
      <c r="R70" s="100">
        <v>0.0420212019263646</v>
      </c>
      <c r="S70" t="inlineStr">
        <is>
          <t>Lo obligado está por debajo de lo programado en la vigencia</t>
        </is>
      </c>
      <c r="T70" s="101">
        <v>10000000</v>
      </c>
      <c r="U70" s="101">
        <v>5600000</v>
      </c>
      <c r="V70" s="101">
        <v>5600000</v>
      </c>
      <c r="W70" s="102">
        <v>0.028</v>
      </c>
      <c r="X70" t="inlineStr">
        <is>
          <t>Lo obligado está por debajo de lo programado en la vigencia</t>
        </is>
      </c>
    </row>
    <row r="71">
      <c r="A71" t="inlineStr">
        <is>
          <t>IP-94</t>
        </is>
      </c>
      <c r="B71" t="inlineStr">
        <is>
          <t>40</t>
        </is>
      </c>
      <c r="C71" t="inlineStr">
        <is>
          <t>Vivienda, ciudad y territorio</t>
        </is>
      </c>
      <c r="D71" t="inlineStr">
        <is>
          <t>4001</t>
        </is>
      </c>
      <c r="E71" t="inlineStr">
        <is>
          <t>Acceso a soluciones de vivienda</t>
        </is>
      </c>
      <c r="F71" t="inlineStr">
        <is>
          <t>4001032</t>
        </is>
      </c>
      <c r="G71" t="inlineStr">
        <is>
          <t>Servicio de apoyo financiero para mejoramiento de vivienda</t>
        </is>
      </c>
      <c r="H71" t="inlineStr">
        <is>
          <t>Corresponde al apoyo financiero a través de la asignación de un subsidio familiar de vivienda de interés social para mejoramiento, reparación y/o reconstrucción.</t>
        </is>
      </c>
      <c r="I71" t="inlineStr">
        <is>
          <t>2024252000037</t>
        </is>
      </c>
      <c r="J71" s="99">
        <v>725833330</v>
      </c>
      <c r="K71" s="99">
        <v>125833330</v>
      </c>
      <c r="L71" s="99">
        <v>300000000</v>
      </c>
      <c r="M71" s="99">
        <v>200000000</v>
      </c>
      <c r="N71" s="99">
        <v>100000000</v>
      </c>
      <c r="O71" s="99">
        <v>50666000</v>
      </c>
      <c r="P71" s="99">
        <v>49408410</v>
      </c>
      <c r="Q71" s="99">
        <v>49408410</v>
      </c>
      <c r="R71" s="100">
        <v>0.392649626295354</v>
      </c>
      <c r="S71" t="inlineStr">
        <is>
          <t>Lo obligado está por debajo de lo programado en la vigencia</t>
        </is>
      </c>
      <c r="T71" s="101">
        <v>133000000</v>
      </c>
      <c r="U71" s="101">
        <v>121000000</v>
      </c>
      <c r="V71" s="101">
        <v>121000000</v>
      </c>
      <c r="W71" s="102">
        <v>0.403333333333333</v>
      </c>
      <c r="X71" t="inlineStr">
        <is>
          <t>Lo obligado está por debajo de lo programado en la vigencia</t>
        </is>
      </c>
    </row>
    <row r="72">
      <c r="A72" t="inlineStr">
        <is>
          <t>IP-95</t>
        </is>
      </c>
      <c r="B72" t="inlineStr">
        <is>
          <t>40</t>
        </is>
      </c>
      <c r="C72" t="inlineStr">
        <is>
          <t>Vivienda, ciudad y territorio</t>
        </is>
      </c>
      <c r="D72" t="inlineStr">
        <is>
          <t>4003</t>
        </is>
      </c>
      <c r="E72" t="inlineStr">
        <is>
          <t>Acceso de la población a los servicios de agua potable y saneamiento básico</t>
        </is>
      </c>
      <c r="F72" t="inlineStr">
        <is>
          <t>4003022</t>
        </is>
      </c>
      <c r="G72" t="inlineStr">
        <is>
          <t>Servicios de implementación del Plan de Gestión Integral de Residuos Solidos PGIRS</t>
        </is>
      </c>
      <c r="H72" t="inlineStr">
        <is>
          <t>Contempla acciones realizadas para implementar el Plan de Gestión Integral de Residuos Solidos </t>
        </is>
      </c>
      <c r="I72" t="inlineStr">
        <is>
          <t>2024252000039</t>
        </is>
      </c>
      <c r="J72" s="99">
        <v>1650874367.8096</v>
      </c>
      <c r="K72" s="99">
        <v>385800000</v>
      </c>
      <c r="L72" s="99">
        <v>408176400</v>
      </c>
      <c r="M72" s="99">
        <v>400000000</v>
      </c>
      <c r="N72" s="99">
        <v>456897967.8096</v>
      </c>
      <c r="O72" s="99">
        <v>111270874</v>
      </c>
      <c r="P72" s="99">
        <v>88461702</v>
      </c>
      <c r="Q72" s="99">
        <v>88461702</v>
      </c>
      <c r="R72" s="100">
        <v>0.229294199066874</v>
      </c>
      <c r="S72" t="inlineStr">
        <is>
          <t>Lo obligado está por debajo de lo programado en la vigencia</t>
        </is>
      </c>
      <c r="T72" s="101">
        <v>459535725</v>
      </c>
      <c r="U72" s="101">
        <v>400648306</v>
      </c>
      <c r="V72" s="101">
        <v>400648306</v>
      </c>
      <c r="W72" s="102">
        <v>0.98155676320336</v>
      </c>
      <c r="X72" t="inlineStr">
        <is>
          <t>Lo obligado está por debajo de lo programado en la vigencia</t>
        </is>
      </c>
    </row>
    <row r="73">
      <c r="A73" t="inlineStr">
        <is>
          <t>IP-96</t>
        </is>
      </c>
      <c r="B73" t="inlineStr">
        <is>
          <t>40</t>
        </is>
      </c>
      <c r="C73" t="inlineStr">
        <is>
          <t>Vivienda, ciudad y territorio</t>
        </is>
      </c>
      <c r="D73" t="inlineStr">
        <is>
          <t>4003</t>
        </is>
      </c>
      <c r="E73" t="inlineStr">
        <is>
          <t>Acceso de la población a los servicios de agua potable y saneamiento básico</t>
        </is>
      </c>
      <c r="F73" t="inlineStr">
        <is>
          <t>4003008</t>
        </is>
      </c>
      <c r="G73" t="inlineStr">
        <is>
          <t>Servicio de apoyo financiero a los planes, programas y proyectos de Agua Potable y Saneamiento Básico</t>
        </is>
      </c>
      <c r="H73" t="inlineStr">
        <is>
          <t>Financiación o Cofinanciación a planes, programas y proyectos relacionados con Agua Potable y Saneamiento Básico</t>
        </is>
      </c>
      <c r="I73" t="inlineStr">
        <is>
          <t>2024252000040</t>
        </is>
      </c>
      <c r="J73" s="99">
        <v>351797332.292</v>
      </c>
      <c r="K73" s="99">
        <v>0</v>
      </c>
      <c r="L73" s="99">
        <v>112037366.972</v>
      </c>
      <c r="M73" s="99">
        <v>119879982.66</v>
      </c>
      <c r="N73" s="99">
        <v>119879982.66</v>
      </c>
      <c r="O73" s="99">
        <v>50400000</v>
      </c>
      <c r="P73" s="99">
        <v>50400000</v>
      </c>
      <c r="Q73" s="99">
        <v>50400000</v>
      </c>
      <c r="R73" s="100" t="inlineStr">
        <is>
          <t xml:space="preserve"> </t>
        </is>
      </c>
      <c r="S73" t="inlineStr">
        <is>
          <t>Se ejecutó un producto no programado en la vigencia</t>
        </is>
      </c>
      <c r="T73" s="101">
        <v>112000000</v>
      </c>
      <c r="U73" s="101">
        <v>112000000</v>
      </c>
      <c r="V73" s="101">
        <v>112000000</v>
      </c>
      <c r="W73" s="102">
        <v>0.999666477595735</v>
      </c>
      <c r="X73" t="inlineStr">
        <is>
          <t>Lo obligado está por debajo de lo programado en la vigencia</t>
        </is>
      </c>
    </row>
    <row r="74">
      <c r="A74" t="inlineStr">
        <is>
          <t>IP-97</t>
        </is>
      </c>
      <c r="B74" t="inlineStr">
        <is>
          <t>40</t>
        </is>
      </c>
      <c r="C74" t="inlineStr">
        <is>
          <t>Vivienda, ciudad y territorio</t>
        </is>
      </c>
      <c r="D74" t="inlineStr">
        <is>
          <t>4003</t>
        </is>
      </c>
      <c r="E74" t="inlineStr">
        <is>
          <t>Acceso de la población a los servicios de agua potable y saneamiento básico</t>
        </is>
      </c>
      <c r="F74" t="inlineStr">
        <is>
          <t>4003019</t>
        </is>
      </c>
      <c r="G74" t="inlineStr">
        <is>
          <t>Alcantarillados ampliados</t>
        </is>
      </c>
      <c r="H74" t="inlineStr">
        <is>
          <t>Conjunto de acciones y obras requeridas para aumentar la capacidad del alcantarillado en una misma área de cobertura.</t>
        </is>
      </c>
      <c r="I74" t="inlineStr">
        <is>
          <t>2024252000040</t>
        </is>
      </c>
      <c r="J74" s="99">
        <v>1170355029.51</v>
      </c>
      <c r="K74" s="99">
        <v>287300000</v>
      </c>
      <c r="L74" s="99">
        <v>200000000</v>
      </c>
      <c r="M74" s="99">
        <v>200000000</v>
      </c>
      <c r="N74" s="99">
        <v>483055029.51</v>
      </c>
      <c r="O74" s="99">
        <v>69751286</v>
      </c>
      <c r="P74" s="99">
        <v>63703080</v>
      </c>
      <c r="Q74" s="99">
        <v>63703080</v>
      </c>
      <c r="R74" s="100">
        <v>0.221730177514793</v>
      </c>
      <c r="S74" t="inlineStr">
        <is>
          <t>Lo obligado está por debajo de lo programado en la vigencia</t>
        </is>
      </c>
      <c r="T74" s="101">
        <v>157783840</v>
      </c>
      <c r="U74" s="101">
        <v>114663840</v>
      </c>
      <c r="V74" s="101">
        <v>114663840</v>
      </c>
      <c r="W74" s="102">
        <v>0.5733192</v>
      </c>
      <c r="X74" t="inlineStr">
        <is>
          <t>Lo obligado está por debajo de lo programado en la vigencia</t>
        </is>
      </c>
    </row>
    <row r="75">
      <c r="A75" t="inlineStr">
        <is>
          <t>IP-98</t>
        </is>
      </c>
      <c r="B75" t="inlineStr">
        <is>
          <t>40</t>
        </is>
      </c>
      <c r="C75" t="inlineStr">
        <is>
          <t>Vivienda, ciudad y territorio</t>
        </is>
      </c>
      <c r="D75" t="inlineStr">
        <is>
          <t>4003</t>
        </is>
      </c>
      <c r="E75" t="inlineStr">
        <is>
          <t>Acceso de la población a los servicios de agua potable y saneamiento básico</t>
        </is>
      </c>
      <c r="F75" t="inlineStr">
        <is>
          <t>4003006</t>
        </is>
      </c>
      <c r="G75" t="inlineStr">
        <is>
          <t>Documentos de planeación</t>
        </is>
      </c>
      <c r="H75" t="inlineStr">
        <is>
          <t>Documentos cuyo objetivo es plasmar una visión de futuro a nivel país, entidad territorial, comunidad, sector, región, entidad o cualquier nivel de desagregación que se requiera. Incluye objetivos, estrategias, metas e indicadores</t>
        </is>
      </c>
      <c r="I75" t="inlineStr">
        <is>
          <t>2024252000040</t>
        </is>
      </c>
      <c r="J75" s="99">
        <v>450000000</v>
      </c>
      <c r="K75" s="99">
        <v>0</v>
      </c>
      <c r="L75" s="99">
        <v>450000000</v>
      </c>
      <c r="M75" s="99">
        <v>0</v>
      </c>
      <c r="N75" s="99">
        <v>0</v>
      </c>
      <c r="O75" s="99" t="inlineStr">
        <is>
          <t xml:space="preserve"> </t>
        </is>
      </c>
      <c r="P75" s="99" t="inlineStr">
        <is>
          <t xml:space="preserve"> </t>
        </is>
      </c>
      <c r="Q75" s="99" t="inlineStr">
        <is>
          <t xml:space="preserve"> </t>
        </is>
      </c>
      <c r="R75" s="100" t="inlineStr">
        <is>
          <t xml:space="preserve"> </t>
        </is>
      </c>
      <c r="S75" t="inlineStr">
        <is>
          <t>No se encontró ejecución en CUIPO</t>
        </is>
      </c>
      <c r="T75" s="101">
        <v>39375000</v>
      </c>
      <c r="U75" s="101">
        <v>39375000</v>
      </c>
      <c r="V75" s="101">
        <v>39375000</v>
      </c>
      <c r="W75" s="102">
        <v>0.0875</v>
      </c>
      <c r="X75" t="inlineStr">
        <is>
          <t>Lo obligado está por debajo de lo programado en la vigencia</t>
        </is>
      </c>
    </row>
    <row r="76">
      <c r="A76" t="inlineStr">
        <is>
          <t>IP-99</t>
        </is>
      </c>
      <c r="B76" t="inlineStr">
        <is>
          <t>21</t>
        </is>
      </c>
      <c r="C76" t="inlineStr">
        <is>
          <t>Minas y Energía</t>
        </is>
      </c>
      <c r="D76" t="inlineStr">
        <is>
          <t>2102</t>
        </is>
      </c>
      <c r="E76" t="inlineStr">
        <is>
          <t>Consolidación productiva del sector de energía eléctrica</t>
        </is>
      </c>
      <c r="F76" t="inlineStr">
        <is>
          <t>2102069</t>
        </is>
      </c>
      <c r="G76" t="inlineStr">
        <is>
          <t>Servicio de alumbrado público</t>
        </is>
      </c>
      <c r="H76" t="inlineStr">
        <is>
          <t>Corresponde a la prestación del servicio público no domiciliario de iluminación, inherente al servicio de energía eléctrica, que se presta con el fin de dar visibilidad al espacio público, bienes de uso público y demás espacios de libre circulación, con tránsito vehicular o peatonal, dentro del perímetro urbano y rural de un municipio o distrito, para el normal desarrollo de las actividades. El servicio de alumbrado público comprende las actividades de suministro de energía eléctrica al sistema de alumbrado público, la administración y operación de dicho sistema.</t>
        </is>
      </c>
      <c r="I76" t="inlineStr">
        <is>
          <t>2024252000042</t>
        </is>
      </c>
      <c r="J76" s="99">
        <v>1436165111.2</v>
      </c>
      <c r="K76" s="99">
        <v>1100000000</v>
      </c>
      <c r="L76" s="99">
        <v>105800000</v>
      </c>
      <c r="M76" s="99">
        <v>111936400</v>
      </c>
      <c r="N76" s="99">
        <v>118428711.2</v>
      </c>
      <c r="O76" s="99">
        <v>527729350</v>
      </c>
      <c r="P76" s="99">
        <v>527729350</v>
      </c>
      <c r="Q76" s="99">
        <v>527729350</v>
      </c>
      <c r="R76" s="100">
        <v>0.479753954545455</v>
      </c>
      <c r="S76" t="inlineStr">
        <is>
          <t>Lo obligado está por debajo de lo programado en la vigencia</t>
        </is>
      </c>
      <c r="T76" s="101">
        <v>146448610</v>
      </c>
      <c r="U76" s="101">
        <v>138398610</v>
      </c>
      <c r="V76" s="101">
        <v>138398610</v>
      </c>
      <c r="W76" s="102">
        <v>1.30811540642722</v>
      </c>
      <c r="X76" t="inlineStr">
        <is>
          <t>Hubo ejecución por encima de lo programado en SisPT</t>
        </is>
      </c>
    </row>
    <row r="77">
      <c r="A77" t="inlineStr">
        <is>
          <t>IP-100</t>
        </is>
      </c>
      <c r="B77" t="inlineStr">
        <is>
          <t>45</t>
        </is>
      </c>
      <c r="C77" t="inlineStr">
        <is>
          <t>Gobierno Territorial</t>
        </is>
      </c>
      <c r="D77" t="inlineStr">
        <is>
          <t>4599</t>
        </is>
      </c>
      <c r="E77" t="inlineStr">
        <is>
          <t>Fortalecimiento a la gestión y dirección de la administración pública territorial</t>
        </is>
      </c>
      <c r="F77" t="inlineStr">
        <is>
          <t>4599023</t>
        </is>
      </c>
      <c r="G77" t="inlineStr">
        <is>
          <t>Servicio de Implementación Sistemas de Gestión</t>
        </is>
      </c>
      <c r="H77" t="inlineStr">
        <is>
          <t>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is>
      </c>
      <c r="I77" t="inlineStr">
        <is>
          <t>2024252000050</t>
        </is>
      </c>
      <c r="J77" s="99">
        <v>288170680</v>
      </c>
      <c r="K77" s="99">
        <v>65755200</v>
      </c>
      <c r="L77" s="99">
        <v>70000000</v>
      </c>
      <c r="M77" s="99">
        <v>74060000</v>
      </c>
      <c r="N77" s="99">
        <v>78355480</v>
      </c>
      <c r="O77" s="99">
        <v>58192785</v>
      </c>
      <c r="P77" s="99">
        <v>58192785</v>
      </c>
      <c r="Q77" s="99">
        <v>58192785</v>
      </c>
      <c r="R77" s="100">
        <v>0.884991377107818</v>
      </c>
      <c r="S77" t="inlineStr">
        <is>
          <t>Lo obligado está por debajo de lo programado en la vigencia</t>
        </is>
      </c>
      <c r="T77" s="101">
        <v>86603146</v>
      </c>
      <c r="U77" s="101">
        <v>64703146</v>
      </c>
      <c r="V77" s="101">
        <v>64703146</v>
      </c>
      <c r="W77" s="102">
        <v>0.924330657142857</v>
      </c>
      <c r="X77" t="inlineStr">
        <is>
          <t>Lo obligado está por debajo de lo programado en la vigencia</t>
        </is>
      </c>
    </row>
    <row r="78">
      <c r="A78" t="inlineStr">
        <is>
          <t>IP-101</t>
        </is>
      </c>
      <c r="B78" t="inlineStr">
        <is>
          <t>45</t>
        </is>
      </c>
      <c r="C78" t="inlineStr">
        <is>
          <t>Gobierno Territorial</t>
        </is>
      </c>
      <c r="D78" t="inlineStr">
        <is>
          <t>4599</t>
        </is>
      </c>
      <c r="E78" t="inlineStr">
        <is>
          <t>Fortalecimiento a la gestión y dirección de la administración pública territorial</t>
        </is>
      </c>
      <c r="F78" t="inlineStr">
        <is>
          <t>4599019</t>
        </is>
      </c>
      <c r="G78" t="inlineStr">
        <is>
          <t>Documentos de planeación</t>
        </is>
      </c>
      <c r="H78"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78" t="inlineStr">
        <is>
          <t>2024252000051</t>
        </is>
      </c>
      <c r="J78" s="99">
        <v>254189120</v>
      </c>
      <c r="K78" s="99">
        <v>0</v>
      </c>
      <c r="L78" s="99">
        <v>80000000</v>
      </c>
      <c r="M78" s="99">
        <v>84640000</v>
      </c>
      <c r="N78" s="99">
        <v>89549120</v>
      </c>
      <c r="O78" s="99" t="inlineStr">
        <is>
          <t xml:space="preserve"> </t>
        </is>
      </c>
      <c r="P78" s="99" t="inlineStr">
        <is>
          <t xml:space="preserve"> </t>
        </is>
      </c>
      <c r="Q78" s="99" t="inlineStr">
        <is>
          <t xml:space="preserve"> </t>
        </is>
      </c>
      <c r="R78" s="100" t="inlineStr">
        <is>
          <t xml:space="preserve"> </t>
        </is>
      </c>
      <c r="S78" t="inlineStr">
        <is>
          <t>No se encontró ejecución en CUIPO</t>
        </is>
      </c>
      <c r="T78" s="101">
        <v>239827950</v>
      </c>
      <c r="U78" s="101">
        <v>60804750</v>
      </c>
      <c r="V78" s="101">
        <v>60804750</v>
      </c>
      <c r="W78" s="102">
        <v>0.760059375</v>
      </c>
      <c r="X78" t="inlineStr">
        <is>
          <t>Lo obligado está por debajo de lo programado en la vigencia</t>
        </is>
      </c>
    </row>
    <row r="79">
      <c r="A79" t="inlineStr">
        <is>
          <t>IP-102</t>
        </is>
      </c>
      <c r="B79" t="inlineStr">
        <is>
          <t>45</t>
        </is>
      </c>
      <c r="C79" t="inlineStr">
        <is>
          <t>Gobierno Territorial</t>
        </is>
      </c>
      <c r="D79" t="inlineStr">
        <is>
          <t>4599</t>
        </is>
      </c>
      <c r="E79" t="inlineStr">
        <is>
          <t>Fortalecimiento a la gestión y dirección de la administración pública territorial</t>
        </is>
      </c>
      <c r="F79" t="inlineStr">
        <is>
          <t>4599021</t>
        </is>
      </c>
      <c r="G79" t="inlineStr">
        <is>
          <t>Documentos normativos</t>
        </is>
      </c>
      <c r="H79" t="inlineStr">
        <is>
          <t>Incluye la realización de documentos de contenido normativo para la reglamentación de los proyectos de ley presentados y aprobados.</t>
        </is>
      </c>
      <c r="I79" t="inlineStr">
        <is>
          <t>2024252000052</t>
        </is>
      </c>
      <c r="J79" s="99">
        <v>70365059.5712</v>
      </c>
      <c r="K79" s="99">
        <v>11200000</v>
      </c>
      <c r="L79" s="99">
        <v>18620800</v>
      </c>
      <c r="M79" s="99">
        <v>19700806.4</v>
      </c>
      <c r="N79" s="99">
        <v>20843453.1712</v>
      </c>
      <c r="O79" s="99" t="inlineStr">
        <is>
          <t xml:space="preserve"> </t>
        </is>
      </c>
      <c r="P79" s="99" t="inlineStr">
        <is>
          <t xml:space="preserve"> </t>
        </is>
      </c>
      <c r="Q79" s="99" t="inlineStr">
        <is>
          <t xml:space="preserve"> </t>
        </is>
      </c>
      <c r="R79" s="100" t="inlineStr">
        <is>
          <t xml:space="preserve"> </t>
        </is>
      </c>
      <c r="S79" t="inlineStr">
        <is>
          <t>No se encontró ejecución en CUIPO</t>
        </is>
      </c>
      <c r="T79" s="101">
        <v>74000000</v>
      </c>
      <c r="U79" s="101">
        <v>42000000</v>
      </c>
      <c r="V79" s="101">
        <v>42000000</v>
      </c>
      <c r="W79" s="102">
        <v>2.25554218937962</v>
      </c>
      <c r="X79" t="inlineStr">
        <is>
          <t>Hubo ejecución por encima de lo programado en SisPT</t>
        </is>
      </c>
    </row>
    <row r="80">
      <c r="A80" t="inlineStr">
        <is>
          <t>IP-103</t>
        </is>
      </c>
      <c r="B80" t="inlineStr">
        <is>
          <t>45</t>
        </is>
      </c>
      <c r="C80" t="inlineStr">
        <is>
          <t>Gobierno Territorial</t>
        </is>
      </c>
      <c r="D80" t="inlineStr">
        <is>
          <t>4599</t>
        </is>
      </c>
      <c r="E80" t="inlineStr">
        <is>
          <t>Fortalecimiento a la gestión y dirección de la administración pública territorial</t>
        </is>
      </c>
      <c r="F80" t="inlineStr">
        <is>
          <t>4599038</t>
        </is>
      </c>
      <c r="G80" t="inlineStr">
        <is>
          <t>Servicio de apoyo financiero para el fortalecimiento del talento humano</t>
        </is>
      </c>
      <c r="H80" t="inlineStr">
        <is>
          <t>Corresponde al apoyo financiero para la realización de programas educativos, dirigidos a servidores públicos con el fin de contribuir a la formación del talento humano orientado al fortalecimiento de la capacidad institucional.</t>
        </is>
      </c>
      <c r="I80" t="inlineStr">
        <is>
          <t>2024252000053</t>
        </is>
      </c>
      <c r="J80" s="99">
        <v>1190730753.576</v>
      </c>
      <c r="K80" s="99">
        <v>273000000</v>
      </c>
      <c r="L80" s="99">
        <v>288834000</v>
      </c>
      <c r="M80" s="99">
        <v>305586372</v>
      </c>
      <c r="N80" s="99">
        <v>323310381.576</v>
      </c>
      <c r="O80" s="99" t="inlineStr">
        <is>
          <t xml:space="preserve"> </t>
        </is>
      </c>
      <c r="P80" s="99" t="inlineStr">
        <is>
          <t xml:space="preserve"> </t>
        </is>
      </c>
      <c r="Q80" s="99" t="inlineStr">
        <is>
          <t xml:space="preserve"> </t>
        </is>
      </c>
      <c r="R80" s="100" t="inlineStr">
        <is>
          <t xml:space="preserve"> </t>
        </is>
      </c>
      <c r="S80" t="inlineStr">
        <is>
          <t>No se encontró ejecución en CUIPO</t>
        </is>
      </c>
      <c r="T80" s="101">
        <v>307117000</v>
      </c>
      <c r="U80" s="101">
        <v>181878907</v>
      </c>
      <c r="V80" s="101">
        <v>181878907</v>
      </c>
      <c r="W80" s="102">
        <v>0.629700475013329</v>
      </c>
      <c r="X80" t="inlineStr">
        <is>
          <t>Lo obligado está por debajo de lo programado en la vigencia</t>
        </is>
      </c>
    </row>
    <row r="81">
      <c r="A81" t="inlineStr">
        <is>
          <t>IP-104</t>
        </is>
      </c>
      <c r="B81" t="inlineStr">
        <is>
          <t>45</t>
        </is>
      </c>
      <c r="C81" t="inlineStr">
        <is>
          <t>Gobierno Territorial</t>
        </is>
      </c>
      <c r="D81" t="inlineStr">
        <is>
          <t>4599</t>
        </is>
      </c>
      <c r="E81" t="inlineStr">
        <is>
          <t>Fortalecimiento a la gestión y dirección de la administración pública territorial</t>
        </is>
      </c>
      <c r="F81" t="inlineStr">
        <is>
          <t>4599025</t>
        </is>
      </c>
      <c r="G81" t="inlineStr">
        <is>
          <t>Servicios de información implementados</t>
        </is>
      </c>
      <c r="H81" t="inlineStr">
        <is>
          <t>Corresponde al proceso que asegura la disposición de la información de manera accesible, confiable y oportuna.</t>
        </is>
      </c>
      <c r="I81" t="inlineStr">
        <is>
          <t>2024252000053</t>
        </is>
      </c>
      <c r="J81" s="99">
        <v>218082555.6</v>
      </c>
      <c r="K81" s="99">
        <v>50000000</v>
      </c>
      <c r="L81" s="99">
        <v>52900000</v>
      </c>
      <c r="M81" s="99">
        <v>55968200</v>
      </c>
      <c r="N81" s="99">
        <v>59214355.6</v>
      </c>
      <c r="O81" s="99">
        <v>53496846</v>
      </c>
      <c r="P81" s="99">
        <v>0</v>
      </c>
      <c r="Q81" s="99">
        <v>0</v>
      </c>
      <c r="R81" s="100">
        <v>0</v>
      </c>
      <c r="S81" t="inlineStr">
        <is>
          <t>No se ejecutó en la vigencia</t>
        </is>
      </c>
      <c r="T81" s="101" t="inlineStr">
        <is>
          <t xml:space="preserve"> </t>
        </is>
      </c>
      <c r="U81" s="101" t="inlineStr">
        <is>
          <t xml:space="preserve"> </t>
        </is>
      </c>
      <c r="V81" s="101" t="inlineStr">
        <is>
          <t xml:space="preserve"> </t>
        </is>
      </c>
      <c r="W81" s="102" t="inlineStr">
        <is>
          <t xml:space="preserve"> </t>
        </is>
      </c>
      <c r="X81" t="inlineStr">
        <is>
          <t>No se encontró ejecución en CUIPO</t>
        </is>
      </c>
    </row>
    <row r="82">
      <c r="A82" t="inlineStr">
        <is>
          <t>IP-105</t>
        </is>
      </c>
      <c r="B82" t="inlineStr">
        <is>
          <t>45</t>
        </is>
      </c>
      <c r="C82" t="inlineStr">
        <is>
          <t>Gobierno Territorial</t>
        </is>
      </c>
      <c r="D82" t="inlineStr">
        <is>
          <t>4599</t>
        </is>
      </c>
      <c r="E82" t="inlineStr">
        <is>
          <t>Fortalecimiento a la gestión y dirección de la administración pública territorial</t>
        </is>
      </c>
      <c r="F82" t="inlineStr">
        <is>
          <t>4599021</t>
        </is>
      </c>
      <c r="G82" t="inlineStr">
        <is>
          <t>Documentos normativos</t>
        </is>
      </c>
      <c r="H82" t="inlineStr">
        <is>
          <t>Incluye la realización de documentos de contenido normativo para la reglamentación de los proyectos de ley presentados y aprobados.</t>
        </is>
      </c>
      <c r="I82" t="inlineStr">
        <is>
          <t>2024252000053</t>
        </is>
      </c>
      <c r="J82" s="99">
        <v>173044508</v>
      </c>
      <c r="K82" s="99">
        <v>113044508</v>
      </c>
      <c r="L82" s="99">
        <v>20000000</v>
      </c>
      <c r="M82" s="99">
        <v>20000000</v>
      </c>
      <c r="N82" s="99">
        <v>20000000</v>
      </c>
      <c r="O82" s="99" t="inlineStr">
        <is>
          <t xml:space="preserve"> </t>
        </is>
      </c>
      <c r="P82" s="99" t="inlineStr">
        <is>
          <t xml:space="preserve"> </t>
        </is>
      </c>
      <c r="Q82" s="99" t="inlineStr">
        <is>
          <t xml:space="preserve"> </t>
        </is>
      </c>
      <c r="R82" s="100" t="inlineStr">
        <is>
          <t xml:space="preserve"> </t>
        </is>
      </c>
      <c r="S82" t="inlineStr">
        <is>
          <t>No se encontró ejecución en CUIPO</t>
        </is>
      </c>
      <c r="T82" s="101">
        <v>1116300000</v>
      </c>
      <c r="U82" s="101">
        <v>1096268055</v>
      </c>
      <c r="V82" s="101">
        <v>1096268055</v>
      </c>
      <c r="W82" s="102">
        <v>54.81340275</v>
      </c>
      <c r="X82" t="inlineStr">
        <is>
          <t>Hubo ejecución por encima de lo programado en SisPT</t>
        </is>
      </c>
    </row>
    <row r="83">
      <c r="A83" t="inlineStr">
        <is>
          <t>IP-106</t>
        </is>
      </c>
      <c r="B83" t="inlineStr">
        <is>
          <t>45</t>
        </is>
      </c>
      <c r="C83" t="inlineStr">
        <is>
          <t>Gobierno Territorial</t>
        </is>
      </c>
      <c r="D83" t="inlineStr">
        <is>
          <t>4599</t>
        </is>
      </c>
      <c r="E83" t="inlineStr">
        <is>
          <t>Fortalecimiento a la gestión y dirección de la administración pública territorial</t>
        </is>
      </c>
      <c r="F83" t="inlineStr">
        <is>
          <t>4599031</t>
        </is>
      </c>
      <c r="G83" t="inlineStr">
        <is>
          <t>Servicio de asistencia técnica</t>
        </is>
      </c>
      <c r="H83" t="inlineStr">
        <is>
          <t>Corresponde al acompañamiento,apoyo,  asesoría y seguimiento técnico para la transferencia de herramientas de gestión y conocimiento en políticas, planes , proyectos y programas de apoyo a la dirección y gestión de la administración territorial.</t>
        </is>
      </c>
      <c r="I83" t="inlineStr">
        <is>
          <t>2024252000056</t>
        </is>
      </c>
      <c r="J83" s="99">
        <v>828021058.4</v>
      </c>
      <c r="K83" s="99">
        <v>0</v>
      </c>
      <c r="L83" s="99">
        <v>260600000</v>
      </c>
      <c r="M83" s="99">
        <v>275714800</v>
      </c>
      <c r="N83" s="99">
        <v>291706258.4</v>
      </c>
      <c r="O83" s="99" t="inlineStr">
        <is>
          <t xml:space="preserve"> </t>
        </is>
      </c>
      <c r="P83" s="99" t="inlineStr">
        <is>
          <t xml:space="preserve"> </t>
        </is>
      </c>
      <c r="Q83" s="99" t="inlineStr">
        <is>
          <t xml:space="preserve"> </t>
        </is>
      </c>
      <c r="R83" s="100" t="inlineStr">
        <is>
          <t xml:space="preserve"> </t>
        </is>
      </c>
      <c r="S83" t="inlineStr">
        <is>
          <t>No se encontró ejecución en CUIPO</t>
        </is>
      </c>
      <c r="T83" s="101">
        <v>224923333</v>
      </c>
      <c r="U83" s="101">
        <v>140415000</v>
      </c>
      <c r="V83" s="101">
        <v>140415000</v>
      </c>
      <c r="W83" s="102">
        <v>0.538814274750576</v>
      </c>
      <c r="X83" t="inlineStr">
        <is>
          <t>Lo obligado está por debajo de lo programado en la vigencia</t>
        </is>
      </c>
    </row>
    <row r="84">
      <c r="A84" t="inlineStr">
        <is>
          <t>IP-107, IP-108, IP-112</t>
        </is>
      </c>
      <c r="B84" t="inlineStr">
        <is>
          <t>45</t>
        </is>
      </c>
      <c r="C84" t="inlineStr">
        <is>
          <t>Gobierno Territorial</t>
        </is>
      </c>
      <c r="D84" t="inlineStr">
        <is>
          <t>4599</t>
        </is>
      </c>
      <c r="E84" t="inlineStr">
        <is>
          <t>Fortalecimiento a la gestión y dirección de la administración pública territorial</t>
        </is>
      </c>
      <c r="F84" t="inlineStr">
        <is>
          <t>4599025</t>
        </is>
      </c>
      <c r="G84" t="inlineStr">
        <is>
          <t>Servicios de información implementados</t>
        </is>
      </c>
      <c r="H84" t="inlineStr">
        <is>
          <t>Corresponde al proceso que asegura la disposición de la información de manera accesible, confiable y oportuna.</t>
        </is>
      </c>
      <c r="I84" t="inlineStr">
        <is>
          <t>2024252000054</t>
        </is>
      </c>
      <c r="J84" s="99">
        <v>740150010.369</v>
      </c>
      <c r="K84" s="99">
        <v>289450073</v>
      </c>
      <c r="L84" s="99">
        <v>144638177.234</v>
      </c>
      <c r="M84" s="99">
        <v>150127191.5136</v>
      </c>
      <c r="N84" s="99">
        <v>155934568.6214</v>
      </c>
      <c r="O84" s="99">
        <v>241064667</v>
      </c>
      <c r="P84" s="99">
        <v>241064667</v>
      </c>
      <c r="Q84" s="99">
        <v>241064667</v>
      </c>
      <c r="R84" s="100">
        <v>0.832836780801226</v>
      </c>
      <c r="S84" t="inlineStr">
        <is>
          <t>Lo obligado está por debajo de lo programado en la vigencia</t>
        </is>
      </c>
      <c r="T84" s="101">
        <v>72350000</v>
      </c>
      <c r="U84" s="101">
        <v>44200000</v>
      </c>
      <c r="V84" s="101">
        <v>44200000</v>
      </c>
      <c r="W84" s="102">
        <v>0.305590134259587</v>
      </c>
      <c r="X84" t="inlineStr">
        <is>
          <t>Lo obligado está por debajo de lo programado en la vigencia</t>
        </is>
      </c>
    </row>
    <row r="85">
      <c r="A85" t="inlineStr">
        <is>
          <t>IP-109</t>
        </is>
      </c>
      <c r="B85" t="inlineStr">
        <is>
          <t>45</t>
        </is>
      </c>
      <c r="C85" t="inlineStr">
        <is>
          <t>Gobierno Territorial</t>
        </is>
      </c>
      <c r="D85" t="inlineStr">
        <is>
          <t>4599</t>
        </is>
      </c>
      <c r="E85" t="inlineStr">
        <is>
          <t>Fortalecimiento a la gestión y dirección de la administración pública territorial</t>
        </is>
      </c>
      <c r="F85" t="inlineStr">
        <is>
          <t>4599023</t>
        </is>
      </c>
      <c r="G85" t="inlineStr">
        <is>
          <t>Servicio de Implementación Sistemas de Gestión</t>
        </is>
      </c>
      <c r="H85" t="inlineStr">
        <is>
          <t>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is>
      </c>
      <c r="I85" t="inlineStr">
        <is>
          <t>2024252000052</t>
        </is>
      </c>
      <c r="J85" s="99">
        <v>95320920</v>
      </c>
      <c r="K85" s="99">
        <v>0</v>
      </c>
      <c r="L85" s="99">
        <v>30000000</v>
      </c>
      <c r="M85" s="99">
        <v>31740000</v>
      </c>
      <c r="N85" s="99">
        <v>33580920</v>
      </c>
      <c r="O85" s="99" t="inlineStr">
        <is>
          <t xml:space="preserve"> </t>
        </is>
      </c>
      <c r="P85" s="99" t="inlineStr">
        <is>
          <t xml:space="preserve"> </t>
        </is>
      </c>
      <c r="Q85" s="99" t="inlineStr">
        <is>
          <t xml:space="preserve"> </t>
        </is>
      </c>
      <c r="R85" s="100" t="inlineStr">
        <is>
          <t xml:space="preserve"> </t>
        </is>
      </c>
      <c r="S85" t="inlineStr">
        <is>
          <t>No se encontró ejecución en CUIPO</t>
        </is>
      </c>
      <c r="T85" s="101">
        <v>10800000</v>
      </c>
      <c r="U85" s="101">
        <v>2400000</v>
      </c>
      <c r="V85" s="101">
        <v>2400000</v>
      </c>
      <c r="W85" s="102">
        <v>0.08</v>
      </c>
      <c r="X85" t="inlineStr">
        <is>
          <t>Lo obligado está por debajo de lo programado en la vigencia</t>
        </is>
      </c>
    </row>
    <row r="86">
      <c r="A86" t="inlineStr">
        <is>
          <t>IP-110</t>
        </is>
      </c>
      <c r="B86" t="inlineStr">
        <is>
          <t>45</t>
        </is>
      </c>
      <c r="C86" t="inlineStr">
        <is>
          <t>Gobierno Territorial</t>
        </is>
      </c>
      <c r="D86" t="inlineStr">
        <is>
          <t>4599</t>
        </is>
      </c>
      <c r="E86" t="inlineStr">
        <is>
          <t>Fortalecimiento a la gestión y dirección de la administración pública territorial</t>
        </is>
      </c>
      <c r="F86" t="inlineStr">
        <is>
          <t>4599017</t>
        </is>
      </c>
      <c r="G86" t="inlineStr">
        <is>
          <t>Servicio de gestión documental</t>
        </is>
      </c>
      <c r="H86" t="inlineStr">
        <is>
          <t>Conjunto de actividades administrativas y técnicas tendientes a la planificación, manejo y organización de la documentación producida y recibida por las entidades, desde su origen hasta su destino final, con el objeto de facilitar su utilización y conservación. (Ley 594 de 2000)</t>
        </is>
      </c>
      <c r="I86" t="inlineStr">
        <is>
          <t>2024252000050</t>
        </is>
      </c>
      <c r="J86" s="99">
        <v>108000000</v>
      </c>
      <c r="K86" s="99">
        <v>27000000</v>
      </c>
      <c r="L86" s="99">
        <v>27000000</v>
      </c>
      <c r="M86" s="99">
        <v>27000000</v>
      </c>
      <c r="N86" s="99">
        <v>27000000</v>
      </c>
      <c r="O86" s="99">
        <v>35760000</v>
      </c>
      <c r="P86" s="99">
        <v>30000000</v>
      </c>
      <c r="Q86" s="99">
        <v>30000000</v>
      </c>
      <c r="R86" s="100">
        <v>1.11111111111111</v>
      </c>
      <c r="S86" t="inlineStr">
        <is>
          <t>Hubo ejecución por encima de lo programado en SisPT</t>
        </is>
      </c>
      <c r="T86" s="101">
        <v>12880000</v>
      </c>
      <c r="U86" s="101">
        <v>12880000</v>
      </c>
      <c r="V86" s="101">
        <v>12880000</v>
      </c>
      <c r="W86" s="102">
        <v>0.477037037037037</v>
      </c>
      <c r="X86" t="inlineStr">
        <is>
          <t>Lo obligado está por debajo de lo programado en la vigencia</t>
        </is>
      </c>
    </row>
    <row r="87">
      <c r="A87" t="inlineStr">
        <is>
          <t>IP-111</t>
        </is>
      </c>
      <c r="B87" t="inlineStr">
        <is>
          <t>45</t>
        </is>
      </c>
      <c r="C87" t="inlineStr">
        <is>
          <t>Gobierno Territorial</t>
        </is>
      </c>
      <c r="D87" t="inlineStr">
        <is>
          <t>4599</t>
        </is>
      </c>
      <c r="E87" t="inlineStr">
        <is>
          <t>Fortalecimiento a la gestión y dirección de la administración pública territorial</t>
        </is>
      </c>
      <c r="F87" t="inlineStr">
        <is>
          <t>4599001</t>
        </is>
      </c>
      <c r="G87" t="inlineStr">
        <is>
          <t>Documentos de evaluación</t>
        </is>
      </c>
      <c r="H87" t="inlineStr">
        <is>
          <t>Documentos técnicos en donde se realiza el seguimiento y el análisis de resultados e impactos de una política pública a través de indicadores, índices y tasas y otras herramientas técnicas para la toma de decisiones.</t>
        </is>
      </c>
      <c r="I87" t="inlineStr">
        <is>
          <t>2024252000050</t>
        </is>
      </c>
      <c r="J87" s="99">
        <v>257939145.6</v>
      </c>
      <c r="K87" s="99">
        <v>97800000</v>
      </c>
      <c r="L87" s="99">
        <v>50400000</v>
      </c>
      <c r="M87" s="99">
        <v>53323200</v>
      </c>
      <c r="N87" s="99">
        <v>56415945.6</v>
      </c>
      <c r="O87" s="99">
        <v>22379524</v>
      </c>
      <c r="P87" s="99">
        <v>10619524</v>
      </c>
      <c r="Q87" s="99">
        <v>10619524</v>
      </c>
      <c r="R87" s="100">
        <v>0.10858408997955</v>
      </c>
      <c r="S87" t="inlineStr">
        <is>
          <t>Lo obligado está por debajo de lo programado en la vigencia</t>
        </is>
      </c>
      <c r="T87" s="101">
        <v>54880000</v>
      </c>
      <c r="U87" s="101">
        <v>26880000</v>
      </c>
      <c r="V87" s="101">
        <v>26880000</v>
      </c>
      <c r="W87" s="102">
        <v>0.533333333333333</v>
      </c>
      <c r="X87" t="inlineStr">
        <is>
          <t>Lo obligado está por debajo de lo programado en la vigencia</t>
        </is>
      </c>
    </row>
    <row r="88">
      <c r="A88" t="inlineStr">
        <is>
          <t>IP-113</t>
        </is>
      </c>
      <c r="B88" t="inlineStr">
        <is>
          <t>45</t>
        </is>
      </c>
      <c r="C88" t="inlineStr">
        <is>
          <t>Gobierno Territorial</t>
        </is>
      </c>
      <c r="D88" t="inlineStr">
        <is>
          <t>4599</t>
        </is>
      </c>
      <c r="E88" t="inlineStr">
        <is>
          <t>Fortalecimiento a la gestión y dirección de la administración pública territorial</t>
        </is>
      </c>
      <c r="F88" t="inlineStr">
        <is>
          <t>4599017</t>
        </is>
      </c>
      <c r="G88" t="inlineStr">
        <is>
          <t>Servicio de gestión documental</t>
        </is>
      </c>
      <c r="H88" t="inlineStr">
        <is>
          <t>Conjunto de actividades administrativas y técnicas tendientes a la planificación, manejo y organización de la documentación producida y recibida por las entidades, desde su origen hasta su destino final, con el objeto de facilitar su utilización y conservación. (Ley 594 de 2000)</t>
        </is>
      </c>
      <c r="I88" t="inlineStr">
        <is>
          <t>2024252000055</t>
        </is>
      </c>
      <c r="J88" s="99">
        <v>230000000</v>
      </c>
      <c r="K88" s="99">
        <v>10000000</v>
      </c>
      <c r="L88" s="99">
        <v>80000000</v>
      </c>
      <c r="M88" s="99">
        <v>60000000</v>
      </c>
      <c r="N88" s="99">
        <v>80000000</v>
      </c>
      <c r="O88" s="99">
        <v>68910394</v>
      </c>
      <c r="P88" s="99">
        <v>68910394</v>
      </c>
      <c r="Q88" s="99">
        <v>68910394</v>
      </c>
      <c r="R88" s="100">
        <v>6.8910394</v>
      </c>
      <c r="S88" t="inlineStr">
        <is>
          <t>Hubo ejecución por encima de lo programado en SisPT</t>
        </is>
      </c>
      <c r="T88" s="101">
        <v>67178500</v>
      </c>
      <c r="U88" s="101">
        <v>41785000</v>
      </c>
      <c r="V88" s="101">
        <v>41785000</v>
      </c>
      <c r="W88" s="102">
        <v>0.5223125</v>
      </c>
      <c r="X88" t="inlineStr">
        <is>
          <t>Lo obligado está por debajo de lo programado en la vigencia</t>
        </is>
      </c>
    </row>
    <row r="89">
      <c r="A89" t="inlineStr">
        <is>
          <t>IP-114</t>
        </is>
      </c>
      <c r="B89" t="inlineStr">
        <is>
          <t>45</t>
        </is>
      </c>
      <c r="C89" t="inlineStr">
        <is>
          <t>Gobierno Territorial</t>
        </is>
      </c>
      <c r="D89" t="inlineStr">
        <is>
          <t>4599</t>
        </is>
      </c>
      <c r="E89" t="inlineStr">
        <is>
          <t>Fortalecimiento a la gestión y dirección de la administración pública territorial</t>
        </is>
      </c>
      <c r="F89" t="inlineStr">
        <is>
          <t>4599019</t>
        </is>
      </c>
      <c r="G89" t="inlineStr">
        <is>
          <t>Documentos de planeación</t>
        </is>
      </c>
      <c r="H89"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89" t="inlineStr">
        <is>
          <t>2024252000050</t>
        </is>
      </c>
      <c r="J89" s="99">
        <v>63085568</v>
      </c>
      <c r="K89" s="99">
        <v>14000000</v>
      </c>
      <c r="L89" s="99">
        <v>15120000</v>
      </c>
      <c r="M89" s="99">
        <v>16329600</v>
      </c>
      <c r="N89" s="99">
        <v>17635968</v>
      </c>
      <c r="O89" s="99">
        <v>23600574</v>
      </c>
      <c r="P89" s="99">
        <v>23600574</v>
      </c>
      <c r="Q89" s="99">
        <v>23600574</v>
      </c>
      <c r="R89" s="100">
        <v>1.68575528571429</v>
      </c>
      <c r="S89" t="inlineStr">
        <is>
          <t>Hubo ejecución por encima de lo programado en SisPT</t>
        </is>
      </c>
      <c r="T89" s="101">
        <v>78252173</v>
      </c>
      <c r="U89" s="101">
        <v>55918840</v>
      </c>
      <c r="V89" s="101">
        <v>55918840</v>
      </c>
      <c r="W89" s="102">
        <v>3.69833597883598</v>
      </c>
      <c r="X89" t="inlineStr">
        <is>
          <t>Hubo ejecución por encima de lo programado en SisPT</t>
        </is>
      </c>
    </row>
    <row r="90">
      <c r="A90" t="inlineStr">
        <is>
          <t>IP-115</t>
        </is>
      </c>
      <c r="B90" t="inlineStr">
        <is>
          <t>45</t>
        </is>
      </c>
      <c r="C90" t="inlineStr">
        <is>
          <t>Gobierno Territorial</t>
        </is>
      </c>
      <c r="D90" t="inlineStr">
        <is>
          <t>4599</t>
        </is>
      </c>
      <c r="E90" t="inlineStr">
        <is>
          <t>Fortalecimiento a la gestión y dirección de la administración pública territorial</t>
        </is>
      </c>
      <c r="F90" t="inlineStr">
        <is>
          <t>4599025</t>
        </is>
      </c>
      <c r="G90" t="inlineStr">
        <is>
          <t>Servicios de información implementados</t>
        </is>
      </c>
      <c r="H90" t="inlineStr">
        <is>
          <t>Corresponde al proceso que asegura la disposición de la información de manera accesible, confiable y oportuna.</t>
        </is>
      </c>
      <c r="I90" t="inlineStr">
        <is>
          <t>2024252000050</t>
        </is>
      </c>
      <c r="J90" s="99">
        <v>61063115.568</v>
      </c>
      <c r="K90" s="99">
        <v>14000000</v>
      </c>
      <c r="L90" s="99">
        <v>14812000</v>
      </c>
      <c r="M90" s="99">
        <v>15671096</v>
      </c>
      <c r="N90" s="99">
        <v>16580019.568</v>
      </c>
      <c r="O90" s="99">
        <v>0</v>
      </c>
      <c r="P90" s="99">
        <v>0</v>
      </c>
      <c r="Q90" s="99">
        <v>0</v>
      </c>
      <c r="R90" s="100">
        <v>0</v>
      </c>
      <c r="S90" t="inlineStr">
        <is>
          <t>No se ejecutó en la vigencia</t>
        </is>
      </c>
      <c r="T90" s="101">
        <v>33000000</v>
      </c>
      <c r="U90" s="101">
        <v>21000000</v>
      </c>
      <c r="V90" s="101">
        <v>21000000</v>
      </c>
      <c r="W90" s="102">
        <v>1.41776937618147</v>
      </c>
      <c r="X90" t="inlineStr">
        <is>
          <t>Hubo ejecución por encima de lo programado en SisPT</t>
        </is>
      </c>
    </row>
    <row r="91">
      <c r="A91" t="inlineStr">
        <is>
          <t>IP-116</t>
        </is>
      </c>
      <c r="B91" t="inlineStr">
        <is>
          <t>45</t>
        </is>
      </c>
      <c r="C91" t="inlineStr">
        <is>
          <t>Gobierno Territorial</t>
        </is>
      </c>
      <c r="D91" t="inlineStr">
        <is>
          <t>4599</t>
        </is>
      </c>
      <c r="E91" t="inlineStr">
        <is>
          <t>Fortalecimiento a la gestión y dirección de la administración pública territorial</t>
        </is>
      </c>
      <c r="F91" t="inlineStr">
        <is>
          <t>4599031</t>
        </is>
      </c>
      <c r="G91" t="inlineStr">
        <is>
          <t>Servicio de asistencia técnica</t>
        </is>
      </c>
      <c r="H91" t="inlineStr">
        <is>
          <t>Corresponde al acompañamiento,apoyo,  asesoría y seguimiento técnico para la transferencia de herramientas de gestión y conocimiento en políticas, planes , proyectos y programas de apoyo a la dirección y gestión de la administración territorial.</t>
        </is>
      </c>
      <c r="I91" t="inlineStr">
        <is>
          <t>2024252000050</t>
        </is>
      </c>
      <c r="J91" s="99">
        <v>190513472</v>
      </c>
      <c r="K91" s="99">
        <v>38000000</v>
      </c>
      <c r="L91" s="99">
        <v>48000000</v>
      </c>
      <c r="M91" s="99">
        <v>50784000</v>
      </c>
      <c r="N91" s="99">
        <v>53729472</v>
      </c>
      <c r="O91" s="99">
        <v>16140000</v>
      </c>
      <c r="P91" s="99">
        <v>1140000</v>
      </c>
      <c r="Q91" s="99">
        <v>1140000</v>
      </c>
      <c r="R91" s="100">
        <v>0.03</v>
      </c>
      <c r="S91" t="inlineStr">
        <is>
          <t>Lo obligado está por debajo de lo programado en la vigencia</t>
        </is>
      </c>
      <c r="T91" s="101">
        <v>46880000</v>
      </c>
      <c r="U91" s="101">
        <v>33680000</v>
      </c>
      <c r="V91" s="101">
        <v>33680000</v>
      </c>
      <c r="W91" s="102">
        <v>0.701666666666667</v>
      </c>
      <c r="X91" t="inlineStr">
        <is>
          <t>Lo obligado está por debajo de lo programado en la vigencia</t>
        </is>
      </c>
    </row>
    <row r="92">
      <c r="A92" t="inlineStr">
        <is>
          <t>IP-117</t>
        </is>
      </c>
      <c r="B92" t="inlineStr">
        <is>
          <t>23</t>
        </is>
      </c>
      <c r="C92" t="inlineStr">
        <is>
          <t>Tecnologías de la información y las comunicaciones</t>
        </is>
      </c>
      <c r="D92" t="inlineStr">
        <is>
          <t>2302</t>
        </is>
      </c>
      <c r="E92" t="inlineStr">
        <is>
          <t>Fomento del desarrollo de aplicaciones, software y contenidos para impulsar la apropiación de las Tecnologías de la Información y las Comunicaciones (TIC)</t>
        </is>
      </c>
      <c r="F92" t="inlineStr">
        <is>
          <t>2302074</t>
        </is>
      </c>
      <c r="G92" t="inlineStr">
        <is>
          <t>Servicio de producción y/o coproducción de contenidos convergentes</t>
        </is>
      </c>
      <c r="H92" t="inlineStr">
        <is>
          <t>servicio de crear, producir o coproducir productos que incluyen: proyectos transmedia, ficciones, documentales, animaciones y aplicaciones para diferentes plataformas y dispositivos, videojuegos, libros interactivos y documentales interactivos.</t>
        </is>
      </c>
      <c r="I92" t="inlineStr">
        <is>
          <t>2024252000049</t>
        </is>
      </c>
      <c r="J92" s="99">
        <v>456994381.776</v>
      </c>
      <c r="K92" s="99">
        <v>79256640</v>
      </c>
      <c r="L92" s="99">
        <v>118884000</v>
      </c>
      <c r="M92" s="99">
        <v>125779272</v>
      </c>
      <c r="N92" s="99">
        <v>133074469.776</v>
      </c>
      <c r="O92" s="99">
        <v>10700000</v>
      </c>
      <c r="P92" s="99">
        <v>10700000</v>
      </c>
      <c r="Q92" s="99">
        <v>10700000</v>
      </c>
      <c r="R92" s="100">
        <v>0.135004461455848</v>
      </c>
      <c r="S92" t="inlineStr">
        <is>
          <t>Lo obligado está por debajo de lo programado en la vigencia</t>
        </is>
      </c>
      <c r="T92" s="101">
        <v>101665718</v>
      </c>
      <c r="U92" s="101">
        <v>56000000</v>
      </c>
      <c r="V92" s="101">
        <v>56000000</v>
      </c>
      <c r="W92" s="102">
        <v>0.471047407556946</v>
      </c>
      <c r="X92" t="inlineStr">
        <is>
          <t>Lo obligado está por debajo de lo programado en la vigencia</t>
        </is>
      </c>
    </row>
    <row r="93">
      <c r="J93" s="99"/>
      <c r="K93" s="99"/>
      <c r="L93" s="99"/>
      <c r="M93" s="99"/>
      <c r="N93" s="99"/>
      <c r="O93" s="99"/>
      <c r="P93" s="99"/>
      <c r="Q93" s="99"/>
      <c r="R93" s="100"/>
      <c r="T93" s="101"/>
      <c r="U93" s="101"/>
      <c r="V93" s="101"/>
      <c r="W93" s="102"/>
    </row>
  </sheetData>
  <mergeCells count="6">
    <mergeCell ref="T6:X6"/>
    <mergeCell ref="K6:N6"/>
    <mergeCell ref="O6:S6"/>
    <mergeCell ref="A2:L2"/>
    <mergeCell ref="A3:L3"/>
    <mergeCell ref="A4:L4"/>
  </mergeCells>
  <conditionalFormatting sqref="R8:R1048576">
    <cfRule type="cellIs" dxfId="3" priority="1" operator="between">
      <formula>1.00000001</formula>
      <formula>9999999999</formula>
    </cfRule>
  </conditionalFormatting>
  <conditionalFormatting sqref="R8:R1048576">
    <cfRule type="colorScale" priority="3">
      <colorScale>
        <cfvo type="num" val="0"/>
        <cfvo type="num" val="0.5"/>
        <cfvo type="num" val="1"/>
        <color rgb="FFFB9985"/>
        <color rgb="FFFCF797"/>
        <color rgb="FFADEC9E"/>
      </colorScale>
    </cfRule>
  </conditionalFormatting>
  <conditionalFormatting sqref="W8:W1048576">
    <cfRule type="cellIs" dxfId="2" priority="2" operator="between">
      <formula>1.00000001</formula>
      <formula>9999999999</formula>
    </cfRule>
  </conditionalFormatting>
  <conditionalFormatting sqref="W8:W1048576">
    <cfRule type="colorScale" priority="5">
      <colorScale>
        <cfvo type="num" val="0"/>
        <cfvo type="num" val="0.5"/>
        <cfvo type="num" val="1"/>
        <color rgb="FFFB9985"/>
        <color rgb="FFFCF797"/>
        <color rgb="FFADEC9E"/>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W93"/>
  <sheetViews>
    <sheetView showGridLines="0" zoomScale="85" zoomScaleNormal="85" workbookViewId="0">
      <selection activeCell="A7" sqref="A7"/>
    </sheetView>
  </sheetViews>
  <sheetFormatPr baseColWidth="10" defaultColWidth="11.42578125" defaultRowHeight="15" x14ac:dyDescent="0.25"/>
  <cols>
    <col min="1" max="1" width="13.42578125" customWidth="1"/>
    <col min="2" max="2" width="9" customWidth="1"/>
    <col min="3" max="3" width="19.28515625" customWidth="1"/>
    <col min="4" max="4" width="10.7109375" customWidth="1"/>
    <col min="5" max="5" width="19.28515625" customWidth="1"/>
    <col min="6" max="6" width="10.42578125" customWidth="1"/>
    <col min="7" max="7" width="18" customWidth="1"/>
    <col min="8" max="8" width="11.28515625" customWidth="1"/>
    <col min="9" max="9" width="19.28515625" customWidth="1"/>
    <col min="10" max="10" width="14.7109375" customWidth="1"/>
    <col min="11" max="11" width="12.85546875" customWidth="1"/>
    <col min="12" max="12" width="12" customWidth="1"/>
    <col min="13" max="13" width="10.85546875" customWidth="1"/>
    <col min="14" max="17" width="13.28515625" customWidth="1"/>
    <col min="18" max="18" width="17.7109375" customWidth="1"/>
    <col min="19" max="19" width="11.7109375" style="48" customWidth="1"/>
    <col min="20" max="20" width="28.140625" customWidth="1"/>
    <col min="21" max="21" width="17.7109375" customWidth="1"/>
    <col min="22" max="22" width="11.7109375" customWidth="1"/>
    <col min="23" max="23" width="28.140625" customWidth="1"/>
  </cols>
  <sheetData>
    <row r="1" spans="1:23" s="20" ht="26.25" customFormat="1" x14ac:dyDescent="0.3">
      <c r="A1" s="31" t="s">
        <v>116</v>
      </c>
      <c r="B1" s="4"/>
      <c r="C1" s="4"/>
      <c r="D1" s="4"/>
      <c r="E1" s="4"/>
      <c r="F1" s="4"/>
      <c r="G1" s="4"/>
      <c r="H1" s="4"/>
      <c r="I1" s="4"/>
      <c r="J1" s="4"/>
      <c r="K1" s="4"/>
      <c r="L1" s="4"/>
      <c r="M1" s="4"/>
      <c r="N1" s="4"/>
      <c r="O1" s="4"/>
      <c r="P1" s="4"/>
      <c r="Q1" s="4"/>
      <c r="R1" s="4"/>
      <c r="S1" s="47"/>
      <c r="T1" s="4"/>
      <c r="U1" s="4"/>
      <c r="V1" s="4"/>
      <c r="W1" s="4"/>
    </row>
    <row r="2" spans="1:23" s="20" ht="65.25" customFormat="1" customHeight="1" x14ac:dyDescent="0.3">
      <c r="A2" s="94" t="s">
        <v>117</v>
      </c>
      <c r="B2" s="94"/>
      <c r="C2" s="94"/>
      <c r="D2" s="94"/>
      <c r="E2" s="94"/>
      <c r="F2" s="94"/>
      <c r="G2" s="94"/>
      <c r="H2" s="94"/>
      <c r="I2" s="94"/>
      <c r="J2" s="94"/>
      <c r="K2" s="94"/>
      <c r="L2" s="94"/>
      <c r="M2" s="94"/>
      <c r="N2" s="46"/>
      <c r="O2" s="46"/>
      <c r="P2" s="46"/>
      <c r="Q2" s="4"/>
      <c r="R2" s="4"/>
      <c r="S2" s="47"/>
      <c r="T2" s="4"/>
      <c r="U2" s="4"/>
      <c r="V2" s="4"/>
      <c r="W2" s="4"/>
    </row>
    <row r="3" spans="1:23" s="20" ht="35.25" customFormat="1" customHeight="1" x14ac:dyDescent="0.3">
      <c r="A3" s="94" t="s">
        <v>119</v>
      </c>
      <c r="B3" s="94"/>
      <c r="C3" s="94"/>
      <c r="D3" s="94"/>
      <c r="E3" s="94"/>
      <c r="F3" s="94"/>
      <c r="G3" s="94"/>
      <c r="H3" s="94"/>
      <c r="I3" s="94"/>
      <c r="J3" s="94"/>
      <c r="K3" s="94"/>
      <c r="L3" s="94"/>
      <c r="M3" s="94"/>
      <c r="N3" s="46"/>
      <c r="O3" s="46"/>
      <c r="P3" s="46"/>
      <c r="Q3" s="4"/>
      <c r="R3" s="4"/>
      <c r="S3" s="47"/>
      <c r="T3" s="4"/>
      <c r="U3" s="4"/>
      <c r="V3" s="4"/>
      <c r="W3" s="4"/>
    </row>
    <row r="4" spans="1:23" s="20" ht="16.5" customFormat="1" x14ac:dyDescent="0.3">
      <c r="A4" s="95" t="s">
        <v>132</v>
      </c>
      <c r="B4" s="95"/>
      <c r="C4" s="95"/>
      <c r="D4" s="95"/>
      <c r="E4" s="95"/>
      <c r="F4" s="95"/>
      <c r="G4" s="95"/>
      <c r="H4" s="95"/>
      <c r="I4" s="95"/>
      <c r="J4" s="95"/>
      <c r="K4" s="95"/>
      <c r="L4" s="46"/>
      <c r="M4" s="46"/>
      <c r="N4" s="46"/>
      <c r="O4" s="46"/>
      <c r="P4" s="46"/>
      <c r="Q4" s="4"/>
      <c r="R4" s="4"/>
      <c r="S4" s="47"/>
      <c r="T4" s="4"/>
      <c r="U4" s="4"/>
      <c r="V4" s="4"/>
      <c r="W4" s="4"/>
    </row>
    <row r="5" spans="1:23" s="20" ht="9.75" customFormat="1" customHeight="1" x14ac:dyDescent="0.3">
      <c r="A5" s="46"/>
      <c r="B5" s="46"/>
      <c r="C5" s="46"/>
      <c r="D5" s="46"/>
      <c r="E5" s="46"/>
      <c r="F5" s="46"/>
      <c r="G5" s="46"/>
      <c r="H5" s="46"/>
      <c r="I5" s="46"/>
      <c r="J5" s="46"/>
      <c r="K5" s="46"/>
      <c r="L5" s="46"/>
      <c r="M5" s="46"/>
      <c r="N5" s="46"/>
      <c r="O5" s="46"/>
      <c r="P5" s="46"/>
      <c r="Q5" s="4"/>
      <c r="R5" s="4"/>
      <c r="S5" s="47"/>
      <c r="T5" s="4"/>
      <c r="U5" s="4"/>
      <c r="V5" s="4"/>
      <c r="W5" s="4"/>
    </row>
    <row r="6" spans="1:23" s="20" ht="20.45" customFormat="1" customHeight="1" x14ac:dyDescent="0.3">
      <c r="A6" s="4"/>
      <c r="B6" s="4"/>
      <c r="C6" s="4"/>
      <c r="D6" s="4"/>
      <c r="E6" s="4"/>
      <c r="F6" s="4"/>
      <c r="G6" s="4"/>
      <c r="H6" s="4"/>
      <c r="I6" s="4"/>
      <c r="J6" s="4"/>
      <c r="K6" s="4"/>
      <c r="L6" s="4"/>
      <c r="M6" s="4"/>
      <c r="N6" s="91" t="s">
        <v>133</v>
      </c>
      <c r="O6" s="92"/>
      <c r="P6" s="92"/>
      <c r="Q6" s="93"/>
      <c r="R6" s="96" t="s">
        <v>75</v>
      </c>
      <c r="S6" s="97"/>
      <c r="T6" s="98"/>
      <c r="U6" s="96" t="str">
        <f>CONCATENATE("Ejecución PIIP ",Resumen!$X$1)</f>
        <v>Ejecución PIIP (Dar clic en Habilitar Edición)</v>
      </c>
      <c r="V6" s="97"/>
      <c r="W6" s="98"/>
    </row>
    <row r="7" spans="1:23" s="20" ht="66" customFormat="1" x14ac:dyDescent="0.3">
      <c r="A7" s="16" t="inlineStr">
        <is>
          <t>Consecutivos IP (SisPT)</t>
        </is>
      </c>
      <c r="B7" s="16" t="inlineStr">
        <is>
          <t>Código Sector (MGA)</t>
        </is>
      </c>
      <c r="C7" s="16" t="inlineStr">
        <is>
          <t>Sector (MGA)</t>
        </is>
      </c>
      <c r="D7" s="16" t="inlineStr">
        <is>
          <t>Código Programa (MGA)</t>
        </is>
      </c>
      <c r="E7" s="16" t="inlineStr">
        <is>
          <t>Programa (MGA)</t>
        </is>
      </c>
      <c r="F7" s="16" t="inlineStr">
        <is>
          <t>Código Producto (MGA)</t>
        </is>
      </c>
      <c r="G7" s="16" t="inlineStr">
        <is>
          <t>Producto (MGA)</t>
        </is>
      </c>
      <c r="H7" s="16" t="inlineStr">
        <is>
          <t>Código Indicador Producto (MGA)</t>
        </is>
      </c>
      <c r="I7" s="16" t="inlineStr">
        <is>
          <t>Indicador Producto (MGA)</t>
        </is>
      </c>
      <c r="J7" s="16" t="inlineStr">
        <is>
          <t>Códigos BPIN Asociados</t>
        </is>
      </c>
      <c r="K7" s="16" t="inlineStr">
        <is>
          <t>Acumulativo</t>
        </is>
      </c>
      <c r="L7" s="16" t="inlineStr">
        <is>
          <t>Unidad de Medida</t>
        </is>
      </c>
      <c r="M7" s="16" t="inlineStr">
        <is>
          <t>Meta del Cuatrenio (SisPT)</t>
        </is>
      </c>
      <c r="N7" s="61" t="inlineStr">
        <is>
          <t>Programado 2024 (SisPT)</t>
        </is>
      </c>
      <c r="O7" s="16" t="inlineStr">
        <is>
          <t>Programado 2025 (SisPT)</t>
        </is>
      </c>
      <c r="P7" s="16" t="inlineStr">
        <is>
          <t>Programado 2026 (SisPT)</t>
        </is>
      </c>
      <c r="Q7" s="54" t="inlineStr">
        <is>
          <t>Programado 2027 (SisPT)</t>
        </is>
      </c>
      <c r="R7" s="57" t="inlineStr">
        <is>
          <t>Ejecución Física 2024 (PIIP)</t>
        </is>
      </c>
      <c r="S7" s="65" t="inlineStr">
        <is>
          <t>Avance físico 2024 (%)</t>
        </is>
      </c>
      <c r="T7" s="66" t="inlineStr">
        <is>
          <t>Explicación del valor 2024</t>
        </is>
      </c>
      <c r="U7" s="57" t="inlineStr">
        <is>
          <t>Ejecución Física 2025 (PIIP)</t>
        </is>
      </c>
      <c r="V7" s="65" t="inlineStr">
        <is>
          <t>Avance físico 2025 (%)</t>
        </is>
      </c>
      <c r="W7" s="66" t="inlineStr">
        <is>
          <t>Explicación del valor 2025</t>
        </is>
      </c>
    </row>
    <row r="8">
      <c r="A8" t="inlineStr">
        <is>
          <t>IP-1</t>
        </is>
      </c>
      <c r="B8" t="inlineStr">
        <is>
          <t>19</t>
        </is>
      </c>
      <c r="C8" t="inlineStr">
        <is>
          <t>Salud y protección social</t>
        </is>
      </c>
      <c r="D8" t="inlineStr">
        <is>
          <t>1903</t>
        </is>
      </c>
      <c r="E8" t="inlineStr">
        <is>
          <t>Inspección, vigilancia y control</t>
        </is>
      </c>
      <c r="F8" t="inlineStr">
        <is>
          <t>1903025</t>
        </is>
      </c>
      <c r="G8" t="inlineStr">
        <is>
          <t>Servicio de implementación de estrategias para el fortalecimiento del control social en salud</t>
        </is>
      </c>
      <c r="H8" t="inlineStr">
        <is>
          <t>190302500</t>
        </is>
      </c>
      <c r="I8" t="inlineStr">
        <is>
          <t>estrategias para el fortalecimiento del control social en salud implementadas</t>
        </is>
      </c>
      <c r="J8" t="inlineStr">
        <is>
          <t>2024252000001</t>
        </is>
      </c>
      <c r="K8" t="inlineStr">
        <is>
          <t>Si</t>
        </is>
      </c>
      <c r="L8" t="inlineStr">
        <is>
          <t>Número</t>
        </is>
      </c>
      <c r="M8">
        <v>1</v>
      </c>
      <c r="N8">
        <v>1</v>
      </c>
      <c r="O8">
        <v>1</v>
      </c>
      <c r="P8">
        <v>1</v>
      </c>
      <c r="Q8">
        <v>1</v>
      </c>
      <c r="R8" t="inlineStr">
        <is>
          <t xml:space="preserve"> </t>
        </is>
      </c>
      <c r="S8" s="103" t="inlineStr">
        <is>
          <t xml:space="preserve"> </t>
        </is>
      </c>
      <c r="T8" t="inlineStr">
        <is>
          <t>No se encontró ejecución en PIIP</t>
        </is>
      </c>
      <c r="U8" t="inlineStr">
        <is>
          <t xml:space="preserve"> </t>
        </is>
      </c>
      <c r="V8" s="104" t="inlineStr">
        <is>
          <t xml:space="preserve"> </t>
        </is>
      </c>
      <c r="W8" t="inlineStr">
        <is>
          <t>No se encontró ejecución en PIIP</t>
        </is>
      </c>
    </row>
    <row r="9">
      <c r="A9" t="inlineStr">
        <is>
          <t>IP-2</t>
        </is>
      </c>
      <c r="B9" t="inlineStr">
        <is>
          <t>19</t>
        </is>
      </c>
      <c r="C9" t="inlineStr">
        <is>
          <t>Salud y protección social</t>
        </is>
      </c>
      <c r="D9" t="inlineStr">
        <is>
          <t>1903</t>
        </is>
      </c>
      <c r="E9" t="inlineStr">
        <is>
          <t>Inspección, vigilancia y control</t>
        </is>
      </c>
      <c r="F9" t="inlineStr">
        <is>
          <t>1903020</t>
        </is>
      </c>
      <c r="G9" t="inlineStr">
        <is>
          <t>Servicio de diseño de metodologías, instrumentos y estrategias de inspección, vigilancia y control</t>
        </is>
      </c>
      <c r="H9" t="inlineStr">
        <is>
          <t>190302000</t>
        </is>
      </c>
      <c r="I9" t="inlineStr">
        <is>
          <t xml:space="preserve">Metodologías instrumentos y políticas de Inspección Vigilancia y Control diseñadas </t>
        </is>
      </c>
      <c r="J9" t="inlineStr">
        <is>
          <t>2024252000001</t>
        </is>
      </c>
      <c r="K9" t="inlineStr">
        <is>
          <t>Si</t>
        </is>
      </c>
      <c r="L9" t="inlineStr">
        <is>
          <t>Número</t>
        </is>
      </c>
      <c r="M9">
        <v>1</v>
      </c>
      <c r="N9">
        <v>1</v>
      </c>
      <c r="O9">
        <v>1</v>
      </c>
      <c r="P9">
        <v>1</v>
      </c>
      <c r="Q9">
        <v>1</v>
      </c>
      <c r="R9" t="inlineStr">
        <is>
          <t xml:space="preserve"> </t>
        </is>
      </c>
      <c r="S9" s="103" t="inlineStr">
        <is>
          <t xml:space="preserve"> </t>
        </is>
      </c>
      <c r="T9" t="inlineStr">
        <is>
          <t>No se encontró ejecución en PIIP</t>
        </is>
      </c>
      <c r="U9" t="inlineStr">
        <is>
          <t xml:space="preserve"> </t>
        </is>
      </c>
      <c r="V9" s="104" t="inlineStr">
        <is>
          <t xml:space="preserve"> </t>
        </is>
      </c>
      <c r="W9" t="inlineStr">
        <is>
          <t>No se encontró ejecución en PIIP</t>
        </is>
      </c>
    </row>
    <row r="10">
      <c r="A10" t="inlineStr">
        <is>
          <t>IP-3, IP-4</t>
        </is>
      </c>
      <c r="B10" t="inlineStr">
        <is>
          <t>19</t>
        </is>
      </c>
      <c r="C10" t="inlineStr">
        <is>
          <t>Salud y protección social</t>
        </is>
      </c>
      <c r="D10" t="inlineStr">
        <is>
          <t>1903</t>
        </is>
      </c>
      <c r="E10" t="inlineStr">
        <is>
          <t>Inspección, vigilancia y control</t>
        </is>
      </c>
      <c r="F10" t="inlineStr">
        <is>
          <t>1903046</t>
        </is>
      </c>
      <c r="G10" t="inlineStr">
        <is>
          <t>Documentos metodológicos</t>
        </is>
      </c>
      <c r="H10" t="inlineStr">
        <is>
          <t>190304600</t>
        </is>
      </c>
      <c r="I10" t="inlineStr">
        <is>
          <t>Documentos metodológicos elaborados</t>
        </is>
      </c>
      <c r="J10" t="inlineStr">
        <is>
          <t>2024252000001</t>
        </is>
      </c>
      <c r="K10" t="inlineStr">
        <is>
          <t>Si</t>
        </is>
      </c>
      <c r="L10" t="inlineStr">
        <is>
          <t>Número</t>
        </is>
      </c>
      <c r="M10">
        <v>2</v>
      </c>
      <c r="N10">
        <v>1</v>
      </c>
      <c r="O10">
        <v>2</v>
      </c>
      <c r="P10">
        <v>2</v>
      </c>
      <c r="Q10">
        <v>2</v>
      </c>
      <c r="R10" t="inlineStr">
        <is>
          <t xml:space="preserve"> </t>
        </is>
      </c>
      <c r="S10" s="103" t="inlineStr">
        <is>
          <t xml:space="preserve"> </t>
        </is>
      </c>
      <c r="T10" t="inlineStr">
        <is>
          <t>No se encontró ejecución en PIIP</t>
        </is>
      </c>
      <c r="U10" t="inlineStr">
        <is>
          <t xml:space="preserve"> </t>
        </is>
      </c>
      <c r="V10" s="104" t="inlineStr">
        <is>
          <t xml:space="preserve"> </t>
        </is>
      </c>
      <c r="W10" t="inlineStr">
        <is>
          <t>No se encontró ejecución en PIIP</t>
        </is>
      </c>
    </row>
    <row r="11">
      <c r="A11" t="inlineStr">
        <is>
          <t>IP-5</t>
        </is>
      </c>
      <c r="B11" t="inlineStr">
        <is>
          <t>19</t>
        </is>
      </c>
      <c r="C11" t="inlineStr">
        <is>
          <t>Salud y protección social</t>
        </is>
      </c>
      <c r="D11" t="inlineStr">
        <is>
          <t>1905</t>
        </is>
      </c>
      <c r="E11" t="inlineStr">
        <is>
          <t>Salud pública</t>
        </is>
      </c>
      <c r="F11" t="inlineStr">
        <is>
          <t>1905015</t>
        </is>
      </c>
      <c r="G11" t="inlineStr">
        <is>
          <t>Documentos de planeación</t>
        </is>
      </c>
      <c r="H11" t="inlineStr">
        <is>
          <t>190501501</t>
        </is>
      </c>
      <c r="I11" t="inlineStr">
        <is>
          <t>Planes de salud pública elaborados</t>
        </is>
      </c>
      <c r="J11" t="inlineStr">
        <is>
          <t>2024252000002</t>
        </is>
      </c>
      <c r="K11" t="inlineStr">
        <is>
          <t>Si</t>
        </is>
      </c>
      <c r="L11" t="inlineStr">
        <is>
          <t>Número</t>
        </is>
      </c>
      <c r="M11">
        <v>1</v>
      </c>
      <c r="N11">
        <v>1</v>
      </c>
      <c r="O11">
        <v>1</v>
      </c>
      <c r="P11">
        <v>1</v>
      </c>
      <c r="Q11">
        <v>1</v>
      </c>
      <c r="R11" t="inlineStr">
        <is>
          <t xml:space="preserve"> </t>
        </is>
      </c>
      <c r="S11" s="103" t="inlineStr">
        <is>
          <t xml:space="preserve"> </t>
        </is>
      </c>
      <c r="T11" t="inlineStr">
        <is>
          <t>No se encontró ejecución en PIIP</t>
        </is>
      </c>
      <c r="U11" t="inlineStr">
        <is>
          <t xml:space="preserve"> </t>
        </is>
      </c>
      <c r="V11" s="104" t="inlineStr">
        <is>
          <t xml:space="preserve"> </t>
        </is>
      </c>
      <c r="W11" t="inlineStr">
        <is>
          <t>No se encontró ejecución en PIIP</t>
        </is>
      </c>
    </row>
    <row r="12">
      <c r="A12" t="inlineStr">
        <is>
          <t>IP-6</t>
        </is>
      </c>
      <c r="B12" t="inlineStr">
        <is>
          <t>19</t>
        </is>
      </c>
      <c r="C12" t="inlineStr">
        <is>
          <t>Salud y protección social</t>
        </is>
      </c>
      <c r="D12" t="inlineStr">
        <is>
          <t>1905</t>
        </is>
      </c>
      <c r="E12" t="inlineStr">
        <is>
          <t>Salud pública</t>
        </is>
      </c>
      <c r="F12" t="inlineStr">
        <is>
          <t>1905049</t>
        </is>
      </c>
      <c r="G12" t="inlineStr">
        <is>
          <t>Servicio de promoción de la participación social en salud</t>
        </is>
      </c>
      <c r="H12" t="inlineStr">
        <is>
          <t>190504900</t>
        </is>
      </c>
      <c r="I12" t="inlineStr">
        <is>
          <t>Estrategias de promoción de la participación social en salud implementadas</t>
        </is>
      </c>
      <c r="J12" t="inlineStr">
        <is>
          <t>2024252000002</t>
        </is>
      </c>
      <c r="K12" t="inlineStr">
        <is>
          <t>Si</t>
        </is>
      </c>
      <c r="L12" t="inlineStr">
        <is>
          <t>Número</t>
        </is>
      </c>
      <c r="M12">
        <v>1</v>
      </c>
      <c r="N12">
        <v>1</v>
      </c>
      <c r="O12">
        <v>1</v>
      </c>
      <c r="P12">
        <v>1</v>
      </c>
      <c r="Q12">
        <v>1</v>
      </c>
      <c r="R12" t="inlineStr">
        <is>
          <t xml:space="preserve"> </t>
        </is>
      </c>
      <c r="S12" s="103" t="inlineStr">
        <is>
          <t xml:space="preserve"> </t>
        </is>
      </c>
      <c r="T12" t="inlineStr">
        <is>
          <t>No se encontró ejecución en PIIP</t>
        </is>
      </c>
      <c r="U12" t="inlineStr">
        <is>
          <t xml:space="preserve"> </t>
        </is>
      </c>
      <c r="V12" s="104" t="inlineStr">
        <is>
          <t xml:space="preserve"> </t>
        </is>
      </c>
      <c r="W12" t="inlineStr">
        <is>
          <t>No se encontró ejecución en PIIP</t>
        </is>
      </c>
    </row>
    <row r="13">
      <c r="A13" t="inlineStr">
        <is>
          <t>IP-7</t>
        </is>
      </c>
      <c r="B13" t="inlineStr">
        <is>
          <t>19</t>
        </is>
      </c>
      <c r="C13" t="inlineStr">
        <is>
          <t>Salud y protección social</t>
        </is>
      </c>
      <c r="D13" t="inlineStr">
        <is>
          <t>1906</t>
        </is>
      </c>
      <c r="E13" t="inlineStr">
        <is>
          <t>Aseguramiento y prestación integral de servicios de salud</t>
        </is>
      </c>
      <c r="F13" t="inlineStr">
        <is>
          <t>1906044</t>
        </is>
      </c>
      <c r="G13" t="inlineStr">
        <is>
          <t>Servicio de afiliaciones al régimen subsidiado del Sistema General de Seguridad Social</t>
        </is>
      </c>
      <c r="H13" t="inlineStr">
        <is>
          <t>190604400</t>
        </is>
      </c>
      <c r="I13" t="inlineStr">
        <is>
          <t>Personas afiliadas al régimen subsidiado</t>
        </is>
      </c>
      <c r="J13" t="inlineStr">
        <is>
          <t>2024252000003</t>
        </is>
      </c>
      <c r="K13" t="inlineStr">
        <is>
          <t>Si</t>
        </is>
      </c>
      <c r="L13" t="inlineStr">
        <is>
          <t>Número</t>
        </is>
      </c>
      <c r="M13">
        <v>48</v>
      </c>
      <c r="N13">
        <v>12</v>
      </c>
      <c r="O13">
        <v>12</v>
      </c>
      <c r="P13">
        <v>12</v>
      </c>
      <c r="Q13">
        <v>12</v>
      </c>
      <c r="R13" t="inlineStr">
        <is>
          <t xml:space="preserve"> </t>
        </is>
      </c>
      <c r="S13" s="103" t="inlineStr">
        <is>
          <t xml:space="preserve"> </t>
        </is>
      </c>
      <c r="T13" t="inlineStr">
        <is>
          <t>No se encontró ejecución en PIIP</t>
        </is>
      </c>
      <c r="U13" t="inlineStr">
        <is>
          <t xml:space="preserve"> </t>
        </is>
      </c>
      <c r="V13" s="104" t="inlineStr">
        <is>
          <t xml:space="preserve"> </t>
        </is>
      </c>
      <c r="W13" t="inlineStr">
        <is>
          <t>No se encontró ejecución en PIIP</t>
        </is>
      </c>
    </row>
    <row r="14">
      <c r="A14" t="inlineStr">
        <is>
          <t>IP-8</t>
        </is>
      </c>
      <c r="B14" t="inlineStr">
        <is>
          <t>19</t>
        </is>
      </c>
      <c r="C14" t="inlineStr">
        <is>
          <t>Salud y protección social</t>
        </is>
      </c>
      <c r="D14" t="inlineStr">
        <is>
          <t>1906</t>
        </is>
      </c>
      <c r="E14" t="inlineStr">
        <is>
          <t>Aseguramiento y prestación integral de servicios de salud</t>
        </is>
      </c>
      <c r="F14" t="inlineStr">
        <is>
          <t>1906004</t>
        </is>
      </c>
      <c r="G14" t="inlineStr">
        <is>
          <t>Servicio de atención en salud a la población</t>
        </is>
      </c>
      <c r="H14" t="inlineStr">
        <is>
          <t>190600400</t>
        </is>
      </c>
      <c r="I14" t="inlineStr">
        <is>
          <t>Personas atendidas con servicio de salud</t>
        </is>
      </c>
      <c r="J14" t="inlineStr">
        <is>
          <t>2024252000003</t>
        </is>
      </c>
      <c r="K14" t="inlineStr">
        <is>
          <t>Si</t>
        </is>
      </c>
      <c r="L14" t="inlineStr">
        <is>
          <t>Número</t>
        </is>
      </c>
      <c r="M14">
        <v>1</v>
      </c>
      <c r="N14">
        <v>1</v>
      </c>
      <c r="O14">
        <v>1</v>
      </c>
      <c r="P14">
        <v>1</v>
      </c>
      <c r="Q14">
        <v>1</v>
      </c>
      <c r="R14" t="inlineStr">
        <is>
          <t xml:space="preserve"> </t>
        </is>
      </c>
      <c r="S14" s="103" t="inlineStr">
        <is>
          <t xml:space="preserve"> </t>
        </is>
      </c>
      <c r="T14" t="inlineStr">
        <is>
          <t>No se encontró ejecución en PIIP</t>
        </is>
      </c>
      <c r="U14" t="inlineStr">
        <is>
          <t xml:space="preserve"> </t>
        </is>
      </c>
      <c r="V14" s="104" t="inlineStr">
        <is>
          <t xml:space="preserve"> </t>
        </is>
      </c>
      <c r="W14" t="inlineStr">
        <is>
          <t>No se encontró ejecución en PIIP</t>
        </is>
      </c>
    </row>
    <row r="15">
      <c r="A15" t="inlineStr">
        <is>
          <t>IP-9</t>
        </is>
      </c>
      <c r="B15" t="inlineStr">
        <is>
          <t>43</t>
        </is>
      </c>
      <c r="C15" t="inlineStr">
        <is>
          <t>Deporte y Recreación</t>
        </is>
      </c>
      <c r="D15" t="inlineStr">
        <is>
          <t>4301</t>
        </is>
      </c>
      <c r="E15" t="inlineStr">
        <is>
          <t>Fomento a la recreación, la actividad física y el deporte para desarrollar entornos de convivencia y paz</t>
        </is>
      </c>
      <c r="F15" t="inlineStr">
        <is>
          <t>4301037</t>
        </is>
      </c>
      <c r="G15" t="inlineStr">
        <is>
          <t>Servicio de promoción de la actividad física, la recreación y el deporte</t>
        </is>
      </c>
      <c r="H15" t="inlineStr">
        <is>
          <t>430103702</t>
        </is>
      </c>
      <c r="I15" t="inlineStr">
        <is>
          <t>Instituciones educativas vinculadas al programa Supérate-Intercolegiados</t>
        </is>
      </c>
      <c r="J15" t="inlineStr">
        <is>
          <t>2024252000004</t>
        </is>
      </c>
      <c r="K15" t="inlineStr">
        <is>
          <t>Si</t>
        </is>
      </c>
      <c r="L15" t="inlineStr">
        <is>
          <t>Número</t>
        </is>
      </c>
      <c r="M15">
        <v>19</v>
      </c>
      <c r="N15">
        <v>19</v>
      </c>
      <c r="O15">
        <v>19</v>
      </c>
      <c r="P15">
        <v>19</v>
      </c>
      <c r="Q15">
        <v>19</v>
      </c>
      <c r="R15" t="inlineStr">
        <is>
          <t xml:space="preserve"> </t>
        </is>
      </c>
      <c r="S15" s="103" t="inlineStr">
        <is>
          <t xml:space="preserve"> </t>
        </is>
      </c>
      <c r="T15" t="inlineStr">
        <is>
          <t>No se encontró ejecución en PIIP</t>
        </is>
      </c>
      <c r="U15" t="inlineStr">
        <is>
          <t xml:space="preserve"> </t>
        </is>
      </c>
      <c r="V15" s="104" t="inlineStr">
        <is>
          <t xml:space="preserve"> </t>
        </is>
      </c>
      <c r="W15" t="inlineStr">
        <is>
          <t>No se encontró ejecución en PIIP</t>
        </is>
      </c>
    </row>
    <row r="16">
      <c r="A16" t="inlineStr">
        <is>
          <t>IP-10</t>
        </is>
      </c>
      <c r="B16" t="inlineStr">
        <is>
          <t>43</t>
        </is>
      </c>
      <c r="C16" t="inlineStr">
        <is>
          <t>Deporte y Recreación</t>
        </is>
      </c>
      <c r="D16" t="inlineStr">
        <is>
          <t>4301</t>
        </is>
      </c>
      <c r="E16" t="inlineStr">
        <is>
          <t>Fomento a la recreación, la actividad física y el deporte para desarrollar entornos de convivencia y paz</t>
        </is>
      </c>
      <c r="F16" t="inlineStr">
        <is>
          <t>4301003</t>
        </is>
      </c>
      <c r="G16" t="inlineStr">
        <is>
          <t>Servicio de administración de la infraestructura deportiva</t>
        </is>
      </c>
      <c r="H16" t="inlineStr">
        <is>
          <t>430100300</t>
        </is>
      </c>
      <c r="I16" t="inlineStr">
        <is>
          <t>Infraestructura deportiva en operación</t>
        </is>
      </c>
      <c r="J16" t="inlineStr">
        <is>
          <t>2024252000005</t>
        </is>
      </c>
      <c r="K16" t="inlineStr">
        <is>
          <t>Si</t>
        </is>
      </c>
      <c r="L16" t="inlineStr">
        <is>
          <t>Número</t>
        </is>
      </c>
      <c r="M16">
        <v>30</v>
      </c>
      <c r="N16">
        <v>30</v>
      </c>
      <c r="O16">
        <v>30</v>
      </c>
      <c r="P16">
        <v>30</v>
      </c>
      <c r="Q16">
        <v>30</v>
      </c>
      <c r="R16" t="inlineStr">
        <is>
          <t xml:space="preserve"> </t>
        </is>
      </c>
      <c r="S16" s="103" t="inlineStr">
        <is>
          <t xml:space="preserve"> </t>
        </is>
      </c>
      <c r="T16" t="inlineStr">
        <is>
          <t>No se encontró ejecución en PIIP</t>
        </is>
      </c>
      <c r="U16" t="inlineStr">
        <is>
          <t xml:space="preserve"> </t>
        </is>
      </c>
      <c r="V16" s="104" t="inlineStr">
        <is>
          <t xml:space="preserve"> </t>
        </is>
      </c>
      <c r="W16" t="inlineStr">
        <is>
          <t>No se encontró ejecución en PIIP</t>
        </is>
      </c>
    </row>
    <row r="17">
      <c r="A17" t="inlineStr">
        <is>
          <t>IP-11, IP-12</t>
        </is>
      </c>
      <c r="B17" t="inlineStr">
        <is>
          <t>43</t>
        </is>
      </c>
      <c r="C17" t="inlineStr">
        <is>
          <t>Deporte y Recreación</t>
        </is>
      </c>
      <c r="D17" t="inlineStr">
        <is>
          <t>4302</t>
        </is>
      </c>
      <c r="E17" t="inlineStr">
        <is>
          <t>Formación y preparación de deportistas</t>
        </is>
      </c>
      <c r="F17" t="inlineStr">
        <is>
          <t>4302001</t>
        </is>
      </c>
      <c r="G17" t="inlineStr">
        <is>
          <t>Servicio de preparación deportiva</t>
        </is>
      </c>
      <c r="H17" t="inlineStr">
        <is>
          <t>430200100</t>
        </is>
      </c>
      <c r="I17" t="inlineStr">
        <is>
          <t>Atletas preparados</t>
        </is>
      </c>
      <c r="J17" t="inlineStr">
        <is>
          <t>2024252000006</t>
        </is>
      </c>
      <c r="K17" t="inlineStr">
        <is>
          <t>Si</t>
        </is>
      </c>
      <c r="L17" t="inlineStr">
        <is>
          <t>Número</t>
        </is>
      </c>
      <c r="M17">
        <v>2</v>
      </c>
      <c r="N17">
        <v>2</v>
      </c>
      <c r="O17">
        <v>2</v>
      </c>
      <c r="P17">
        <v>2</v>
      </c>
      <c r="Q17">
        <v>2</v>
      </c>
      <c r="R17">
        <v>193</v>
      </c>
      <c r="S17" s="103">
        <v>96.5</v>
      </c>
      <c r="T17" t="inlineStr">
        <is>
          <t>Hubo ejecución por encima de lo programado en SisPT</t>
        </is>
      </c>
      <c r="U17">
        <v>76</v>
      </c>
      <c r="V17" s="104">
        <v>38</v>
      </c>
      <c r="W17" t="inlineStr">
        <is>
          <t>Hubo ejecución por encima de lo programado en SisPT</t>
        </is>
      </c>
    </row>
    <row r="18">
      <c r="A18" t="inlineStr">
        <is>
          <t>IP-13, IP-14</t>
        </is>
      </c>
      <c r="B18" t="inlineStr">
        <is>
          <t>22</t>
        </is>
      </c>
      <c r="C18" t="inlineStr">
        <is>
          <t>Educación</t>
        </is>
      </c>
      <c r="D18" t="inlineStr">
        <is>
          <t>2201</t>
        </is>
      </c>
      <c r="E18" t="inlineStr">
        <is>
          <t>Calidad, cobertura y fortalecimiento de la educación inicial, prescolar, básica y media</t>
        </is>
      </c>
      <c r="F18" t="inlineStr">
        <is>
          <t>2201028</t>
        </is>
      </c>
      <c r="G18" t="inlineStr">
        <is>
          <t>Servicio de apoyo a la permanencia con alimentación escolar</t>
        </is>
      </c>
      <c r="H18" t="inlineStr">
        <is>
          <t>220102801</t>
        </is>
      </c>
      <c r="I18" t="inlineStr">
        <is>
          <t>Beneficiarios de la alimentación escolar</t>
        </is>
      </c>
      <c r="J18" t="inlineStr">
        <is>
          <t>2024252000010</t>
        </is>
      </c>
      <c r="K18" t="inlineStr">
        <is>
          <t>Si</t>
        </is>
      </c>
      <c r="L18" t="inlineStr">
        <is>
          <t>Número</t>
        </is>
      </c>
      <c r="M18">
        <v>3551</v>
      </c>
      <c r="N18">
        <v>3459</v>
      </c>
      <c r="O18">
        <v>3501</v>
      </c>
      <c r="P18">
        <v>3501</v>
      </c>
      <c r="Q18">
        <v>3551</v>
      </c>
      <c r="R18">
        <v>0</v>
      </c>
      <c r="S18" s="103">
        <v>0</v>
      </c>
      <c r="T18" t="inlineStr">
        <is>
          <t>No se ejecutó en la vigencia</t>
        </is>
      </c>
      <c r="U18">
        <v>3489</v>
      </c>
      <c r="V18" s="104">
        <v>0.996572407883462</v>
      </c>
      <c r="W18" t="inlineStr">
        <is>
          <t>Lo ejecutado está por debajo de lo programado en la vigencia</t>
        </is>
      </c>
    </row>
    <row r="19">
      <c r="A19" t="inlineStr">
        <is>
          <t>IP-15, IP-16</t>
        </is>
      </c>
      <c r="B19" t="inlineStr">
        <is>
          <t>22</t>
        </is>
      </c>
      <c r="C19" t="inlineStr">
        <is>
          <t>Educación</t>
        </is>
      </c>
      <c r="D19" t="inlineStr">
        <is>
          <t>2201</t>
        </is>
      </c>
      <c r="E19" t="inlineStr">
        <is>
          <t>Calidad, cobertura y fortalecimiento de la educación inicial, prescolar, básica y media</t>
        </is>
      </c>
      <c r="F19" t="inlineStr">
        <is>
          <t>2201029</t>
        </is>
      </c>
      <c r="G19" t="inlineStr">
        <is>
          <t>Servicio de apoyo a la permanencia con transporte escolar</t>
        </is>
      </c>
      <c r="H19" t="inlineStr">
        <is>
          <t>220102900</t>
        </is>
      </c>
      <c r="I19" t="inlineStr">
        <is>
          <t>Beneficiarios de transporte escolar</t>
        </is>
      </c>
      <c r="J19" t="inlineStr">
        <is>
          <t>2024252000010</t>
        </is>
      </c>
      <c r="K19" t="inlineStr">
        <is>
          <t>Si</t>
        </is>
      </c>
      <c r="L19" t="inlineStr">
        <is>
          <t>Número</t>
        </is>
      </c>
      <c r="M19">
        <v>642</v>
      </c>
      <c r="N19">
        <v>594</v>
      </c>
      <c r="O19">
        <v>611</v>
      </c>
      <c r="P19">
        <v>626</v>
      </c>
      <c r="Q19">
        <v>642</v>
      </c>
      <c r="R19">
        <v>160.25</v>
      </c>
      <c r="S19" s="103">
        <v>0.269781144781145</v>
      </c>
      <c r="T19" t="inlineStr">
        <is>
          <t>Lo ejecutado está por debajo de lo programado en la vigencia</t>
        </is>
      </c>
      <c r="U19">
        <v>613</v>
      </c>
      <c r="V19" s="104">
        <v>1.00327332242226</v>
      </c>
      <c r="W19" t="inlineStr">
        <is>
          <t>Hubo ejecución por encima de lo programado en SisPT</t>
        </is>
      </c>
    </row>
    <row r="20">
      <c r="A20" t="inlineStr">
        <is>
          <t>IP-17, IP-19, IP-20, IP-21</t>
        </is>
      </c>
      <c r="B20" t="inlineStr">
        <is>
          <t>22</t>
        </is>
      </c>
      <c r="C20" t="inlineStr">
        <is>
          <t>Educación</t>
        </is>
      </c>
      <c r="D20" t="inlineStr">
        <is>
          <t>2201</t>
        </is>
      </c>
      <c r="E20" t="inlineStr">
        <is>
          <t>Calidad, cobertura y fortalecimiento de la educación inicial, prescolar, básica y media</t>
        </is>
      </c>
      <c r="F20" t="inlineStr">
        <is>
          <t>2201001</t>
        </is>
      </c>
      <c r="G20" t="inlineStr">
        <is>
          <t>Documentos de planeación</t>
        </is>
      </c>
      <c r="H20" t="inlineStr">
        <is>
          <t>220100100</t>
        </is>
      </c>
      <c r="I20" t="inlineStr">
        <is>
          <t>Documentos de planeación para la educación inicial, preescolar, básica y media emitidos</t>
        </is>
      </c>
      <c r="J20" t="inlineStr">
        <is>
          <t>2024252000009</t>
        </is>
      </c>
      <c r="K20" t="inlineStr">
        <is>
          <t>Si</t>
        </is>
      </c>
      <c r="L20" t="inlineStr">
        <is>
          <t>Número</t>
        </is>
      </c>
      <c r="M20">
        <v>1003</v>
      </c>
      <c r="N20">
        <v>1003</v>
      </c>
      <c r="O20">
        <v>1003</v>
      </c>
      <c r="P20">
        <v>1003</v>
      </c>
      <c r="Q20">
        <v>1003</v>
      </c>
      <c r="R20">
        <v>0</v>
      </c>
      <c r="S20" s="103">
        <v>0</v>
      </c>
      <c r="T20" t="inlineStr">
        <is>
          <t>No se ejecutó en la vigencia</t>
        </is>
      </c>
      <c r="U20">
        <v>3</v>
      </c>
      <c r="V20" s="104">
        <v>0.00299102691924227</v>
      </c>
      <c r="W20" t="inlineStr">
        <is>
          <t>Lo ejecutado está por debajo de lo programado en la vigencia</t>
        </is>
      </c>
    </row>
    <row r="21">
      <c r="A21" t="inlineStr">
        <is>
          <t>IP-18</t>
        </is>
      </c>
      <c r="B21" t="inlineStr">
        <is>
          <t>22</t>
        </is>
      </c>
      <c r="C21" t="inlineStr">
        <is>
          <t>Educación</t>
        </is>
      </c>
      <c r="D21" t="inlineStr">
        <is>
          <t>2201</t>
        </is>
      </c>
      <c r="E21" t="inlineStr">
        <is>
          <t>Calidad, cobertura y fortalecimiento de la educación inicial, prescolar, básica y media</t>
        </is>
      </c>
      <c r="F21" t="inlineStr">
        <is>
          <t>2201071</t>
        </is>
      </c>
      <c r="G21" t="inlineStr">
        <is>
          <t>Servicio educativo</t>
        </is>
      </c>
      <c r="H21" t="inlineStr">
        <is>
          <t>220107100</t>
        </is>
      </c>
      <c r="I21" t="inlineStr">
        <is>
          <t>Establecimientos educativos en operación</t>
        </is>
      </c>
      <c r="J21" t="inlineStr">
        <is>
          <t>2024252000010</t>
        </is>
      </c>
      <c r="K21" t="inlineStr">
        <is>
          <t>Si</t>
        </is>
      </c>
      <c r="L21" t="inlineStr">
        <is>
          <t>Número</t>
        </is>
      </c>
      <c r="M21">
        <v>5</v>
      </c>
      <c r="N21">
        <v>5</v>
      </c>
      <c r="O21">
        <v>5</v>
      </c>
      <c r="P21">
        <v>5</v>
      </c>
      <c r="Q21">
        <v>5</v>
      </c>
      <c r="R21">
        <v>1.25</v>
      </c>
      <c r="S21" s="103">
        <v>0.25</v>
      </c>
      <c r="T21" t="inlineStr">
        <is>
          <t>Lo ejecutado está por debajo de lo programado en la vigencia</t>
        </is>
      </c>
      <c r="U21">
        <v>0</v>
      </c>
      <c r="V21" s="104">
        <v>0</v>
      </c>
      <c r="W21" t="inlineStr">
        <is>
          <t>No se ejecutó en la vigencia</t>
        </is>
      </c>
    </row>
    <row r="22">
      <c r="A22" t="inlineStr">
        <is>
          <t>IP-22</t>
        </is>
      </c>
      <c r="B22" t="inlineStr">
        <is>
          <t>22</t>
        </is>
      </c>
      <c r="C22" t="inlineStr">
        <is>
          <t>Educación</t>
        </is>
      </c>
      <c r="D22" t="inlineStr">
        <is>
          <t>2202</t>
        </is>
      </c>
      <c r="E22" t="inlineStr">
        <is>
          <t>Calidad y fomento de la educación superior</t>
        </is>
      </c>
      <c r="F22" t="inlineStr">
        <is>
          <t>2202065</t>
        </is>
      </c>
      <c r="G22" t="inlineStr">
        <is>
          <t xml:space="preserve">Servicio de apoyo financiero para el acceso y permanencia a la educación superior </t>
        </is>
      </c>
      <c r="H22" t="inlineStr">
        <is>
          <t>220206500</t>
        </is>
      </c>
      <c r="I22" t="inlineStr">
        <is>
          <t xml:space="preserve">Beneficiarios de estrategias o programas de  apoyo financiero para el acceso y permanencia en la educación superior  </t>
        </is>
      </c>
      <c r="J22" t="inlineStr">
        <is>
          <t>2024252000007</t>
        </is>
      </c>
      <c r="K22" t="inlineStr">
        <is>
          <t>Si</t>
        </is>
      </c>
      <c r="L22" t="inlineStr">
        <is>
          <t>Número</t>
        </is>
      </c>
      <c r="M22">
        <v>1</v>
      </c>
      <c r="N22">
        <v>1</v>
      </c>
      <c r="O22">
        <v>1</v>
      </c>
      <c r="P22">
        <v>1</v>
      </c>
      <c r="Q22">
        <v>1</v>
      </c>
      <c r="R22">
        <v>0</v>
      </c>
      <c r="S22" s="103">
        <v>0</v>
      </c>
      <c r="T22" t="inlineStr">
        <is>
          <t>No se ejecutó en la vigencia</t>
        </is>
      </c>
      <c r="U22" t="inlineStr">
        <is>
          <t xml:space="preserve"> </t>
        </is>
      </c>
      <c r="V22" s="104" t="inlineStr">
        <is>
          <t xml:space="preserve"> </t>
        </is>
      </c>
      <c r="W22" t="inlineStr">
        <is>
          <t>No se encontró ejecución en PIIP</t>
        </is>
      </c>
    </row>
    <row r="23">
      <c r="A23" t="inlineStr">
        <is>
          <t>IP-23</t>
        </is>
      </c>
      <c r="B23" t="inlineStr">
        <is>
          <t>33</t>
        </is>
      </c>
      <c r="C23" t="inlineStr">
        <is>
          <t>Cultura</t>
        </is>
      </c>
      <c r="D23" t="inlineStr">
        <is>
          <t>3301</t>
        </is>
      </c>
      <c r="E23" t="inlineStr">
        <is>
          <t>Promoción y acceso efectivo a procesos culturales y artísticos</t>
        </is>
      </c>
      <c r="F23" t="inlineStr">
        <is>
          <t>3301068</t>
        </is>
      </c>
      <c r="G23" t="inlineStr">
        <is>
          <t>Servicio de mantenimiento de infraestructura cultural</t>
        </is>
      </c>
      <c r="H23" t="inlineStr">
        <is>
          <t>330106800</t>
        </is>
      </c>
      <c r="I23" t="inlineStr">
        <is>
          <t>Infraestructura cultural intervenida</t>
        </is>
      </c>
      <c r="J23" t="inlineStr">
        <is>
          <t>2024252000011</t>
        </is>
      </c>
      <c r="K23" t="inlineStr">
        <is>
          <t>Si</t>
        </is>
      </c>
      <c r="L23" t="inlineStr">
        <is>
          <t>Número</t>
        </is>
      </c>
      <c r="M23">
        <v>3</v>
      </c>
      <c r="N23">
        <v>3</v>
      </c>
      <c r="O23">
        <v>3</v>
      </c>
      <c r="P23">
        <v>3</v>
      </c>
      <c r="Q23">
        <v>3</v>
      </c>
      <c r="R23">
        <v>0</v>
      </c>
      <c r="S23" s="103">
        <v>0</v>
      </c>
      <c r="T23" t="inlineStr">
        <is>
          <t>No se ejecutó en la vigencia</t>
        </is>
      </c>
      <c r="U23" t="inlineStr">
        <is>
          <t xml:space="preserve"> </t>
        </is>
      </c>
      <c r="V23" s="104" t="inlineStr">
        <is>
          <t xml:space="preserve"> </t>
        </is>
      </c>
      <c r="W23" t="inlineStr">
        <is>
          <t>No se encontró ejecución en PIIP</t>
        </is>
      </c>
    </row>
    <row r="24">
      <c r="A24" t="inlineStr">
        <is>
          <t>IP-24</t>
        </is>
      </c>
      <c r="B24" t="inlineStr">
        <is>
          <t>33</t>
        </is>
      </c>
      <c r="C24" t="inlineStr">
        <is>
          <t>Cultura</t>
        </is>
      </c>
      <c r="D24" t="inlineStr">
        <is>
          <t>3301</t>
        </is>
      </c>
      <c r="E24" t="inlineStr">
        <is>
          <t>Promoción y acceso efectivo a procesos culturales y artísticos</t>
        </is>
      </c>
      <c r="F24" t="inlineStr">
        <is>
          <t>3301003</t>
        </is>
      </c>
      <c r="G24" t="inlineStr">
        <is>
          <t>Bibliotecas adecuadas</t>
        </is>
      </c>
      <c r="H24" t="inlineStr">
        <is>
          <t>330100300</t>
        </is>
      </c>
      <c r="I24" t="inlineStr">
        <is>
          <t>Bibliotecas adecuadas</t>
        </is>
      </c>
      <c r="J24" t="inlineStr">
        <is>
          <t>2024252000012</t>
        </is>
      </c>
      <c r="K24" t="inlineStr">
        <is>
          <t>Si</t>
        </is>
      </c>
      <c r="L24" t="inlineStr">
        <is>
          <t>Número</t>
        </is>
      </c>
      <c r="M24">
        <v>1</v>
      </c>
      <c r="N24">
        <v>1</v>
      </c>
      <c r="O24">
        <v>1</v>
      </c>
      <c r="P24">
        <v>1</v>
      </c>
      <c r="Q24">
        <v>1</v>
      </c>
      <c r="R24">
        <v>0</v>
      </c>
      <c r="S24" s="103">
        <v>0</v>
      </c>
      <c r="T24" t="inlineStr">
        <is>
          <t>No se ejecutó en la vigencia</t>
        </is>
      </c>
      <c r="U24" t="inlineStr">
        <is>
          <t xml:space="preserve"> </t>
        </is>
      </c>
      <c r="V24" s="104" t="inlineStr">
        <is>
          <t xml:space="preserve"> </t>
        </is>
      </c>
      <c r="W24" t="inlineStr">
        <is>
          <t>No se encontró ejecución en PIIP</t>
        </is>
      </c>
    </row>
    <row r="25">
      <c r="A25" t="inlineStr">
        <is>
          <t>IP-25, IP-26, IP-27, IP-28</t>
        </is>
      </c>
      <c r="B25" t="inlineStr">
        <is>
          <t>33</t>
        </is>
      </c>
      <c r="C25" t="inlineStr">
        <is>
          <t>Cultura</t>
        </is>
      </c>
      <c r="D25" t="inlineStr">
        <is>
          <t>3301</t>
        </is>
      </c>
      <c r="E25" t="inlineStr">
        <is>
          <t>Promoción y acceso efectivo a procesos culturales y artísticos</t>
        </is>
      </c>
      <c r="F25" t="inlineStr">
        <is>
          <t>3301122</t>
        </is>
      </c>
      <c r="G25" t="inlineStr">
        <is>
          <t>Servicio de fomento para el acceso de la oferta cultural</t>
        </is>
      </c>
      <c r="H25" t="inlineStr">
        <is>
          <t>330112200</t>
        </is>
      </c>
      <c r="I25" t="inlineStr">
        <is>
          <t>Personas beneficiadas</t>
        </is>
      </c>
      <c r="J25" t="inlineStr">
        <is>
          <t>2024252000012</t>
        </is>
      </c>
      <c r="K25" t="inlineStr">
        <is>
          <t>Si</t>
        </is>
      </c>
      <c r="L25" t="inlineStr">
        <is>
          <t>Número</t>
        </is>
      </c>
      <c r="M25">
        <v>203</v>
      </c>
      <c r="N25">
        <v>202</v>
      </c>
      <c r="O25">
        <v>203</v>
      </c>
      <c r="P25">
        <v>203</v>
      </c>
      <c r="Q25">
        <v>203</v>
      </c>
      <c r="R25">
        <v>0</v>
      </c>
      <c r="S25" s="103">
        <v>0</v>
      </c>
      <c r="T25" t="inlineStr">
        <is>
          <t>No se ejecutó en la vigencia</t>
        </is>
      </c>
      <c r="U25" t="inlineStr">
        <is>
          <t xml:space="preserve"> </t>
        </is>
      </c>
      <c r="V25" s="104" t="inlineStr">
        <is>
          <t xml:space="preserve"> </t>
        </is>
      </c>
      <c r="W25" t="inlineStr">
        <is>
          <t>No se encontró ejecución en PIIP</t>
        </is>
      </c>
    </row>
    <row r="26">
      <c r="A26" t="inlineStr">
        <is>
          <t>IP-29</t>
        </is>
      </c>
      <c r="B26" t="inlineStr">
        <is>
          <t>41</t>
        </is>
      </c>
      <c r="C26" t="inlineStr">
        <is>
          <t xml:space="preserve">Inclusión social y reconciliación </t>
        </is>
      </c>
      <c r="D26" t="inlineStr">
        <is>
          <t>4101</t>
        </is>
      </c>
      <c r="E26" t="inlineStr">
        <is>
          <t>Atención, asistencia y reparación integral a las víctimas</t>
        </is>
      </c>
      <c r="F26" t="inlineStr">
        <is>
          <t>4101092</t>
        </is>
      </c>
      <c r="G26" t="inlineStr">
        <is>
          <t>Servicios de satisfacción y garantías de no repetición a víctimas del conflicto armado</t>
        </is>
      </c>
      <c r="H26" t="inlineStr">
        <is>
          <t>410109200</t>
        </is>
      </c>
      <c r="I26" t="inlineStr">
        <is>
          <t>Víctimas que acceden a medidas de satisfacción y de garantías de no repetición a nivel individual</t>
        </is>
      </c>
      <c r="J26" t="inlineStr">
        <is>
          <t>2024252000014</t>
        </is>
      </c>
      <c r="K26" t="inlineStr">
        <is>
          <t>Si</t>
        </is>
      </c>
      <c r="L26" t="inlineStr">
        <is>
          <t>Número</t>
        </is>
      </c>
      <c r="M26">
        <v>1</v>
      </c>
      <c r="N26">
        <v>1</v>
      </c>
      <c r="O26">
        <v>1</v>
      </c>
      <c r="P26">
        <v>1</v>
      </c>
      <c r="Q26">
        <v>1</v>
      </c>
      <c r="R26">
        <v>150</v>
      </c>
      <c r="S26" s="103">
        <v>150</v>
      </c>
      <c r="T26" t="inlineStr">
        <is>
          <t>Hubo ejecución por encima de lo programado en SisPT</t>
        </is>
      </c>
      <c r="U26">
        <v>1</v>
      </c>
      <c r="V26" s="104">
        <v>1</v>
      </c>
      <c r="W26" t="inlineStr">
        <is>
          <t>Se ejecutó el 100% de lo programado en la vigencia</t>
        </is>
      </c>
    </row>
    <row r="27">
      <c r="A27" t="inlineStr">
        <is>
          <t>IP-30</t>
        </is>
      </c>
      <c r="B27" t="inlineStr">
        <is>
          <t>41</t>
        </is>
      </c>
      <c r="C27" t="inlineStr">
        <is>
          <t xml:space="preserve">Inclusión social y reconciliación </t>
        </is>
      </c>
      <c r="D27" t="inlineStr">
        <is>
          <t>4101</t>
        </is>
      </c>
      <c r="E27" t="inlineStr">
        <is>
          <t>Atención, asistencia y reparación integral a las víctimas</t>
        </is>
      </c>
      <c r="F27" t="inlineStr">
        <is>
          <t>4101025</t>
        </is>
      </c>
      <c r="G27" t="inlineStr">
        <is>
          <t>Servicio de ayuda y atención humanitaria</t>
        </is>
      </c>
      <c r="H27" t="inlineStr">
        <is>
          <t>410102500</t>
        </is>
      </c>
      <c r="I27" t="inlineStr">
        <is>
          <t>Personas con asistencia humanitaria</t>
        </is>
      </c>
      <c r="J27" t="inlineStr">
        <is>
          <t>2024252000014</t>
        </is>
      </c>
      <c r="K27" t="inlineStr">
        <is>
          <t>Si</t>
        </is>
      </c>
      <c r="L27" t="inlineStr">
        <is>
          <t>Número</t>
        </is>
      </c>
      <c r="M27">
        <v>100</v>
      </c>
      <c r="N27">
        <v>100</v>
      </c>
      <c r="O27">
        <v>100</v>
      </c>
      <c r="P27">
        <v>100</v>
      </c>
      <c r="Q27">
        <v>100</v>
      </c>
      <c r="R27">
        <v>150</v>
      </c>
      <c r="S27" s="103">
        <v>1.5</v>
      </c>
      <c r="T27" t="inlineStr">
        <is>
          <t>Hubo ejecución por encima de lo programado en SisPT</t>
        </is>
      </c>
      <c r="U27">
        <v>100</v>
      </c>
      <c r="V27" s="104">
        <v>1</v>
      </c>
      <c r="W27" t="inlineStr">
        <is>
          <t>Se ejecutó el 100% de lo programado en la vigencia</t>
        </is>
      </c>
    </row>
    <row r="28">
      <c r="A28" t="inlineStr">
        <is>
          <t>IP-31</t>
        </is>
      </c>
      <c r="B28" t="inlineStr">
        <is>
          <t>41</t>
        </is>
      </c>
      <c r="C28" t="inlineStr">
        <is>
          <t xml:space="preserve">Inclusión social y reconciliación </t>
        </is>
      </c>
      <c r="D28" t="inlineStr">
        <is>
          <t>4103</t>
        </is>
      </c>
      <c r="E28" t="inlineStr">
        <is>
          <t>Inclusión social y productiva para la población en situación de vulnerabilidad</t>
        </is>
      </c>
      <c r="F28" t="inlineStr">
        <is>
          <t>4103050</t>
        </is>
      </c>
      <c r="G28" t="inlineStr">
        <is>
          <t>Servicio de acompañamiento familiar y comunitario para la superación de la pobreza</t>
        </is>
      </c>
      <c r="H28" t="inlineStr">
        <is>
          <t>410305000</t>
        </is>
      </c>
      <c r="I28" t="inlineStr">
        <is>
          <t>Hogares con acompañamiento familiar</t>
        </is>
      </c>
      <c r="J28" t="inlineStr">
        <is>
          <t>2024252000015</t>
        </is>
      </c>
      <c r="K28" t="inlineStr">
        <is>
          <t>Si</t>
        </is>
      </c>
      <c r="L28" t="inlineStr">
        <is>
          <t>Número</t>
        </is>
      </c>
      <c r="M28">
        <v>80</v>
      </c>
      <c r="N28">
        <v>45</v>
      </c>
      <c r="O28">
        <v>55</v>
      </c>
      <c r="P28">
        <v>70</v>
      </c>
      <c r="Q28">
        <v>80</v>
      </c>
      <c r="R28" t="inlineStr">
        <is>
          <t xml:space="preserve"> </t>
        </is>
      </c>
      <c r="S28" s="103" t="inlineStr">
        <is>
          <t xml:space="preserve"> </t>
        </is>
      </c>
      <c r="T28" t="inlineStr">
        <is>
          <t>No se encontró ejecución en PIIP</t>
        </is>
      </c>
      <c r="U28" t="inlineStr">
        <is>
          <t xml:space="preserve"> </t>
        </is>
      </c>
      <c r="V28" s="104" t="inlineStr">
        <is>
          <t xml:space="preserve"> </t>
        </is>
      </c>
      <c r="W28" t="inlineStr">
        <is>
          <t>No se encontró ejecución en PIIP</t>
        </is>
      </c>
    </row>
    <row r="29">
      <c r="A29" t="inlineStr">
        <is>
          <t>IP-32, IP-33, IP-34, IP-35, IP-36, IP-38</t>
        </is>
      </c>
      <c r="B29" t="inlineStr">
        <is>
          <t>41</t>
        </is>
      </c>
      <c r="C29" t="inlineStr">
        <is>
          <t xml:space="preserve">Inclusión social y reconciliación </t>
        </is>
      </c>
      <c r="D29" t="inlineStr">
        <is>
          <t>4103</t>
        </is>
      </c>
      <c r="E29" t="inlineStr">
        <is>
          <t>Inclusión social y productiva para la población en situación de vulnerabilidad</t>
        </is>
      </c>
      <c r="F29" t="inlineStr">
        <is>
          <t>4103052</t>
        </is>
      </c>
      <c r="G29" t="inlineStr">
        <is>
          <t>Servicio de gestión de oferta social para la población vulnerable</t>
        </is>
      </c>
      <c r="H29" t="inlineStr">
        <is>
          <t>410305202</t>
        </is>
      </c>
      <c r="I29" t="inlineStr">
        <is>
          <t>Mecanismos de articulación implementados para la gestión de oferta social</t>
        </is>
      </c>
      <c r="J29" t="inlineStr">
        <is>
          <t>2024252000015</t>
        </is>
      </c>
      <c r="K29" t="inlineStr">
        <is>
          <t>Si</t>
        </is>
      </c>
      <c r="L29" t="inlineStr">
        <is>
          <t>Número</t>
        </is>
      </c>
      <c r="M29">
        <v>9</v>
      </c>
      <c r="N29">
        <v>9</v>
      </c>
      <c r="O29">
        <v>9</v>
      </c>
      <c r="P29">
        <v>9</v>
      </c>
      <c r="Q29">
        <v>9</v>
      </c>
      <c r="R29" t="inlineStr">
        <is>
          <t xml:space="preserve"> </t>
        </is>
      </c>
      <c r="S29" s="103" t="inlineStr">
        <is>
          <t xml:space="preserve"> </t>
        </is>
      </c>
      <c r="T29" t="inlineStr">
        <is>
          <t>No se encontró ejecución en PIIP</t>
        </is>
      </c>
      <c r="U29" t="inlineStr">
        <is>
          <t xml:space="preserve"> </t>
        </is>
      </c>
      <c r="V29" s="104" t="inlineStr">
        <is>
          <t xml:space="preserve"> </t>
        </is>
      </c>
      <c r="W29" t="inlineStr">
        <is>
          <t>No se encontró ejecución en PIIP</t>
        </is>
      </c>
    </row>
    <row r="30">
      <c r="A30" t="inlineStr">
        <is>
          <t>IP-37</t>
        </is>
      </c>
      <c r="B30" t="inlineStr">
        <is>
          <t>41</t>
        </is>
      </c>
      <c r="C30" t="inlineStr">
        <is>
          <t xml:space="preserve">Inclusión social y reconciliación </t>
        </is>
      </c>
      <c r="D30" t="inlineStr">
        <is>
          <t>4103</t>
        </is>
      </c>
      <c r="E30" t="inlineStr">
        <is>
          <t>Inclusión social y productiva para la población en situación de vulnerabilidad</t>
        </is>
      </c>
      <c r="F30" t="inlineStr">
        <is>
          <t>4103026</t>
        </is>
      </c>
      <c r="G30" t="inlineStr">
        <is>
          <t>Centros comunitarios ampliados</t>
        </is>
      </c>
      <c r="H30" t="inlineStr">
        <is>
          <t>410302600</t>
        </is>
      </c>
      <c r="I30" t="inlineStr">
        <is>
          <t>Centros comunitarios ampliados</t>
        </is>
      </c>
      <c r="J30" t="inlineStr">
        <is>
          <t>2024252000015</t>
        </is>
      </c>
      <c r="K30" t="inlineStr">
        <is>
          <t>Si</t>
        </is>
      </c>
      <c r="L30" t="inlineStr">
        <is>
          <t>Número</t>
        </is>
      </c>
      <c r="M30">
        <v>1</v>
      </c>
      <c r="N30">
        <v>0.3</v>
      </c>
      <c r="O30">
        <v>1</v>
      </c>
      <c r="P30">
        <v>1</v>
      </c>
      <c r="Q30">
        <v>1</v>
      </c>
      <c r="R30" t="inlineStr">
        <is>
          <t xml:space="preserve"> </t>
        </is>
      </c>
      <c r="S30" s="103" t="inlineStr">
        <is>
          <t xml:space="preserve"> </t>
        </is>
      </c>
      <c r="T30" t="inlineStr">
        <is>
          <t>No se encontró ejecución en PIIP</t>
        </is>
      </c>
      <c r="U30" t="inlineStr">
        <is>
          <t xml:space="preserve"> </t>
        </is>
      </c>
      <c r="V30" s="104" t="inlineStr">
        <is>
          <t xml:space="preserve"> </t>
        </is>
      </c>
      <c r="W30" t="inlineStr">
        <is>
          <t>No se encontró ejecución en PIIP</t>
        </is>
      </c>
    </row>
    <row r="31">
      <c r="A31" t="inlineStr">
        <is>
          <t>IP-39</t>
        </is>
      </c>
      <c r="B31" t="inlineStr">
        <is>
          <t>41</t>
        </is>
      </c>
      <c r="C31" t="inlineStr">
        <is>
          <t xml:space="preserve">Inclusión social y reconciliación </t>
        </is>
      </c>
      <c r="D31" t="inlineStr">
        <is>
          <t>4103</t>
        </is>
      </c>
      <c r="E31" t="inlineStr">
        <is>
          <t>Inclusión social y productiva para la población en situación de vulnerabilidad</t>
        </is>
      </c>
      <c r="F31" t="inlineStr">
        <is>
          <t>4103058</t>
        </is>
      </c>
      <c r="G31" t="inlineStr">
        <is>
          <t>Servicio de apoyo para el fortalecimiento de unidades productivas colectivas para la generación de ingresos</t>
        </is>
      </c>
      <c r="H31" t="inlineStr">
        <is>
          <t>410305800</t>
        </is>
      </c>
      <c r="I31" t="inlineStr">
        <is>
          <t>Unidades productivas colectivas fortalecidas</t>
        </is>
      </c>
      <c r="J31" t="inlineStr">
        <is>
          <t>2024252000015</t>
        </is>
      </c>
      <c r="K31" t="inlineStr">
        <is>
          <t>Si</t>
        </is>
      </c>
      <c r="L31" t="inlineStr">
        <is>
          <t>Número</t>
        </is>
      </c>
      <c r="M31">
        <v>1</v>
      </c>
      <c r="N31">
        <v>0</v>
      </c>
      <c r="O31">
        <v>0</v>
      </c>
      <c r="P31">
        <v>1</v>
      </c>
      <c r="Q31">
        <v>1</v>
      </c>
      <c r="R31" t="inlineStr">
        <is>
          <t xml:space="preserve"> </t>
        </is>
      </c>
      <c r="S31" s="103" t="inlineStr">
        <is>
          <t xml:space="preserve"> </t>
        </is>
      </c>
      <c r="T31" t="inlineStr">
        <is>
          <t>No se encontró ejecución en PIIP</t>
        </is>
      </c>
      <c r="U31" t="inlineStr">
        <is>
          <t xml:space="preserve"> </t>
        </is>
      </c>
      <c r="V31" s="104" t="inlineStr">
        <is>
          <t xml:space="preserve"> </t>
        </is>
      </c>
      <c r="W31" t="inlineStr">
        <is>
          <t>No se encontró ejecución en PIIP</t>
        </is>
      </c>
    </row>
    <row r="32">
      <c r="A32" t="inlineStr">
        <is>
          <t>IP-40, IP-52</t>
        </is>
      </c>
      <c r="B32" t="inlineStr">
        <is>
          <t>41</t>
        </is>
      </c>
      <c r="C32" t="inlineStr">
        <is>
          <t xml:space="preserve">Inclusión social y reconciliación </t>
        </is>
      </c>
      <c r="D32" t="inlineStr">
        <is>
          <t>4103</t>
        </is>
      </c>
      <c r="E32" t="inlineStr">
        <is>
          <t>Inclusión social y productiva para la población en situación de vulnerabilidad</t>
        </is>
      </c>
      <c r="F32" t="inlineStr">
        <is>
          <t>4103052</t>
        </is>
      </c>
      <c r="G32" t="inlineStr">
        <is>
          <t>Servicio de gestión de oferta social para la población vulnerable</t>
        </is>
      </c>
      <c r="H32" t="inlineStr">
        <is>
          <t>410305202</t>
        </is>
      </c>
      <c r="I32" t="inlineStr">
        <is>
          <t>Mecanismos de articulación implementados para la gestión de oferta social</t>
        </is>
      </c>
      <c r="J32" t="inlineStr">
        <is>
          <t>2024252000016</t>
        </is>
      </c>
      <c r="K32" t="inlineStr">
        <is>
          <t>Si</t>
        </is>
      </c>
      <c r="L32" t="inlineStr">
        <is>
          <t>Número</t>
        </is>
      </c>
      <c r="M32">
        <v>1.9</v>
      </c>
      <c r="N32">
        <v>1.35</v>
      </c>
      <c r="O32">
        <v>1.65</v>
      </c>
      <c r="P32">
        <v>1.8</v>
      </c>
      <c r="Q32">
        <v>1.9</v>
      </c>
      <c r="R32" t="inlineStr">
        <is>
          <t xml:space="preserve"> </t>
        </is>
      </c>
      <c r="S32" s="103" t="inlineStr">
        <is>
          <t xml:space="preserve"> </t>
        </is>
      </c>
      <c r="T32" t="inlineStr">
        <is>
          <t>No se encontró ejecución en PIIP</t>
        </is>
      </c>
      <c r="U32" t="inlineStr">
        <is>
          <t xml:space="preserve"> </t>
        </is>
      </c>
      <c r="V32" s="104" t="inlineStr">
        <is>
          <t xml:space="preserve"> </t>
        </is>
      </c>
      <c r="W32" t="inlineStr">
        <is>
          <t>No se encontró ejecución en PIIP</t>
        </is>
      </c>
    </row>
    <row r="33">
      <c r="A33" t="inlineStr">
        <is>
          <t>IP-41</t>
        </is>
      </c>
      <c r="B33" t="inlineStr">
        <is>
          <t>41</t>
        </is>
      </c>
      <c r="C33" t="inlineStr">
        <is>
          <t xml:space="preserve">Inclusión social y reconciliación </t>
        </is>
      </c>
      <c r="D33" t="inlineStr">
        <is>
          <t>4103</t>
        </is>
      </c>
      <c r="E33" t="inlineStr">
        <is>
          <t>Inclusión social y productiva para la población en situación de vulnerabilidad</t>
        </is>
      </c>
      <c r="F33" t="inlineStr">
        <is>
          <t>4103025</t>
        </is>
      </c>
      <c r="G33" t="inlineStr">
        <is>
          <t>Centros comunitarios construidos</t>
        </is>
      </c>
      <c r="H33" t="inlineStr">
        <is>
          <t>410302500</t>
        </is>
      </c>
      <c r="I33" t="inlineStr">
        <is>
          <t>Centros comunitarios construidos</t>
        </is>
      </c>
      <c r="J33" t="inlineStr">
        <is>
          <t>2024252000016</t>
        </is>
      </c>
      <c r="K33" t="inlineStr">
        <is>
          <t>Si</t>
        </is>
      </c>
      <c r="L33" t="inlineStr">
        <is>
          <t>Número</t>
        </is>
      </c>
      <c r="M33">
        <v>1</v>
      </c>
      <c r="N33">
        <v>0.4</v>
      </c>
      <c r="O33">
        <v>0.8</v>
      </c>
      <c r="P33">
        <v>1</v>
      </c>
      <c r="Q33">
        <v>0</v>
      </c>
      <c r="R33">
        <v>0</v>
      </c>
      <c r="S33" s="103">
        <v>0</v>
      </c>
      <c r="T33" t="inlineStr">
        <is>
          <t>No se ejecutó en la vigencia</t>
        </is>
      </c>
      <c r="U33" t="inlineStr">
        <is>
          <t xml:space="preserve"> </t>
        </is>
      </c>
      <c r="V33" s="104" t="inlineStr">
        <is>
          <t xml:space="preserve"> </t>
        </is>
      </c>
      <c r="W33" t="inlineStr">
        <is>
          <t>No se encontró ejecución en PIIP</t>
        </is>
      </c>
    </row>
    <row r="34">
      <c r="A34" t="inlineStr">
        <is>
          <t>IP-42, IP-43, IP-44</t>
        </is>
      </c>
      <c r="B34" t="inlineStr">
        <is>
          <t>41</t>
        </is>
      </c>
      <c r="C34" t="inlineStr">
        <is>
          <t xml:space="preserve">Inclusión social y reconciliación </t>
        </is>
      </c>
      <c r="D34" t="inlineStr">
        <is>
          <t>4104</t>
        </is>
      </c>
      <c r="E34" t="inlineStr">
        <is>
          <t>Atención integral de población en situación permanente de desprotección social y/o familiar</t>
        </is>
      </c>
      <c r="F34" t="inlineStr">
        <is>
          <t>4104015</t>
        </is>
      </c>
      <c r="G34" t="inlineStr">
        <is>
          <t>Centros de protección social de día para el adulto mayor construidos y dotados</t>
        </is>
      </c>
      <c r="H34" t="inlineStr">
        <is>
          <t>410401500</t>
        </is>
      </c>
      <c r="I34" t="inlineStr">
        <is>
          <t>Centros de día para el adulto mayor construidos y dotados</t>
        </is>
      </c>
      <c r="J34" t="inlineStr">
        <is>
          <t>2024252000017</t>
        </is>
      </c>
      <c r="K34" t="inlineStr">
        <is>
          <t>Si</t>
        </is>
      </c>
      <c r="L34" t="inlineStr">
        <is>
          <t>Número</t>
        </is>
      </c>
      <c r="M34">
        <v>5.6</v>
      </c>
      <c r="N34">
        <v>5.28</v>
      </c>
      <c r="O34">
        <v>5.48</v>
      </c>
      <c r="P34">
        <v>5.55</v>
      </c>
      <c r="Q34">
        <v>5.6</v>
      </c>
      <c r="R34" t="inlineStr">
        <is>
          <t xml:space="preserve"> </t>
        </is>
      </c>
      <c r="S34" s="103" t="inlineStr">
        <is>
          <t xml:space="preserve"> </t>
        </is>
      </c>
      <c r="T34" t="inlineStr">
        <is>
          <t>No se encontró ejecución en PIIP</t>
        </is>
      </c>
      <c r="U34" t="inlineStr">
        <is>
          <t xml:space="preserve"> </t>
        </is>
      </c>
      <c r="V34" s="104" t="inlineStr">
        <is>
          <t xml:space="preserve"> </t>
        </is>
      </c>
      <c r="W34" t="inlineStr">
        <is>
          <t>No se encontró ejecución en PIIP</t>
        </is>
      </c>
    </row>
    <row r="35">
      <c r="A35" t="inlineStr">
        <is>
          <t>IP-45</t>
        </is>
      </c>
      <c r="B35" t="inlineStr">
        <is>
          <t>41</t>
        </is>
      </c>
      <c r="C35" t="inlineStr">
        <is>
          <t xml:space="preserve">Inclusión social y reconciliación </t>
        </is>
      </c>
      <c r="D35" t="inlineStr">
        <is>
          <t>4104</t>
        </is>
      </c>
      <c r="E35" t="inlineStr">
        <is>
          <t>Atención integral de población en situación permanente de desprotección social y/o familiar</t>
        </is>
      </c>
      <c r="F35" t="inlineStr">
        <is>
          <t>4104013</t>
        </is>
      </c>
      <c r="G35" t="inlineStr">
        <is>
          <t>Centros de protección social de día para el adulto mayor construidos</t>
        </is>
      </c>
      <c r="H35" t="inlineStr">
        <is>
          <t>410401300</t>
        </is>
      </c>
      <c r="I35" t="inlineStr">
        <is>
          <t>Centros de día para el adulto mayor construidos</t>
        </is>
      </c>
      <c r="J35" t="inlineStr">
        <is>
          <t>2024252000017</t>
        </is>
      </c>
      <c r="K35" t="inlineStr">
        <is>
          <t>Si</t>
        </is>
      </c>
      <c r="L35" t="inlineStr">
        <is>
          <t>Número</t>
        </is>
      </c>
      <c r="M35">
        <v>1</v>
      </c>
      <c r="N35">
        <v>0</v>
      </c>
      <c r="O35">
        <v>0.8</v>
      </c>
      <c r="P35">
        <v>1</v>
      </c>
      <c r="Q35">
        <v>1</v>
      </c>
      <c r="R35" t="inlineStr">
        <is>
          <t xml:space="preserve"> </t>
        </is>
      </c>
      <c r="S35" s="103" t="inlineStr">
        <is>
          <t xml:space="preserve"> </t>
        </is>
      </c>
      <c r="T35" t="inlineStr">
        <is>
          <t>No se encontró ejecución en PIIP</t>
        </is>
      </c>
      <c r="U35" t="inlineStr">
        <is>
          <t xml:space="preserve"> </t>
        </is>
      </c>
      <c r="V35" s="104" t="inlineStr">
        <is>
          <t xml:space="preserve"> </t>
        </is>
      </c>
      <c r="W35" t="inlineStr">
        <is>
          <t>No se encontró ejecución en PIIP</t>
        </is>
      </c>
    </row>
    <row r="36">
      <c r="A36" t="inlineStr">
        <is>
          <t>IP-46, IP-51</t>
        </is>
      </c>
      <c r="B36" t="inlineStr">
        <is>
          <t>41</t>
        </is>
      </c>
      <c r="C36" t="inlineStr">
        <is>
          <t xml:space="preserve">Inclusión social y reconciliación </t>
        </is>
      </c>
      <c r="D36" t="inlineStr">
        <is>
          <t>4102</t>
        </is>
      </c>
      <c r="E36" t="inlineStr">
        <is>
          <t>Desarrollo integral de la primera infancia a la juventud, y fortalecimiento de las capacidades de las familias de niñas, niños y adolescentes</t>
        </is>
      </c>
      <c r="F36" t="inlineStr">
        <is>
          <t>4102001</t>
        </is>
      </c>
      <c r="G36" t="inlineStr">
        <is>
          <t>Servicio de atención integral a la primera infancia</t>
        </is>
      </c>
      <c r="H36" t="inlineStr">
        <is>
          <t>410200100</t>
        </is>
      </c>
      <c r="I36" t="inlineStr">
        <is>
          <t>Niños y niñas atendidos en Servicio integrales</t>
        </is>
      </c>
      <c r="J36" t="inlineStr">
        <is>
          <t>2024252000018</t>
        </is>
      </c>
      <c r="K36" t="inlineStr">
        <is>
          <t>Si</t>
        </is>
      </c>
      <c r="L36" t="inlineStr">
        <is>
          <t>Número</t>
        </is>
      </c>
      <c r="M36">
        <v>1.72</v>
      </c>
      <c r="N36">
        <v>1.42</v>
      </c>
      <c r="O36">
        <v>1.5</v>
      </c>
      <c r="P36">
        <v>1.6</v>
      </c>
      <c r="Q36">
        <v>1.72</v>
      </c>
      <c r="R36" t="inlineStr">
        <is>
          <t xml:space="preserve"> </t>
        </is>
      </c>
      <c r="S36" s="103" t="inlineStr">
        <is>
          <t xml:space="preserve"> </t>
        </is>
      </c>
      <c r="T36" t="inlineStr">
        <is>
          <t>No se encontró ejecución en PIIP</t>
        </is>
      </c>
      <c r="U36" t="inlineStr">
        <is>
          <t xml:space="preserve"> </t>
        </is>
      </c>
      <c r="V36" s="104" t="inlineStr">
        <is>
          <t xml:space="preserve"> </t>
        </is>
      </c>
      <c r="W36" t="inlineStr">
        <is>
          <t>No se encontró ejecución en PIIP</t>
        </is>
      </c>
    </row>
    <row r="37">
      <c r="A37" t="inlineStr">
        <is>
          <t>IP-47</t>
        </is>
      </c>
      <c r="B37" t="inlineStr">
        <is>
          <t>41</t>
        </is>
      </c>
      <c r="C37" t="inlineStr">
        <is>
          <t xml:space="preserve">Inclusión social y reconciliación </t>
        </is>
      </c>
      <c r="D37" t="inlineStr">
        <is>
          <t>4102</t>
        </is>
      </c>
      <c r="E37" t="inlineStr">
        <is>
          <t>Desarrollo integral de la primera infancia a la juventud, y fortalecimiento de las capacidades de las familias de niñas, niños y adolescentes</t>
        </is>
      </c>
      <c r="F37" t="inlineStr">
        <is>
          <t>4102046</t>
        </is>
      </c>
      <c r="G37" t="inlineStr">
        <is>
          <t>Servicios de promoción de los derechos de los niños, niñas, adolescentes y jóvenes</t>
        </is>
      </c>
      <c r="H37" t="inlineStr">
        <is>
          <t>410204600</t>
        </is>
      </c>
      <c r="I37" t="inlineStr">
        <is>
          <t>Campañas de promoción realizadas</t>
        </is>
      </c>
      <c r="J37" t="inlineStr">
        <is>
          <t>2024252000018</t>
        </is>
      </c>
      <c r="K37" t="inlineStr">
        <is>
          <t>Si</t>
        </is>
      </c>
      <c r="L37" t="inlineStr">
        <is>
          <t>Número</t>
        </is>
      </c>
      <c r="M37">
        <v>1</v>
      </c>
      <c r="N37">
        <v>1</v>
      </c>
      <c r="O37">
        <v>1</v>
      </c>
      <c r="P37">
        <v>1</v>
      </c>
      <c r="Q37">
        <v>1</v>
      </c>
      <c r="R37" t="inlineStr">
        <is>
          <t xml:space="preserve"> </t>
        </is>
      </c>
      <c r="S37" s="103" t="inlineStr">
        <is>
          <t xml:space="preserve"> </t>
        </is>
      </c>
      <c r="T37" t="inlineStr">
        <is>
          <t>No se encontró ejecución en PIIP</t>
        </is>
      </c>
      <c r="U37" t="inlineStr">
        <is>
          <t xml:space="preserve"> </t>
        </is>
      </c>
      <c r="V37" s="104" t="inlineStr">
        <is>
          <t xml:space="preserve"> </t>
        </is>
      </c>
      <c r="W37" t="inlineStr">
        <is>
          <t>No se encontró ejecución en PIIP</t>
        </is>
      </c>
    </row>
    <row r="38">
      <c r="A38" t="inlineStr">
        <is>
          <t>IP-48</t>
        </is>
      </c>
      <c r="B38" t="inlineStr">
        <is>
          <t>41</t>
        </is>
      </c>
      <c r="C38" t="inlineStr">
        <is>
          <t xml:space="preserve">Inclusión social y reconciliación </t>
        </is>
      </c>
      <c r="D38" t="inlineStr">
        <is>
          <t>4102</t>
        </is>
      </c>
      <c r="E38" t="inlineStr">
        <is>
          <t>Desarrollo integral de la primera infancia a la juventud, y fortalecimiento de las capacidades de las familias de niñas, niños y adolescentes</t>
        </is>
      </c>
      <c r="F38" t="inlineStr">
        <is>
          <t>4102009</t>
        </is>
      </c>
      <c r="G38" t="inlineStr">
        <is>
          <t>Edificaciones de atención a la primera infancia modificadas</t>
        </is>
      </c>
      <c r="H38" t="inlineStr">
        <is>
          <t>410200900</t>
        </is>
      </c>
      <c r="I38" t="inlineStr">
        <is>
          <t>Edificaciones de atención a la primera infancia modificadas</t>
        </is>
      </c>
      <c r="J38" t="inlineStr">
        <is>
          <t>2024252000018</t>
        </is>
      </c>
      <c r="K38" t="inlineStr">
        <is>
          <t>Si</t>
        </is>
      </c>
      <c r="L38" t="inlineStr">
        <is>
          <t>Número</t>
        </is>
      </c>
      <c r="M38">
        <v>1</v>
      </c>
      <c r="N38">
        <v>0.6</v>
      </c>
      <c r="O38">
        <v>1</v>
      </c>
      <c r="P38">
        <v>1</v>
      </c>
      <c r="Q38">
        <v>1</v>
      </c>
      <c r="R38" t="inlineStr">
        <is>
          <t xml:space="preserve"> </t>
        </is>
      </c>
      <c r="S38" s="103" t="inlineStr">
        <is>
          <t xml:space="preserve"> </t>
        </is>
      </c>
      <c r="T38" t="inlineStr">
        <is>
          <t>No se encontró ejecución en PIIP</t>
        </is>
      </c>
      <c r="U38" t="inlineStr">
        <is>
          <t xml:space="preserve"> </t>
        </is>
      </c>
      <c r="V38" s="104" t="inlineStr">
        <is>
          <t xml:space="preserve"> </t>
        </is>
      </c>
      <c r="W38" t="inlineStr">
        <is>
          <t>No se encontró ejecución en PIIP</t>
        </is>
      </c>
    </row>
    <row r="39">
      <c r="A39" t="inlineStr">
        <is>
          <t>IP-49</t>
        </is>
      </c>
      <c r="B39" t="inlineStr">
        <is>
          <t>41</t>
        </is>
      </c>
      <c r="C39" t="inlineStr">
        <is>
          <t xml:space="preserve">Inclusión social y reconciliación </t>
        </is>
      </c>
      <c r="D39" t="inlineStr">
        <is>
          <t>4102</t>
        </is>
      </c>
      <c r="E39" t="inlineStr">
        <is>
          <t>Desarrollo integral de la primera infancia a la juventud, y fortalecimiento de las capacidades de las familias de niñas, niños y adolescentes</t>
        </is>
      </c>
      <c r="F39" t="inlineStr">
        <is>
          <t>4102003</t>
        </is>
      </c>
      <c r="G39" t="inlineStr">
        <is>
          <t>Servicio de educación informal a los agentes educativos</t>
        </is>
      </c>
      <c r="H39" t="inlineStr">
        <is>
          <t>410200300</t>
        </is>
      </c>
      <c r="I39" t="inlineStr">
        <is>
          <t>Agentes educativos cualificados</t>
        </is>
      </c>
      <c r="J39" t="inlineStr">
        <is>
          <t>2024252000018</t>
        </is>
      </c>
      <c r="K39" t="inlineStr">
        <is>
          <t>Si</t>
        </is>
      </c>
      <c r="L39" t="inlineStr">
        <is>
          <t>Número</t>
        </is>
      </c>
      <c r="M39">
        <v>1</v>
      </c>
      <c r="N39">
        <v>1</v>
      </c>
      <c r="O39">
        <v>1</v>
      </c>
      <c r="P39">
        <v>1</v>
      </c>
      <c r="Q39">
        <v>1</v>
      </c>
      <c r="R39" t="inlineStr">
        <is>
          <t xml:space="preserve"> </t>
        </is>
      </c>
      <c r="S39" s="103" t="inlineStr">
        <is>
          <t xml:space="preserve"> </t>
        </is>
      </c>
      <c r="T39" t="inlineStr">
        <is>
          <t>No se encontró ejecución en PIIP</t>
        </is>
      </c>
      <c r="U39" t="inlineStr">
        <is>
          <t xml:space="preserve"> </t>
        </is>
      </c>
      <c r="V39" s="104" t="inlineStr">
        <is>
          <t xml:space="preserve"> </t>
        </is>
      </c>
      <c r="W39" t="inlineStr">
        <is>
          <t>No se encontró ejecución en PIIP</t>
        </is>
      </c>
    </row>
    <row r="40">
      <c r="A40" t="inlineStr">
        <is>
          <t>IP-50</t>
        </is>
      </c>
      <c r="B40" t="inlineStr">
        <is>
          <t>41</t>
        </is>
      </c>
      <c r="C40" t="inlineStr">
        <is>
          <t xml:space="preserve">Inclusión social y reconciliación </t>
        </is>
      </c>
      <c r="D40" t="inlineStr">
        <is>
          <t>4102</t>
        </is>
      </c>
      <c r="E40" t="inlineStr">
        <is>
          <t>Desarrollo integral de la primera infancia a la juventud, y fortalecimiento de las capacidades de las familias de niñas, niños y adolescentes</t>
        </is>
      </c>
      <c r="F40" t="inlineStr">
        <is>
          <t>4102038</t>
        </is>
      </c>
      <c r="G40" t="inlineStr">
        <is>
          <t>Servicio dirigidos a la atención de niños, niñas, adolescentes y jóvenes, con enfoque pedagógico y restaurativo encaminados a la inclusión social</t>
        </is>
      </c>
      <c r="H40" t="inlineStr">
        <is>
          <t>410203800</t>
        </is>
      </c>
      <c r="I40" t="inlineStr">
        <is>
          <t>Niños, niñas, adolescentes y jóvenes atendidios en los servicios de restablecimiento en la administración de justicia</t>
        </is>
      </c>
      <c r="J40" t="inlineStr">
        <is>
          <t>2024252000018</t>
        </is>
      </c>
      <c r="K40" t="inlineStr">
        <is>
          <t>Si</t>
        </is>
      </c>
      <c r="L40" t="inlineStr">
        <is>
          <t>Número</t>
        </is>
      </c>
      <c r="M40">
        <v>1</v>
      </c>
      <c r="N40">
        <v>1</v>
      </c>
      <c r="O40">
        <v>1</v>
      </c>
      <c r="P40">
        <v>1</v>
      </c>
      <c r="Q40">
        <v>1</v>
      </c>
      <c r="R40" t="inlineStr">
        <is>
          <t xml:space="preserve"> </t>
        </is>
      </c>
      <c r="S40" s="103" t="inlineStr">
        <is>
          <t xml:space="preserve"> </t>
        </is>
      </c>
      <c r="T40" t="inlineStr">
        <is>
          <t>No se encontró ejecución en PIIP</t>
        </is>
      </c>
      <c r="U40" t="inlineStr">
        <is>
          <t xml:space="preserve"> </t>
        </is>
      </c>
      <c r="V40" s="104" t="inlineStr">
        <is>
          <t xml:space="preserve"> </t>
        </is>
      </c>
      <c r="W40" t="inlineStr">
        <is>
          <t>No se encontró ejecución en PIIP</t>
        </is>
      </c>
    </row>
    <row r="41">
      <c r="A41" t="inlineStr">
        <is>
          <t>IP-53, IP-54, IP-55</t>
        </is>
      </c>
      <c r="B41" t="inlineStr">
        <is>
          <t>41</t>
        </is>
      </c>
      <c r="C41" t="inlineStr">
        <is>
          <t xml:space="preserve">Inclusión social y reconciliación </t>
        </is>
      </c>
      <c r="D41" t="inlineStr">
        <is>
          <t>4103</t>
        </is>
      </c>
      <c r="E41" t="inlineStr">
        <is>
          <t>Inclusión social y productiva para la población en situación de vulnerabilidad</t>
        </is>
      </c>
      <c r="F41" t="inlineStr">
        <is>
          <t>4103052</t>
        </is>
      </c>
      <c r="G41" t="inlineStr">
        <is>
          <t>Servicio de gestión de oferta social para la población vulnerable</t>
        </is>
      </c>
      <c r="H41" t="inlineStr">
        <is>
          <t>410305202</t>
        </is>
      </c>
      <c r="I41" t="inlineStr">
        <is>
          <t>Mecanismos de articulación implementados para la gestión de oferta social</t>
        </is>
      </c>
      <c r="J41" t="inlineStr">
        <is>
          <t>2024252000019</t>
        </is>
      </c>
      <c r="K41" t="inlineStr">
        <is>
          <t>Si</t>
        </is>
      </c>
      <c r="L41" t="inlineStr">
        <is>
          <t>Número</t>
        </is>
      </c>
      <c r="M41">
        <v>2.4</v>
      </c>
      <c r="N41">
        <v>0.15</v>
      </c>
      <c r="O41">
        <v>2.25</v>
      </c>
      <c r="P41">
        <v>2.3</v>
      </c>
      <c r="Q41">
        <v>2.4</v>
      </c>
      <c r="R41" t="inlineStr">
        <is>
          <t xml:space="preserve"> </t>
        </is>
      </c>
      <c r="S41" s="103" t="inlineStr">
        <is>
          <t xml:space="preserve"> </t>
        </is>
      </c>
      <c r="T41" t="inlineStr">
        <is>
          <t>No se encontró ejecución en PIIP</t>
        </is>
      </c>
      <c r="U41" t="inlineStr">
        <is>
          <t xml:space="preserve"> </t>
        </is>
      </c>
      <c r="V41" s="104" t="inlineStr">
        <is>
          <t xml:space="preserve"> </t>
        </is>
      </c>
      <c r="W41" t="inlineStr">
        <is>
          <t>No se encontró ejecución en PIIP</t>
        </is>
      </c>
    </row>
    <row r="42">
      <c r="A42" t="inlineStr">
        <is>
          <t>IP-56, IP-58</t>
        </is>
      </c>
      <c r="B42" t="inlineStr">
        <is>
          <t>45</t>
        </is>
      </c>
      <c r="C42" t="inlineStr">
        <is>
          <t>Gobierno Territorial</t>
        </is>
      </c>
      <c r="D42" t="inlineStr">
        <is>
          <t>4501</t>
        </is>
      </c>
      <c r="E42" t="inlineStr">
        <is>
          <t>Fortalecimiento de la convivencia y la seguridad ciudadana</t>
        </is>
      </c>
      <c r="F42" t="inlineStr">
        <is>
          <t>4501007</t>
        </is>
      </c>
      <c r="G42" t="inlineStr">
        <is>
          <t>Servicio información implementado</t>
        </is>
      </c>
      <c r="H42" t="inlineStr">
        <is>
          <t>450100701</t>
        </is>
      </c>
      <c r="I42" t="inlineStr">
        <is>
          <t>Módulos de Tecnologías de Información y Comunicaciones (TIC) implementados</t>
        </is>
      </c>
      <c r="J42" t="inlineStr">
        <is>
          <t>2024252000020</t>
        </is>
      </c>
      <c r="K42" t="inlineStr">
        <is>
          <t>Si</t>
        </is>
      </c>
      <c r="L42" t="inlineStr">
        <is>
          <t>Número</t>
        </is>
      </c>
      <c r="M42">
        <v>61</v>
      </c>
      <c r="N42">
        <v>15.5</v>
      </c>
      <c r="O42">
        <v>30.8</v>
      </c>
      <c r="P42">
        <v>46</v>
      </c>
      <c r="Q42">
        <v>61</v>
      </c>
      <c r="R42" t="inlineStr">
        <is>
          <t xml:space="preserve"> </t>
        </is>
      </c>
      <c r="S42" s="103" t="inlineStr">
        <is>
          <t xml:space="preserve"> </t>
        </is>
      </c>
      <c r="T42" t="inlineStr">
        <is>
          <t>No se encontró ejecución en PIIP</t>
        </is>
      </c>
      <c r="U42" t="inlineStr">
        <is>
          <t xml:space="preserve"> </t>
        </is>
      </c>
      <c r="V42" s="104" t="inlineStr">
        <is>
          <t xml:space="preserve"> </t>
        </is>
      </c>
      <c r="W42" t="inlineStr">
        <is>
          <t>No se encontró ejecución en PIIP</t>
        </is>
      </c>
    </row>
    <row r="43">
      <c r="A43" t="inlineStr">
        <is>
          <t>IP-57, IP-59</t>
        </is>
      </c>
      <c r="B43" t="inlineStr">
        <is>
          <t>45</t>
        </is>
      </c>
      <c r="C43" t="inlineStr">
        <is>
          <t>Gobierno Territorial</t>
        </is>
      </c>
      <c r="D43" t="inlineStr">
        <is>
          <t>4501</t>
        </is>
      </c>
      <c r="E43" t="inlineStr">
        <is>
          <t>Fortalecimiento de la convivencia y la seguridad ciudadana</t>
        </is>
      </c>
      <c r="F43" t="inlineStr">
        <is>
          <t>4501004</t>
        </is>
      </c>
      <c r="G43" t="inlineStr">
        <is>
          <t>Servicio de promoción de convivencia y no repetición</t>
        </is>
      </c>
      <c r="H43" t="inlineStr">
        <is>
          <t>450100400</t>
        </is>
      </c>
      <c r="I43" t="inlineStr">
        <is>
          <t>Iniciativas para la promoción de la convivencia implementadas</t>
        </is>
      </c>
      <c r="J43" t="inlineStr">
        <is>
          <t>2024252000020</t>
        </is>
      </c>
      <c r="K43" t="inlineStr">
        <is>
          <t>Si</t>
        </is>
      </c>
      <c r="L43" t="inlineStr">
        <is>
          <t>Número</t>
        </is>
      </c>
      <c r="M43">
        <v>2</v>
      </c>
      <c r="N43">
        <v>2</v>
      </c>
      <c r="O43">
        <v>2</v>
      </c>
      <c r="P43">
        <v>2</v>
      </c>
      <c r="Q43">
        <v>2</v>
      </c>
      <c r="R43" t="inlineStr">
        <is>
          <t xml:space="preserve"> </t>
        </is>
      </c>
      <c r="S43" s="103" t="inlineStr">
        <is>
          <t xml:space="preserve"> </t>
        </is>
      </c>
      <c r="T43" t="inlineStr">
        <is>
          <t>No se encontró ejecución en PIIP</t>
        </is>
      </c>
      <c r="U43" t="inlineStr">
        <is>
          <t xml:space="preserve"> </t>
        </is>
      </c>
      <c r="V43" s="104" t="inlineStr">
        <is>
          <t xml:space="preserve"> </t>
        </is>
      </c>
      <c r="W43" t="inlineStr">
        <is>
          <t>No se encontró ejecución en PIIP</t>
        </is>
      </c>
    </row>
    <row r="44">
      <c r="A44" t="inlineStr">
        <is>
          <t>IP-60</t>
        </is>
      </c>
      <c r="B44" t="inlineStr">
        <is>
          <t>12</t>
        </is>
      </c>
      <c r="C44" t="inlineStr">
        <is>
          <t>Justicia y del derecho</t>
        </is>
      </c>
      <c r="D44" t="inlineStr">
        <is>
          <t>1206</t>
        </is>
      </c>
      <c r="E44" t="inlineStr">
        <is>
          <t>Sistema penitenciario y carcelario en el marco de los derechos humanos</t>
        </is>
      </c>
      <c r="F44" t="inlineStr">
        <is>
          <t>1206004</t>
        </is>
      </c>
      <c r="G44" t="inlineStr">
        <is>
          <t>Servicio de vigilancia carcelaria y penitenciaria</t>
        </is>
      </c>
      <c r="H44" t="inlineStr">
        <is>
          <t>120600402</t>
        </is>
      </c>
      <c r="I44" t="inlineStr">
        <is>
          <t>Establecimientos de reclusión territoriales que cuentan con la planta de custodia y vigilancia mínima requerida</t>
        </is>
      </c>
      <c r="J44" t="inlineStr">
        <is>
          <t>2024252000021</t>
        </is>
      </c>
      <c r="K44" t="inlineStr">
        <is>
          <t>Si</t>
        </is>
      </c>
      <c r="L44" t="inlineStr">
        <is>
          <t>Número</t>
        </is>
      </c>
      <c r="M44">
        <v>1</v>
      </c>
      <c r="N44">
        <v>1</v>
      </c>
      <c r="O44">
        <v>1</v>
      </c>
      <c r="P44">
        <v>1</v>
      </c>
      <c r="Q44">
        <v>1</v>
      </c>
      <c r="R44" t="inlineStr">
        <is>
          <t xml:space="preserve"> </t>
        </is>
      </c>
      <c r="S44" s="103" t="inlineStr">
        <is>
          <t xml:space="preserve"> </t>
        </is>
      </c>
      <c r="T44" t="inlineStr">
        <is>
          <t>No se encontró ejecución en PIIP</t>
        </is>
      </c>
      <c r="U44" t="inlineStr">
        <is>
          <t xml:space="preserve"> </t>
        </is>
      </c>
      <c r="V44" s="104" t="inlineStr">
        <is>
          <t xml:space="preserve"> </t>
        </is>
      </c>
      <c r="W44" t="inlineStr">
        <is>
          <t>No se encontró ejecución en PIIP</t>
        </is>
      </c>
    </row>
    <row r="45">
      <c r="A45" t="inlineStr">
        <is>
          <t>IP-61</t>
        </is>
      </c>
      <c r="B45" t="inlineStr">
        <is>
          <t>12</t>
        </is>
      </c>
      <c r="C45" t="inlineStr">
        <is>
          <t>Justicia y del derecho</t>
        </is>
      </c>
      <c r="D45" t="inlineStr">
        <is>
          <t>1202</t>
        </is>
      </c>
      <c r="E45" t="inlineStr">
        <is>
          <t>Promoción al acceso a la justicia</t>
        </is>
      </c>
      <c r="F45" t="inlineStr">
        <is>
          <t>1202019</t>
        </is>
      </c>
      <c r="G45" t="inlineStr">
        <is>
          <t>Servicio de promoción del acceso a la justicia</t>
        </is>
      </c>
      <c r="H45" t="inlineStr">
        <is>
          <t>120201900</t>
        </is>
      </c>
      <c r="I45" t="inlineStr">
        <is>
          <t>Estrategias de acceso a la justicia desarrolladas</t>
        </is>
      </c>
      <c r="J45" t="inlineStr">
        <is>
          <t>2024252000022</t>
        </is>
      </c>
      <c r="K45" t="inlineStr">
        <is>
          <t>Si</t>
        </is>
      </c>
      <c r="L45" t="inlineStr">
        <is>
          <t>Número</t>
        </is>
      </c>
      <c r="M45">
        <v>1</v>
      </c>
      <c r="N45">
        <v>1</v>
      </c>
      <c r="O45">
        <v>1</v>
      </c>
      <c r="P45">
        <v>1</v>
      </c>
      <c r="Q45">
        <v>1</v>
      </c>
      <c r="R45" t="inlineStr">
        <is>
          <t xml:space="preserve"> </t>
        </is>
      </c>
      <c r="S45" s="103" t="inlineStr">
        <is>
          <t xml:space="preserve"> </t>
        </is>
      </c>
      <c r="T45" t="inlineStr">
        <is>
          <t>No se encontró ejecución en PIIP</t>
        </is>
      </c>
      <c r="U45" t="inlineStr">
        <is>
          <t xml:space="preserve"> </t>
        </is>
      </c>
      <c r="V45" s="104" t="inlineStr">
        <is>
          <t xml:space="preserve"> </t>
        </is>
      </c>
      <c r="W45" t="inlineStr">
        <is>
          <t>No se encontró ejecución en PIIP</t>
        </is>
      </c>
    </row>
    <row r="46">
      <c r="A46" t="inlineStr">
        <is>
          <t>IP-62</t>
        </is>
      </c>
      <c r="B46" t="inlineStr">
        <is>
          <t>12</t>
        </is>
      </c>
      <c r="C46" t="inlineStr">
        <is>
          <t>Justicia y del derecho</t>
        </is>
      </c>
      <c r="D46" t="inlineStr">
        <is>
          <t>1202</t>
        </is>
      </c>
      <c r="E46" t="inlineStr">
        <is>
          <t>Promoción al acceso a la justicia</t>
        </is>
      </c>
      <c r="F46" t="inlineStr">
        <is>
          <t>1202011</t>
        </is>
      </c>
      <c r="G46" t="inlineStr">
        <is>
          <t>Documentos normativos</t>
        </is>
      </c>
      <c r="H46" t="inlineStr">
        <is>
          <t>120201104</t>
        </is>
      </c>
      <c r="I46" t="inlineStr">
        <is>
          <t>Documentos normativos socializados</t>
        </is>
      </c>
      <c r="J46" t="inlineStr">
        <is>
          <t>2024252000022</t>
        </is>
      </c>
      <c r="K46" t="inlineStr">
        <is>
          <t>Si</t>
        </is>
      </c>
      <c r="L46" t="inlineStr">
        <is>
          <t>Número</t>
        </is>
      </c>
      <c r="M46">
        <v>1</v>
      </c>
      <c r="N46">
        <v>1</v>
      </c>
      <c r="O46">
        <v>1</v>
      </c>
      <c r="P46">
        <v>1</v>
      </c>
      <c r="Q46">
        <v>1</v>
      </c>
      <c r="R46" t="inlineStr">
        <is>
          <t xml:space="preserve"> </t>
        </is>
      </c>
      <c r="S46" s="103" t="inlineStr">
        <is>
          <t xml:space="preserve"> </t>
        </is>
      </c>
      <c r="T46" t="inlineStr">
        <is>
          <t>No se encontró ejecución en PIIP</t>
        </is>
      </c>
      <c r="U46" t="inlineStr">
        <is>
          <t xml:space="preserve"> </t>
        </is>
      </c>
      <c r="V46" s="104" t="inlineStr">
        <is>
          <t xml:space="preserve"> </t>
        </is>
      </c>
      <c r="W46" t="inlineStr">
        <is>
          <t>No se encontró ejecución en PIIP</t>
        </is>
      </c>
    </row>
    <row r="47">
      <c r="A47" t="inlineStr">
        <is>
          <t>IP-63</t>
        </is>
      </c>
      <c r="B47" t="inlineStr">
        <is>
          <t>45</t>
        </is>
      </c>
      <c r="C47" t="inlineStr">
        <is>
          <t>Gobierno Territorial</t>
        </is>
      </c>
      <c r="D47" t="inlineStr">
        <is>
          <t>4501</t>
        </is>
      </c>
      <c r="E47" t="inlineStr">
        <is>
          <t>Fortalecimiento de la convivencia y la seguridad ciudadana</t>
        </is>
      </c>
      <c r="F47" t="inlineStr">
        <is>
          <t>4501018</t>
        </is>
      </c>
      <c r="G47" t="inlineStr">
        <is>
          <t>Comisarías de familia dotadas</t>
        </is>
      </c>
      <c r="H47" t="inlineStr">
        <is>
          <t>450101800</t>
        </is>
      </c>
      <c r="I47" t="inlineStr">
        <is>
          <t>Comisarías de familia dotada</t>
        </is>
      </c>
      <c r="J47" t="inlineStr">
        <is>
          <t>2024252000020</t>
        </is>
      </c>
      <c r="K47" t="inlineStr">
        <is>
          <t>Si</t>
        </is>
      </c>
      <c r="L47" t="inlineStr">
        <is>
          <t>Número</t>
        </is>
      </c>
      <c r="M47">
        <v>1</v>
      </c>
      <c r="N47">
        <v>1</v>
      </c>
      <c r="O47">
        <v>1</v>
      </c>
      <c r="P47">
        <v>1</v>
      </c>
      <c r="Q47">
        <v>1</v>
      </c>
      <c r="R47" t="inlineStr">
        <is>
          <t xml:space="preserve"> </t>
        </is>
      </c>
      <c r="S47" s="103" t="inlineStr">
        <is>
          <t xml:space="preserve"> </t>
        </is>
      </c>
      <c r="T47" t="inlineStr">
        <is>
          <t>No se encontró ejecución en PIIP</t>
        </is>
      </c>
      <c r="U47" t="inlineStr">
        <is>
          <t xml:space="preserve"> </t>
        </is>
      </c>
      <c r="V47" s="104" t="inlineStr">
        <is>
          <t xml:space="preserve"> </t>
        </is>
      </c>
      <c r="W47" t="inlineStr">
        <is>
          <t>No se encontró ejecución en PIIP</t>
        </is>
      </c>
    </row>
    <row r="48">
      <c r="A48" t="inlineStr">
        <is>
          <t>IP-64</t>
        </is>
      </c>
      <c r="B48" t="inlineStr">
        <is>
          <t>12</t>
        </is>
      </c>
      <c r="C48" t="inlineStr">
        <is>
          <t>Justicia y del derecho</t>
        </is>
      </c>
      <c r="D48" t="inlineStr">
        <is>
          <t>1202</t>
        </is>
      </c>
      <c r="E48" t="inlineStr">
        <is>
          <t>Promoción al acceso a la justicia</t>
        </is>
      </c>
      <c r="F48" t="inlineStr">
        <is>
          <t>1202005</t>
        </is>
      </c>
      <c r="G48" t="inlineStr">
        <is>
          <t>Servicio de asistencia técnica para la descentralización de los Servicio de justicia en los territorios</t>
        </is>
      </c>
      <c r="H48" t="inlineStr">
        <is>
          <t>120200500</t>
        </is>
      </c>
      <c r="I48" t="inlineStr">
        <is>
          <t>Entidades territoriales asistidas técnicamente</t>
        </is>
      </c>
      <c r="J48" t="inlineStr">
        <is>
          <t>2024252000022</t>
        </is>
      </c>
      <c r="K48" t="inlineStr">
        <is>
          <t>Si</t>
        </is>
      </c>
      <c r="L48" t="inlineStr">
        <is>
          <t>Número</t>
        </is>
      </c>
      <c r="M48">
        <v>1</v>
      </c>
      <c r="N48">
        <v>1</v>
      </c>
      <c r="O48">
        <v>1</v>
      </c>
      <c r="P48">
        <v>1</v>
      </c>
      <c r="Q48">
        <v>1</v>
      </c>
      <c r="R48" t="inlineStr">
        <is>
          <t xml:space="preserve"> </t>
        </is>
      </c>
      <c r="S48" s="103" t="inlineStr">
        <is>
          <t xml:space="preserve"> </t>
        </is>
      </c>
      <c r="T48" t="inlineStr">
        <is>
          <t>No se encontró ejecución en PIIP</t>
        </is>
      </c>
      <c r="U48" t="inlineStr">
        <is>
          <t xml:space="preserve"> </t>
        </is>
      </c>
      <c r="V48" s="104" t="inlineStr">
        <is>
          <t xml:space="preserve"> </t>
        </is>
      </c>
      <c r="W48" t="inlineStr">
        <is>
          <t>No se encontró ejecución en PIIP</t>
        </is>
      </c>
    </row>
    <row r="49">
      <c r="A49" t="inlineStr">
        <is>
          <t>IP-65, IP-66</t>
        </is>
      </c>
      <c r="B49" t="inlineStr">
        <is>
          <t>45</t>
        </is>
      </c>
      <c r="C49" t="inlineStr">
        <is>
          <t>Gobierno Territorial</t>
        </is>
      </c>
      <c r="D49" t="inlineStr">
        <is>
          <t>4502</t>
        </is>
      </c>
      <c r="E49" t="inlineStr">
        <is>
          <t>Fortalecimiento del buen gobierno para el respeto y garantía de los derechos humanos.</t>
        </is>
      </c>
      <c r="F49" t="inlineStr">
        <is>
          <t>4502001</t>
        </is>
      </c>
      <c r="G49" t="inlineStr">
        <is>
          <t>Servicio de promoción a la participación ciudadana</t>
        </is>
      </c>
      <c r="H49" t="inlineStr">
        <is>
          <t>450200100</t>
        </is>
      </c>
      <c r="I49" t="inlineStr">
        <is>
          <t>Espacios de participación promovidos</t>
        </is>
      </c>
      <c r="J49" t="inlineStr">
        <is>
          <t>2024252000023</t>
        </is>
      </c>
      <c r="K49" t="inlineStr">
        <is>
          <t>Si</t>
        </is>
      </c>
      <c r="L49" t="inlineStr">
        <is>
          <t>Número</t>
        </is>
      </c>
      <c r="M49">
        <v>2</v>
      </c>
      <c r="N49">
        <v>2</v>
      </c>
      <c r="O49">
        <v>2</v>
      </c>
      <c r="P49">
        <v>2</v>
      </c>
      <c r="Q49">
        <v>2</v>
      </c>
      <c r="R49" t="inlineStr">
        <is>
          <t xml:space="preserve"> </t>
        </is>
      </c>
      <c r="S49" s="103" t="inlineStr">
        <is>
          <t xml:space="preserve"> </t>
        </is>
      </c>
      <c r="T49" t="inlineStr">
        <is>
          <t>No se encontró ejecución en PIIP</t>
        </is>
      </c>
      <c r="U49" t="inlineStr">
        <is>
          <t xml:space="preserve"> </t>
        </is>
      </c>
      <c r="V49" s="104" t="inlineStr">
        <is>
          <t xml:space="preserve"> </t>
        </is>
      </c>
      <c r="W49" t="inlineStr">
        <is>
          <t>No se encontró ejecución en PIIP</t>
        </is>
      </c>
    </row>
    <row r="50">
      <c r="A50" t="inlineStr">
        <is>
          <t>IP-67, IP-68, IP-69, IP-70, IP-71</t>
        </is>
      </c>
      <c r="B50" t="inlineStr">
        <is>
          <t>45</t>
        </is>
      </c>
      <c r="C50" t="inlineStr">
        <is>
          <t>Gobierno Territorial</t>
        </is>
      </c>
      <c r="D50" t="inlineStr">
        <is>
          <t>4502</t>
        </is>
      </c>
      <c r="E50" t="inlineStr">
        <is>
          <t>Fortalecimiento del buen gobierno para el respeto y garantía de los derechos humanos.</t>
        </is>
      </c>
      <c r="F50" t="inlineStr">
        <is>
          <t>4502001</t>
        </is>
      </c>
      <c r="G50" t="inlineStr">
        <is>
          <t>Servicio de promoción a la participación ciudadana</t>
        </is>
      </c>
      <c r="H50" t="inlineStr">
        <is>
          <t>450200100</t>
        </is>
      </c>
      <c r="I50" t="inlineStr">
        <is>
          <t>Espacios de participación promovidos</t>
        </is>
      </c>
      <c r="J50" t="inlineStr">
        <is>
          <t>2024252000024</t>
        </is>
      </c>
      <c r="K50" t="inlineStr">
        <is>
          <t>Si</t>
        </is>
      </c>
      <c r="L50" t="inlineStr">
        <is>
          <t>Número</t>
        </is>
      </c>
      <c r="M50">
        <v>5</v>
      </c>
      <c r="N50">
        <v>5</v>
      </c>
      <c r="O50">
        <v>5</v>
      </c>
      <c r="P50">
        <v>5</v>
      </c>
      <c r="Q50">
        <v>5</v>
      </c>
      <c r="R50">
        <v>1.25</v>
      </c>
      <c r="S50" s="103">
        <v>0.25</v>
      </c>
      <c r="T50" t="inlineStr">
        <is>
          <t>Lo ejecutado está por debajo de lo programado en la vigencia</t>
        </is>
      </c>
      <c r="U50">
        <v>0</v>
      </c>
      <c r="V50" s="104">
        <v>0</v>
      </c>
      <c r="W50" t="inlineStr">
        <is>
          <t>No se ejecutó en la vigencia</t>
        </is>
      </c>
    </row>
    <row r="51">
      <c r="A51" t="inlineStr">
        <is>
          <t>IP-72, IP-73</t>
        </is>
      </c>
      <c r="B51" t="inlineStr">
        <is>
          <t>24</t>
        </is>
      </c>
      <c r="C51" t="inlineStr">
        <is>
          <t>Transporte</t>
        </is>
      </c>
      <c r="D51" t="inlineStr">
        <is>
          <t>2409</t>
        </is>
      </c>
      <c r="E51" t="inlineStr">
        <is>
          <t>Seguridad de transporte</t>
        </is>
      </c>
      <c r="F51" t="inlineStr">
        <is>
          <t>2409014</t>
        </is>
      </c>
      <c r="G51" t="inlineStr">
        <is>
          <t>Documentos de planeación</t>
        </is>
      </c>
      <c r="H51" t="inlineStr">
        <is>
          <t>240901400</t>
        </is>
      </c>
      <c r="I51" t="inlineStr">
        <is>
          <t>Documentos de planeación realizados</t>
        </is>
      </c>
      <c r="J51" t="inlineStr">
        <is>
          <t>2024252000026</t>
        </is>
      </c>
      <c r="K51" t="inlineStr">
        <is>
          <t>Si</t>
        </is>
      </c>
      <c r="L51" t="inlineStr">
        <is>
          <t>Número</t>
        </is>
      </c>
      <c r="M51">
        <v>2</v>
      </c>
      <c r="N51">
        <v>0</v>
      </c>
      <c r="O51">
        <v>2</v>
      </c>
      <c r="P51">
        <v>2</v>
      </c>
      <c r="Q51">
        <v>2</v>
      </c>
      <c r="R51" t="inlineStr">
        <is>
          <t xml:space="preserve"> </t>
        </is>
      </c>
      <c r="S51" s="103" t="inlineStr">
        <is>
          <t xml:space="preserve"> </t>
        </is>
      </c>
      <c r="T51" t="inlineStr">
        <is>
          <t>No se encontró ejecución en PIIP</t>
        </is>
      </c>
      <c r="U51" t="inlineStr">
        <is>
          <t xml:space="preserve"> </t>
        </is>
      </c>
      <c r="V51" s="104" t="inlineStr">
        <is>
          <t xml:space="preserve"> </t>
        </is>
      </c>
      <c r="W51" t="inlineStr">
        <is>
          <t>No se encontró ejecución en PIIP</t>
        </is>
      </c>
    </row>
    <row r="52">
      <c r="A52" t="inlineStr">
        <is>
          <t>IP-74</t>
        </is>
      </c>
      <c r="B52" t="inlineStr">
        <is>
          <t>45</t>
        </is>
      </c>
      <c r="C52" t="inlineStr">
        <is>
          <t>Gobierno Territorial</t>
        </is>
      </c>
      <c r="D52" t="inlineStr">
        <is>
          <t>4501</t>
        </is>
      </c>
      <c r="E52" t="inlineStr">
        <is>
          <t>Fortalecimiento de la convivencia y la seguridad ciudadana</t>
        </is>
      </c>
      <c r="F52" t="inlineStr">
        <is>
          <t>4501058</t>
        </is>
      </c>
      <c r="G52" t="inlineStr">
        <is>
          <t>Infraestructura para el bienestar animal construida y dotada</t>
        </is>
      </c>
      <c r="H52" t="inlineStr">
        <is>
          <t>450105800</t>
        </is>
      </c>
      <c r="I52" t="inlineStr">
        <is>
          <t>Infraestructura para el bienestar animal construida</t>
        </is>
      </c>
      <c r="J52" t="inlineStr">
        <is>
          <t>2024252000027</t>
        </is>
      </c>
      <c r="K52" t="inlineStr">
        <is>
          <t>Si</t>
        </is>
      </c>
      <c r="L52" t="inlineStr">
        <is>
          <t>Número</t>
        </is>
      </c>
      <c r="M52">
        <v>1</v>
      </c>
      <c r="N52">
        <v>0.1</v>
      </c>
      <c r="O52">
        <v>1</v>
      </c>
      <c r="P52">
        <v>0</v>
      </c>
      <c r="Q52">
        <v>0</v>
      </c>
      <c r="R52" t="inlineStr">
        <is>
          <t xml:space="preserve"> </t>
        </is>
      </c>
      <c r="S52" s="103" t="inlineStr">
        <is>
          <t xml:space="preserve"> </t>
        </is>
      </c>
      <c r="T52" t="inlineStr">
        <is>
          <t>No se encontró ejecución en PIIP</t>
        </is>
      </c>
      <c r="U52" t="inlineStr">
        <is>
          <t xml:space="preserve"> </t>
        </is>
      </c>
      <c r="V52" s="104" t="inlineStr">
        <is>
          <t xml:space="preserve"> </t>
        </is>
      </c>
      <c r="W52" t="inlineStr">
        <is>
          <t>No se encontró ejecución en PIIP</t>
        </is>
      </c>
    </row>
    <row r="53">
      <c r="A53" t="inlineStr">
        <is>
          <t>IP-75</t>
        </is>
      </c>
      <c r="B53" t="inlineStr">
        <is>
          <t>45</t>
        </is>
      </c>
      <c r="C53" t="inlineStr">
        <is>
          <t>Gobierno Territorial</t>
        </is>
      </c>
      <c r="D53" t="inlineStr">
        <is>
          <t>4501</t>
        </is>
      </c>
      <c r="E53" t="inlineStr">
        <is>
          <t>Fortalecimiento de la convivencia y la seguridad ciudadana</t>
        </is>
      </c>
      <c r="F53" t="inlineStr">
        <is>
          <t>4501004</t>
        </is>
      </c>
      <c r="G53" t="inlineStr">
        <is>
          <t>Servicio de promoción de convivencia y no repetición</t>
        </is>
      </c>
      <c r="H53" t="inlineStr">
        <is>
          <t>450100400</t>
        </is>
      </c>
      <c r="I53" t="inlineStr">
        <is>
          <t>Iniciativas para la promoción de la convivencia implementadas</t>
        </is>
      </c>
      <c r="J53" t="inlineStr">
        <is>
          <t>2024252000027</t>
        </is>
      </c>
      <c r="K53" t="inlineStr">
        <is>
          <t>Si</t>
        </is>
      </c>
      <c r="L53" t="inlineStr">
        <is>
          <t>Número</t>
        </is>
      </c>
      <c r="M53">
        <v>1</v>
      </c>
      <c r="N53">
        <v>0</v>
      </c>
      <c r="O53">
        <v>1</v>
      </c>
      <c r="P53">
        <v>1</v>
      </c>
      <c r="Q53">
        <v>1</v>
      </c>
      <c r="R53" t="inlineStr">
        <is>
          <t xml:space="preserve"> </t>
        </is>
      </c>
      <c r="S53" s="103" t="inlineStr">
        <is>
          <t xml:space="preserve"> </t>
        </is>
      </c>
      <c r="T53" t="inlineStr">
        <is>
          <t>No se encontró ejecución en PIIP</t>
        </is>
      </c>
      <c r="U53" t="inlineStr">
        <is>
          <t xml:space="preserve"> </t>
        </is>
      </c>
      <c r="V53" s="104" t="inlineStr">
        <is>
          <t xml:space="preserve"> </t>
        </is>
      </c>
      <c r="W53" t="inlineStr">
        <is>
          <t>No se encontró ejecución en PIIP</t>
        </is>
      </c>
    </row>
    <row r="54">
      <c r="A54" t="inlineStr">
        <is>
          <t>IP-76</t>
        </is>
      </c>
      <c r="B54" t="inlineStr">
        <is>
          <t>17</t>
        </is>
      </c>
      <c r="C54" t="inlineStr">
        <is>
          <t xml:space="preserve">Agricultura y desarrollo rural
</t>
        </is>
      </c>
      <c r="D54" t="inlineStr">
        <is>
          <t>1702</t>
        </is>
      </c>
      <c r="E54" t="inlineStr">
        <is>
          <t>Inclusión productiva de pequeños productores rurales</t>
        </is>
      </c>
      <c r="F54" t="inlineStr">
        <is>
          <t>1702038</t>
        </is>
      </c>
      <c r="G54" t="inlineStr">
        <is>
          <t>Servicio de apoyo a la comercialización</t>
        </is>
      </c>
      <c r="H54" t="inlineStr">
        <is>
          <t>170203801</t>
        </is>
      </c>
      <c r="I54" t="inlineStr">
        <is>
          <t>Productores apoyados para la participación en mercados campesinos</t>
        </is>
      </c>
      <c r="J54" t="inlineStr">
        <is>
          <t>2024252000028</t>
        </is>
      </c>
      <c r="K54" t="inlineStr">
        <is>
          <t>Si</t>
        </is>
      </c>
      <c r="L54" t="inlineStr">
        <is>
          <t>Número</t>
        </is>
      </c>
      <c r="M54">
        <v>1</v>
      </c>
      <c r="N54">
        <v>1</v>
      </c>
      <c r="O54">
        <v>1</v>
      </c>
      <c r="P54">
        <v>1</v>
      </c>
      <c r="Q54">
        <v>1</v>
      </c>
      <c r="R54" t="inlineStr">
        <is>
          <t xml:space="preserve"> </t>
        </is>
      </c>
      <c r="S54" s="103" t="inlineStr">
        <is>
          <t xml:space="preserve"> </t>
        </is>
      </c>
      <c r="T54" t="inlineStr">
        <is>
          <t>No se encontró ejecución en PIIP</t>
        </is>
      </c>
      <c r="U54" t="inlineStr">
        <is>
          <t xml:space="preserve"> </t>
        </is>
      </c>
      <c r="V54" s="104" t="inlineStr">
        <is>
          <t xml:space="preserve"> </t>
        </is>
      </c>
      <c r="W54" t="inlineStr">
        <is>
          <t>No se encontró ejecución en PIIP</t>
        </is>
      </c>
    </row>
    <row r="55">
      <c r="A55" t="inlineStr">
        <is>
          <t>IP-77</t>
        </is>
      </c>
      <c r="B55" t="inlineStr">
        <is>
          <t>17</t>
        </is>
      </c>
      <c r="C55" t="inlineStr">
        <is>
          <t xml:space="preserve">Agricultura y desarrollo rural
</t>
        </is>
      </c>
      <c r="D55" t="inlineStr">
        <is>
          <t>1702</t>
        </is>
      </c>
      <c r="E55" t="inlineStr">
        <is>
          <t>Inclusión productiva de pequeños productores rurales</t>
        </is>
      </c>
      <c r="F55" t="inlineStr">
        <is>
          <t>1702014</t>
        </is>
      </c>
      <c r="G55" t="inlineStr">
        <is>
          <t>Servicio de apoyo para el acceso a maquinaria y equipos</t>
        </is>
      </c>
      <c r="H55" t="inlineStr">
        <is>
          <t>170201400</t>
        </is>
      </c>
      <c r="I55" t="inlineStr">
        <is>
          <t>Productores beneficiados con acceso a maquinaria y equipo</t>
        </is>
      </c>
      <c r="J55" t="inlineStr">
        <is>
          <t>2024252000028</t>
        </is>
      </c>
      <c r="K55" t="inlineStr">
        <is>
          <t>Si</t>
        </is>
      </c>
      <c r="L55" t="inlineStr">
        <is>
          <t>Número</t>
        </is>
      </c>
      <c r="M55">
        <v>1</v>
      </c>
      <c r="N55">
        <v>1</v>
      </c>
      <c r="O55">
        <v>1</v>
      </c>
      <c r="P55">
        <v>1</v>
      </c>
      <c r="Q55">
        <v>1</v>
      </c>
      <c r="R55" t="inlineStr">
        <is>
          <t xml:space="preserve"> </t>
        </is>
      </c>
      <c r="S55" s="103" t="inlineStr">
        <is>
          <t xml:space="preserve"> </t>
        </is>
      </c>
      <c r="T55" t="inlineStr">
        <is>
          <t>No se encontró ejecución en PIIP</t>
        </is>
      </c>
      <c r="U55" t="inlineStr">
        <is>
          <t xml:space="preserve"> </t>
        </is>
      </c>
      <c r="V55" s="104" t="inlineStr">
        <is>
          <t xml:space="preserve"> </t>
        </is>
      </c>
      <c r="W55" t="inlineStr">
        <is>
          <t>No se encontró ejecución en PIIP</t>
        </is>
      </c>
    </row>
    <row r="56">
      <c r="A56" t="inlineStr">
        <is>
          <t>IP-78</t>
        </is>
      </c>
      <c r="B56" t="inlineStr">
        <is>
          <t>17</t>
        </is>
      </c>
      <c r="C56" t="inlineStr">
        <is>
          <t xml:space="preserve">Agricultura y desarrollo rural
</t>
        </is>
      </c>
      <c r="D56" t="inlineStr">
        <is>
          <t>1708</t>
        </is>
      </c>
      <c r="E56" t="inlineStr">
        <is>
          <t>Ciencia, tecnología e innovación agropecuaria</t>
        </is>
      </c>
      <c r="F56" t="inlineStr">
        <is>
          <t>1708032</t>
        </is>
      </c>
      <c r="G56" t="inlineStr">
        <is>
          <t>Parcelas, módulos y unidades demostrativas adecuadas</t>
        </is>
      </c>
      <c r="H56" t="inlineStr">
        <is>
          <t>170803200</t>
        </is>
      </c>
      <c r="I56" t="inlineStr">
        <is>
          <t>Parcelas, módulos y unidades demostrativas adecuadas</t>
        </is>
      </c>
      <c r="J56" t="inlineStr">
        <is>
          <t>2024252000029</t>
        </is>
      </c>
      <c r="K56" t="inlineStr">
        <is>
          <t>Si</t>
        </is>
      </c>
      <c r="L56" t="inlineStr">
        <is>
          <t>Número</t>
        </is>
      </c>
      <c r="M56">
        <v>4</v>
      </c>
      <c r="N56">
        <v>4</v>
      </c>
      <c r="O56">
        <v>4</v>
      </c>
      <c r="P56">
        <v>4</v>
      </c>
      <c r="Q56">
        <v>4</v>
      </c>
      <c r="R56" t="inlineStr">
        <is>
          <t xml:space="preserve"> </t>
        </is>
      </c>
      <c r="S56" s="103" t="inlineStr">
        <is>
          <t xml:space="preserve"> </t>
        </is>
      </c>
      <c r="T56" t="inlineStr">
        <is>
          <t>No se encontró ejecución en PIIP</t>
        </is>
      </c>
      <c r="U56" t="inlineStr">
        <is>
          <t xml:space="preserve"> </t>
        </is>
      </c>
      <c r="V56" s="104" t="inlineStr">
        <is>
          <t xml:space="preserve"> </t>
        </is>
      </c>
      <c r="W56" t="inlineStr">
        <is>
          <t>No se encontró ejecución en PIIP</t>
        </is>
      </c>
    </row>
    <row r="57">
      <c r="A57" t="inlineStr">
        <is>
          <t>IP-79</t>
        </is>
      </c>
      <c r="B57" t="inlineStr">
        <is>
          <t>36</t>
        </is>
      </c>
      <c r="C57" t="inlineStr">
        <is>
          <t>Trabajo</t>
        </is>
      </c>
      <c r="D57" t="inlineStr">
        <is>
          <t>3602</t>
        </is>
      </c>
      <c r="E57" t="inlineStr">
        <is>
          <t>Generación y formalización del empleo</t>
        </is>
      </c>
      <c r="F57" t="inlineStr">
        <is>
          <t>3602022</t>
        </is>
      </c>
      <c r="G57" t="inlineStr">
        <is>
          <t>Servicios de asistencia técnica para la generación de Alianzas Estratégicas</t>
        </is>
      </c>
      <c r="H57" t="inlineStr">
        <is>
          <t>360202200</t>
        </is>
      </c>
      <c r="I57" t="inlineStr">
        <is>
          <t>Alianzas estratégicas generadas</t>
        </is>
      </c>
      <c r="J57" t="inlineStr">
        <is>
          <t>2024252000036</t>
        </is>
      </c>
      <c r="K57" t="inlineStr">
        <is>
          <t>Si</t>
        </is>
      </c>
      <c r="L57" t="inlineStr">
        <is>
          <t>Número</t>
        </is>
      </c>
      <c r="M57">
        <v>2</v>
      </c>
      <c r="N57">
        <v>2</v>
      </c>
      <c r="O57">
        <v>2</v>
      </c>
      <c r="P57">
        <v>2</v>
      </c>
      <c r="Q57">
        <v>2</v>
      </c>
      <c r="R57" t="inlineStr">
        <is>
          <t xml:space="preserve"> </t>
        </is>
      </c>
      <c r="S57" s="103" t="inlineStr">
        <is>
          <t xml:space="preserve"> </t>
        </is>
      </c>
      <c r="T57" t="inlineStr">
        <is>
          <t>No se encontró ejecución en PIIP</t>
        </is>
      </c>
      <c r="U57" t="inlineStr">
        <is>
          <t xml:space="preserve"> </t>
        </is>
      </c>
      <c r="V57" s="104" t="inlineStr">
        <is>
          <t xml:space="preserve"> </t>
        </is>
      </c>
      <c r="W57" t="inlineStr">
        <is>
          <t>No se encontró ejecución en PIIP</t>
        </is>
      </c>
    </row>
    <row r="58">
      <c r="A58" t="inlineStr">
        <is>
          <t>IP-80, IP-81</t>
        </is>
      </c>
      <c r="B58" t="inlineStr">
        <is>
          <t>36</t>
        </is>
      </c>
      <c r="C58" t="inlineStr">
        <is>
          <t>Trabajo</t>
        </is>
      </c>
      <c r="D58" t="inlineStr">
        <is>
          <t>3602</t>
        </is>
      </c>
      <c r="E58" t="inlineStr">
        <is>
          <t>Generación y formalización del empleo</t>
        </is>
      </c>
      <c r="F58" t="inlineStr">
        <is>
          <t>3602017</t>
        </is>
      </c>
      <c r="G58" t="inlineStr">
        <is>
          <t>Servicio de asistencia técnica para la generación y formalización de empresa</t>
        </is>
      </c>
      <c r="H58" t="inlineStr">
        <is>
          <t>360201701</t>
        </is>
      </c>
      <c r="I58" t="inlineStr">
        <is>
          <t>Emprendedores Orientados</t>
        </is>
      </c>
      <c r="J58" t="inlineStr">
        <is>
          <t>2024252000036</t>
        </is>
      </c>
      <c r="K58" t="inlineStr">
        <is>
          <t>Si</t>
        </is>
      </c>
      <c r="L58" t="inlineStr">
        <is>
          <t>Número</t>
        </is>
      </c>
      <c r="M58">
        <v>2</v>
      </c>
      <c r="N58">
        <v>1</v>
      </c>
      <c r="O58">
        <v>2</v>
      </c>
      <c r="P58">
        <v>2</v>
      </c>
      <c r="Q58">
        <v>2</v>
      </c>
      <c r="R58" t="inlineStr">
        <is>
          <t xml:space="preserve"> </t>
        </is>
      </c>
      <c r="S58" s="103" t="inlineStr">
        <is>
          <t xml:space="preserve"> </t>
        </is>
      </c>
      <c r="T58" t="inlineStr">
        <is>
          <t>No se encontró ejecución en PIIP</t>
        </is>
      </c>
      <c r="U58" t="inlineStr">
        <is>
          <t xml:space="preserve"> </t>
        </is>
      </c>
      <c r="V58" s="104" t="inlineStr">
        <is>
          <t xml:space="preserve"> </t>
        </is>
      </c>
      <c r="W58" t="inlineStr">
        <is>
          <t>No se encontró ejecución en PIIP</t>
        </is>
      </c>
    </row>
    <row r="59">
      <c r="A59" t="inlineStr">
        <is>
          <t>IP-82</t>
        </is>
      </c>
      <c r="B59" t="inlineStr">
        <is>
          <t>35</t>
        </is>
      </c>
      <c r="C59" t="inlineStr">
        <is>
          <t>Comercio, industria y turismo</t>
        </is>
      </c>
      <c r="D59" t="inlineStr">
        <is>
          <t>3502</t>
        </is>
      </c>
      <c r="E59" t="inlineStr">
        <is>
          <t>Productividad y competitividad de las empresas colombianas</t>
        </is>
      </c>
      <c r="F59" t="inlineStr">
        <is>
          <t>3502026</t>
        </is>
      </c>
      <c r="G59" t="inlineStr">
        <is>
          <t>Servicio de diseño y/o mejoramiento de productos artesanales</t>
        </is>
      </c>
      <c r="H59" t="inlineStr">
        <is>
          <t>350202601</t>
        </is>
      </c>
      <c r="I59" t="inlineStr">
        <is>
          <t>Productos mejorados</t>
        </is>
      </c>
      <c r="J59" t="inlineStr">
        <is>
          <t>2024252000034</t>
        </is>
      </c>
      <c r="K59" t="inlineStr">
        <is>
          <t>Si</t>
        </is>
      </c>
      <c r="L59" t="inlineStr">
        <is>
          <t>Número</t>
        </is>
      </c>
      <c r="M59">
        <v>1</v>
      </c>
      <c r="N59">
        <v>1</v>
      </c>
      <c r="O59">
        <v>1</v>
      </c>
      <c r="P59">
        <v>1</v>
      </c>
      <c r="Q59">
        <v>1</v>
      </c>
      <c r="R59" t="inlineStr">
        <is>
          <t xml:space="preserve"> </t>
        </is>
      </c>
      <c r="S59" s="103" t="inlineStr">
        <is>
          <t xml:space="preserve"> </t>
        </is>
      </c>
      <c r="T59" t="inlineStr">
        <is>
          <t>No se encontró ejecución en PIIP</t>
        </is>
      </c>
      <c r="U59" t="inlineStr">
        <is>
          <t xml:space="preserve"> </t>
        </is>
      </c>
      <c r="V59" s="104" t="inlineStr">
        <is>
          <t xml:space="preserve"> </t>
        </is>
      </c>
      <c r="W59" t="inlineStr">
        <is>
          <t>No se encontró ejecución en PIIP</t>
        </is>
      </c>
    </row>
    <row r="60">
      <c r="A60" t="inlineStr">
        <is>
          <t>IP-83</t>
        </is>
      </c>
      <c r="B60" t="inlineStr">
        <is>
          <t>35</t>
        </is>
      </c>
      <c r="C60" t="inlineStr">
        <is>
          <t>Comercio, industria y turismo</t>
        </is>
      </c>
      <c r="D60" t="inlineStr">
        <is>
          <t>3502</t>
        </is>
      </c>
      <c r="E60" t="inlineStr">
        <is>
          <t>Productividad y competitividad de las empresas colombianas</t>
        </is>
      </c>
      <c r="F60" t="inlineStr">
        <is>
          <t>3502055</t>
        </is>
      </c>
      <c r="G60" t="inlineStr">
        <is>
          <t>Centro turístico mantenido</t>
        </is>
      </c>
      <c r="H60" t="inlineStr">
        <is>
          <t>350205500</t>
        </is>
      </c>
      <c r="I60" t="inlineStr">
        <is>
          <t>Centro turístico mantenido</t>
        </is>
      </c>
      <c r="J60" t="inlineStr">
        <is>
          <t>2024252000035</t>
        </is>
      </c>
      <c r="K60" t="inlineStr">
        <is>
          <t>Si</t>
        </is>
      </c>
      <c r="L60" t="inlineStr">
        <is>
          <t>Número</t>
        </is>
      </c>
      <c r="M60">
        <v>3</v>
      </c>
      <c r="N60">
        <v>1</v>
      </c>
      <c r="O60">
        <v>2</v>
      </c>
      <c r="P60">
        <v>3</v>
      </c>
      <c r="Q60">
        <v>0</v>
      </c>
      <c r="R60" t="inlineStr">
        <is>
          <t xml:space="preserve"> </t>
        </is>
      </c>
      <c r="S60" s="103" t="inlineStr">
        <is>
          <t xml:space="preserve"> </t>
        </is>
      </c>
      <c r="T60" t="inlineStr">
        <is>
          <t>No se encontró ejecución en PIIP</t>
        </is>
      </c>
      <c r="U60" t="inlineStr">
        <is>
          <t xml:space="preserve"> </t>
        </is>
      </c>
      <c r="V60" s="104" t="inlineStr">
        <is>
          <t xml:space="preserve"> </t>
        </is>
      </c>
      <c r="W60" t="inlineStr">
        <is>
          <t>No se encontró ejecución en PIIP</t>
        </is>
      </c>
    </row>
    <row r="61">
      <c r="A61" t="inlineStr">
        <is>
          <t>IP-84</t>
        </is>
      </c>
      <c r="B61" t="inlineStr">
        <is>
          <t>32</t>
        </is>
      </c>
      <c r="C61" t="inlineStr">
        <is>
          <t>Ambiente y desarrollo sostenible</t>
        </is>
      </c>
      <c r="D61" t="inlineStr">
        <is>
          <t>3201</t>
        </is>
      </c>
      <c r="E61" t="inlineStr">
        <is>
          <t>Fortalecimiento del desempeño ambiental de los sectores productivos</t>
        </is>
      </c>
      <c r="F61" t="inlineStr">
        <is>
          <t>3201008</t>
        </is>
      </c>
      <c r="G61" t="inlineStr">
        <is>
          <t>Servicio de vigilancia de la calidad del aire</t>
        </is>
      </c>
      <c r="H61" t="inlineStr">
        <is>
          <t>320100802</t>
        </is>
      </c>
      <c r="I61" t="inlineStr">
        <is>
          <t>Inventarios de fuentes fijas o móviles realizados</t>
        </is>
      </c>
      <c r="J61" t="inlineStr">
        <is>
          <t>2024252000044</t>
        </is>
      </c>
      <c r="K61" t="inlineStr">
        <is>
          <t>Si</t>
        </is>
      </c>
      <c r="L61" t="inlineStr">
        <is>
          <t>Número</t>
        </is>
      </c>
      <c r="M61">
        <v>1</v>
      </c>
      <c r="N61">
        <v>1</v>
      </c>
      <c r="O61">
        <v>1</v>
      </c>
      <c r="P61">
        <v>1</v>
      </c>
      <c r="Q61">
        <v>1</v>
      </c>
      <c r="R61" t="inlineStr">
        <is>
          <t xml:space="preserve"> </t>
        </is>
      </c>
      <c r="S61" s="103" t="inlineStr">
        <is>
          <t xml:space="preserve"> </t>
        </is>
      </c>
      <c r="T61" t="inlineStr">
        <is>
          <t>No se encontró ejecución en PIIP</t>
        </is>
      </c>
      <c r="U61" t="inlineStr">
        <is>
          <t xml:space="preserve"> </t>
        </is>
      </c>
      <c r="V61" s="104" t="inlineStr">
        <is>
          <t xml:space="preserve"> </t>
        </is>
      </c>
      <c r="W61" t="inlineStr">
        <is>
          <t>No se encontró ejecución en PIIP</t>
        </is>
      </c>
    </row>
    <row r="62">
      <c r="A62" t="inlineStr">
        <is>
          <t>IP-85</t>
        </is>
      </c>
      <c r="B62" t="inlineStr">
        <is>
          <t>32</t>
        </is>
      </c>
      <c r="C62" t="inlineStr">
        <is>
          <t>Ambiente y desarrollo sostenible</t>
        </is>
      </c>
      <c r="D62" t="inlineStr">
        <is>
          <t>3202</t>
        </is>
      </c>
      <c r="E62" t="inlineStr">
        <is>
          <t>Conservación de la biodiversidad y sus servicios ecosistémicos</t>
        </is>
      </c>
      <c r="F62" t="inlineStr">
        <is>
          <t>3202029</t>
        </is>
      </c>
      <c r="G62" t="inlineStr">
        <is>
          <t>Centro de atención e interpretación de la biodiversidad y sus servicios ecosistemicos construido y dotado</t>
        </is>
      </c>
      <c r="H62" t="inlineStr">
        <is>
          <t>320202900</t>
        </is>
      </c>
      <c r="I62" t="inlineStr">
        <is>
          <t>Centro de Atención e interpretación de la biodiversidad y sus Servicio ecosistemicos construido y dotado</t>
        </is>
      </c>
      <c r="J62" t="inlineStr">
        <is>
          <t>2024252000045</t>
        </is>
      </c>
      <c r="K62" t="inlineStr">
        <is>
          <t>Si</t>
        </is>
      </c>
      <c r="L62" t="inlineStr">
        <is>
          <t>Número</t>
        </is>
      </c>
      <c r="M62">
        <v>1</v>
      </c>
      <c r="N62">
        <v>0.1</v>
      </c>
      <c r="O62">
        <v>0.3</v>
      </c>
      <c r="P62">
        <v>1</v>
      </c>
      <c r="Q62">
        <v>0</v>
      </c>
      <c r="R62" t="inlineStr">
        <is>
          <t xml:space="preserve"> </t>
        </is>
      </c>
      <c r="S62" s="103" t="inlineStr">
        <is>
          <t xml:space="preserve"> </t>
        </is>
      </c>
      <c r="T62" t="inlineStr">
        <is>
          <t>No se encontró ejecución en PIIP</t>
        </is>
      </c>
      <c r="U62" t="inlineStr">
        <is>
          <t xml:space="preserve"> </t>
        </is>
      </c>
      <c r="V62" s="104" t="inlineStr">
        <is>
          <t xml:space="preserve"> </t>
        </is>
      </c>
      <c r="W62" t="inlineStr">
        <is>
          <t>No se encontró ejecución en PIIP</t>
        </is>
      </c>
    </row>
    <row r="63">
      <c r="A63" t="inlineStr">
        <is>
          <t>IP-86</t>
        </is>
      </c>
      <c r="B63" t="inlineStr">
        <is>
          <t>32</t>
        </is>
      </c>
      <c r="C63" t="inlineStr">
        <is>
          <t>Ambiente y desarrollo sostenible</t>
        </is>
      </c>
      <c r="D63" t="inlineStr">
        <is>
          <t>3202</t>
        </is>
      </c>
      <c r="E63" t="inlineStr">
        <is>
          <t>Conservación de la biodiversidad y sus servicios ecosistémicos</t>
        </is>
      </c>
      <c r="F63" t="inlineStr">
        <is>
          <t>3202038</t>
        </is>
      </c>
      <c r="G63" t="inlineStr">
        <is>
          <t>Servicio de producción de plántulas en viveros</t>
        </is>
      </c>
      <c r="H63" t="inlineStr">
        <is>
          <t>320203800</t>
        </is>
      </c>
      <c r="I63" t="inlineStr">
        <is>
          <t>Plántulas producidas</t>
        </is>
      </c>
      <c r="J63" t="inlineStr">
        <is>
          <t>2024252000045</t>
        </is>
      </c>
      <c r="K63" t="inlineStr">
        <is>
          <t>Si</t>
        </is>
      </c>
      <c r="L63" t="inlineStr">
        <is>
          <t>Número</t>
        </is>
      </c>
      <c r="M63">
        <v>4</v>
      </c>
      <c r="N63">
        <v>4</v>
      </c>
      <c r="O63">
        <v>4</v>
      </c>
      <c r="P63">
        <v>4</v>
      </c>
      <c r="Q63">
        <v>4</v>
      </c>
      <c r="R63">
        <v>0</v>
      </c>
      <c r="S63" s="103">
        <v>0</v>
      </c>
      <c r="T63" t="inlineStr">
        <is>
          <t>No se ejecutó en la vigencia</t>
        </is>
      </c>
      <c r="U63" t="inlineStr">
        <is>
          <t xml:space="preserve"> </t>
        </is>
      </c>
      <c r="V63" s="104" t="inlineStr">
        <is>
          <t xml:space="preserve"> </t>
        </is>
      </c>
      <c r="W63" t="inlineStr">
        <is>
          <t>No se encontró ejecución en PIIP</t>
        </is>
      </c>
    </row>
    <row r="64">
      <c r="A64" t="inlineStr">
        <is>
          <t>IP-87</t>
        </is>
      </c>
      <c r="B64" t="inlineStr">
        <is>
          <t>32</t>
        </is>
      </c>
      <c r="C64" t="inlineStr">
        <is>
          <t>Ambiente y desarrollo sostenible</t>
        </is>
      </c>
      <c r="D64" t="inlineStr">
        <is>
          <t>3201</t>
        </is>
      </c>
      <c r="E64" t="inlineStr">
        <is>
          <t>Fortalecimiento del desempeño ambiental de los sectores productivos</t>
        </is>
      </c>
      <c r="F64" t="inlineStr">
        <is>
          <t>3201013</t>
        </is>
      </c>
      <c r="G64" t="inlineStr">
        <is>
          <t>Documentos de lineamientos técnicos para mejorar la calidad ambiental de las áreas urbanas</t>
        </is>
      </c>
      <c r="H64" t="inlineStr">
        <is>
          <t>320101300</t>
        </is>
      </c>
      <c r="I64" t="inlineStr">
        <is>
          <t>Documentos de lineamientos técnicos para para mejorar la calidad ambiental de las áreas urbanas elaborados</t>
        </is>
      </c>
      <c r="J64" t="inlineStr">
        <is>
          <t>2024252000043</t>
        </is>
      </c>
      <c r="K64" t="inlineStr">
        <is>
          <t>Si</t>
        </is>
      </c>
      <c r="L64" t="inlineStr">
        <is>
          <t>Número</t>
        </is>
      </c>
      <c r="M64">
        <v>5</v>
      </c>
      <c r="N64">
        <v>5</v>
      </c>
      <c r="O64">
        <v>5</v>
      </c>
      <c r="P64">
        <v>5</v>
      </c>
      <c r="Q64">
        <v>5</v>
      </c>
      <c r="R64" t="inlineStr">
        <is>
          <t xml:space="preserve"> </t>
        </is>
      </c>
      <c r="S64" s="103" t="inlineStr">
        <is>
          <t xml:space="preserve"> </t>
        </is>
      </c>
      <c r="T64" t="inlineStr">
        <is>
          <t>No se encontró ejecución en PIIP</t>
        </is>
      </c>
      <c r="U64" t="inlineStr">
        <is>
          <t xml:space="preserve"> </t>
        </is>
      </c>
      <c r="V64" s="104" t="inlineStr">
        <is>
          <t xml:space="preserve"> </t>
        </is>
      </c>
      <c r="W64" t="inlineStr">
        <is>
          <t>No se encontró ejecución en PIIP</t>
        </is>
      </c>
    </row>
    <row r="65">
      <c r="A65" t="inlineStr">
        <is>
          <t>IP-88</t>
        </is>
      </c>
      <c r="B65" t="inlineStr">
        <is>
          <t>32</t>
        </is>
      </c>
      <c r="C65" t="inlineStr">
        <is>
          <t>Ambiente y desarrollo sostenible</t>
        </is>
      </c>
      <c r="D65" t="inlineStr">
        <is>
          <t>3204</t>
        </is>
      </c>
      <c r="E65" t="inlineStr">
        <is>
          <t>Gestión de la información y el conocimiento ambiental</t>
        </is>
      </c>
      <c r="F65" t="inlineStr">
        <is>
          <t>3204011</t>
        </is>
      </c>
      <c r="G65" t="inlineStr">
        <is>
          <t>Servicio de educación para el trabajo en el marco de la información y el conocimiento ambiental</t>
        </is>
      </c>
      <c r="H65" t="inlineStr">
        <is>
          <t>320401101</t>
        </is>
      </c>
      <c r="I65" t="inlineStr">
        <is>
          <t>Investigaciones realizadas</t>
        </is>
      </c>
      <c r="J65" t="inlineStr">
        <is>
          <t>2024252000047</t>
        </is>
      </c>
      <c r="K65" t="inlineStr">
        <is>
          <t>Si</t>
        </is>
      </c>
      <c r="L65" t="inlineStr">
        <is>
          <t>Número</t>
        </is>
      </c>
      <c r="M65">
        <v>30</v>
      </c>
      <c r="N65">
        <v>20</v>
      </c>
      <c r="O65">
        <v>30</v>
      </c>
      <c r="P65">
        <v>30</v>
      </c>
      <c r="Q65">
        <v>30</v>
      </c>
      <c r="R65">
        <v>0</v>
      </c>
      <c r="S65" s="103">
        <v>0</v>
      </c>
      <c r="T65" t="inlineStr">
        <is>
          <t>No se ejecutó en la vigencia</t>
        </is>
      </c>
      <c r="U65" t="inlineStr">
        <is>
          <t xml:space="preserve"> </t>
        </is>
      </c>
      <c r="V65" s="104" t="inlineStr">
        <is>
          <t xml:space="preserve"> </t>
        </is>
      </c>
      <c r="W65" t="inlineStr">
        <is>
          <t>No se encontró ejecución en PIIP</t>
        </is>
      </c>
    </row>
    <row r="66">
      <c r="A66" t="inlineStr">
        <is>
          <t>IP-89</t>
        </is>
      </c>
      <c r="B66" t="inlineStr">
        <is>
          <t>32</t>
        </is>
      </c>
      <c r="C66" t="inlineStr">
        <is>
          <t>Ambiente y desarrollo sostenible</t>
        </is>
      </c>
      <c r="D66" t="inlineStr">
        <is>
          <t>3201</t>
        </is>
      </c>
      <c r="E66" t="inlineStr">
        <is>
          <t>Fortalecimiento del desempeño ambiental de los sectores productivos</t>
        </is>
      </c>
      <c r="F66" t="inlineStr">
        <is>
          <t>3201008</t>
        </is>
      </c>
      <c r="G66" t="inlineStr">
        <is>
          <t>Servicio de vigilancia de la calidad del aire</t>
        </is>
      </c>
      <c r="H66" t="inlineStr">
        <is>
          <t>320100804</t>
        </is>
      </c>
      <c r="I66" t="inlineStr">
        <is>
          <t>Visitas de seguimiento al cumplimiento de estándares de calidad del aire realizadas</t>
        </is>
      </c>
      <c r="J66" t="inlineStr">
        <is>
          <t>2024252000043</t>
        </is>
      </c>
      <c r="K66" t="inlineStr">
        <is>
          <t>Si</t>
        </is>
      </c>
      <c r="L66" t="inlineStr">
        <is>
          <t>Número</t>
        </is>
      </c>
      <c r="M66">
        <v>1</v>
      </c>
      <c r="N66">
        <v>1</v>
      </c>
      <c r="O66">
        <v>1</v>
      </c>
      <c r="P66">
        <v>1</v>
      </c>
      <c r="Q66">
        <v>1</v>
      </c>
      <c r="R66">
        <v>0</v>
      </c>
      <c r="S66" s="103">
        <v>0</v>
      </c>
      <c r="T66" t="inlineStr">
        <is>
          <t>No se ejecutó en la vigencia</t>
        </is>
      </c>
      <c r="U66" t="inlineStr">
        <is>
          <t xml:space="preserve"> </t>
        </is>
      </c>
      <c r="V66" s="104" t="inlineStr">
        <is>
          <t xml:space="preserve"> </t>
        </is>
      </c>
      <c r="W66" t="inlineStr">
        <is>
          <t>No se encontró ejecución en PIIP</t>
        </is>
      </c>
    </row>
    <row r="67">
      <c r="A67" t="inlineStr">
        <is>
          <t>IP-90</t>
        </is>
      </c>
      <c r="B67" t="inlineStr">
        <is>
          <t>45</t>
        </is>
      </c>
      <c r="C67" t="inlineStr">
        <is>
          <t>Gobierno Territorial</t>
        </is>
      </c>
      <c r="D67" t="inlineStr">
        <is>
          <t>4503</t>
        </is>
      </c>
      <c r="E67" t="inlineStr">
        <is>
          <t>Gestión del riesgo de desastres y emergencias</t>
        </is>
      </c>
      <c r="F67" t="inlineStr">
        <is>
          <t>4503023</t>
        </is>
      </c>
      <c r="G67" t="inlineStr">
        <is>
          <t>Documentos de planeación</t>
        </is>
      </c>
      <c r="H67" t="inlineStr">
        <is>
          <t>450302301</t>
        </is>
      </c>
      <c r="I67" t="inlineStr">
        <is>
          <t>Plan de gestión del riesgo de desastres formulado</t>
        </is>
      </c>
      <c r="J67" t="inlineStr">
        <is>
          <t>2024252000038</t>
        </is>
      </c>
      <c r="K67" t="inlineStr">
        <is>
          <t>Si</t>
        </is>
      </c>
      <c r="L67" t="inlineStr">
        <is>
          <t>Número</t>
        </is>
      </c>
      <c r="M67">
        <v>1</v>
      </c>
      <c r="N67">
        <v>0</v>
      </c>
      <c r="O67">
        <v>1</v>
      </c>
      <c r="P67">
        <v>1</v>
      </c>
      <c r="Q67">
        <v>1</v>
      </c>
      <c r="R67" t="inlineStr">
        <is>
          <t xml:space="preserve"> </t>
        </is>
      </c>
      <c r="S67" s="103" t="inlineStr">
        <is>
          <t xml:space="preserve"> </t>
        </is>
      </c>
      <c r="T67" t="inlineStr">
        <is>
          <t>No se encontró ejecución en PIIP</t>
        </is>
      </c>
      <c r="U67" t="inlineStr">
        <is>
          <t xml:space="preserve"> </t>
        </is>
      </c>
      <c r="V67" s="104" t="inlineStr">
        <is>
          <t xml:space="preserve"> </t>
        </is>
      </c>
      <c r="W67" t="inlineStr">
        <is>
          <t>No se encontró ejecución en PIIP</t>
        </is>
      </c>
    </row>
    <row r="68">
      <c r="A68" t="inlineStr">
        <is>
          <t>IP-91</t>
        </is>
      </c>
      <c r="B68" t="inlineStr">
        <is>
          <t>45</t>
        </is>
      </c>
      <c r="C68" t="inlineStr">
        <is>
          <t>Gobierno Territorial</t>
        </is>
      </c>
      <c r="D68" t="inlineStr">
        <is>
          <t>4503</t>
        </is>
      </c>
      <c r="E68" t="inlineStr">
        <is>
          <t>Gestión del riesgo de desastres y emergencias</t>
        </is>
      </c>
      <c r="F68" t="inlineStr">
        <is>
          <t>4503003</t>
        </is>
      </c>
      <c r="G68" t="inlineStr">
        <is>
          <t>Servicio de asistencia técnica</t>
        </is>
      </c>
      <c r="H68" t="inlineStr">
        <is>
          <t>450300300</t>
        </is>
      </c>
      <c r="I68" t="inlineStr">
        <is>
          <t>Instancias territoriales asistidas</t>
        </is>
      </c>
      <c r="J68" t="inlineStr">
        <is>
          <t>2024252000038</t>
        </is>
      </c>
      <c r="K68" t="inlineStr">
        <is>
          <t>Si</t>
        </is>
      </c>
      <c r="L68" t="inlineStr">
        <is>
          <t>Número</t>
        </is>
      </c>
      <c r="M68">
        <v>3</v>
      </c>
      <c r="N68">
        <v>1</v>
      </c>
      <c r="O68">
        <v>3</v>
      </c>
      <c r="P68">
        <v>3</v>
      </c>
      <c r="Q68">
        <v>3</v>
      </c>
      <c r="R68">
        <v>1</v>
      </c>
      <c r="S68" s="103">
        <v>1</v>
      </c>
      <c r="T68" t="inlineStr">
        <is>
          <t>Se ejecutó el 100% de lo programado en la vigencia</t>
        </is>
      </c>
      <c r="U68">
        <v>0</v>
      </c>
      <c r="V68" s="104">
        <v>0</v>
      </c>
      <c r="W68" t="inlineStr">
        <is>
          <t>No se ejecutó en la vigencia</t>
        </is>
      </c>
    </row>
    <row r="69">
      <c r="A69" t="inlineStr">
        <is>
          <t>IP-92</t>
        </is>
      </c>
      <c r="B69" t="inlineStr">
        <is>
          <t>40</t>
        </is>
      </c>
      <c r="C69" t="inlineStr">
        <is>
          <t>Vivienda, ciudad y territorio</t>
        </is>
      </c>
      <c r="D69" t="inlineStr">
        <is>
          <t>4001</t>
        </is>
      </c>
      <c r="E69" t="inlineStr">
        <is>
          <t>Acceso a soluciones de vivienda</t>
        </is>
      </c>
      <c r="F69" t="inlineStr">
        <is>
          <t>4001001</t>
        </is>
      </c>
      <c r="G69" t="inlineStr">
        <is>
          <t>Servicio de asistencia técnica y jurídica en saneamiento y titulación de predios</t>
        </is>
      </c>
      <c r="H69" t="inlineStr">
        <is>
          <t>400100101</t>
        </is>
      </c>
      <c r="I69" t="inlineStr">
        <is>
          <t>Asistencias técnicas y jurídicas realizadas</t>
        </is>
      </c>
      <c r="J69" t="inlineStr">
        <is>
          <t>2024252000037</t>
        </is>
      </c>
      <c r="K69" t="inlineStr">
        <is>
          <t>Si</t>
        </is>
      </c>
      <c r="L69" t="inlineStr">
        <is>
          <t>Número</t>
        </is>
      </c>
      <c r="M69">
        <v>1</v>
      </c>
      <c r="N69">
        <v>1</v>
      </c>
      <c r="O69">
        <v>1</v>
      </c>
      <c r="P69">
        <v>1</v>
      </c>
      <c r="Q69">
        <v>1</v>
      </c>
      <c r="R69" t="inlineStr">
        <is>
          <t xml:space="preserve"> </t>
        </is>
      </c>
      <c r="S69" s="103" t="inlineStr">
        <is>
          <t xml:space="preserve"> </t>
        </is>
      </c>
      <c r="T69" t="inlineStr">
        <is>
          <t>No se encontró ejecución en PIIP</t>
        </is>
      </c>
      <c r="U69" t="inlineStr">
        <is>
          <t xml:space="preserve"> </t>
        </is>
      </c>
      <c r="V69" s="104" t="inlineStr">
        <is>
          <t xml:space="preserve"> </t>
        </is>
      </c>
      <c r="W69" t="inlineStr">
        <is>
          <t>No se encontró ejecución en PIIP</t>
        </is>
      </c>
    </row>
    <row r="70">
      <c r="A70" t="inlineStr">
        <is>
          <t>IP-93</t>
        </is>
      </c>
      <c r="B70" t="inlineStr">
        <is>
          <t>40</t>
        </is>
      </c>
      <c r="C70" t="inlineStr">
        <is>
          <t>Vivienda, ciudad y territorio</t>
        </is>
      </c>
      <c r="D70" t="inlineStr">
        <is>
          <t>4001</t>
        </is>
      </c>
      <c r="E70" t="inlineStr">
        <is>
          <t>Acceso a soluciones de vivienda</t>
        </is>
      </c>
      <c r="F70" t="inlineStr">
        <is>
          <t>4001004</t>
        </is>
      </c>
      <c r="G70" t="inlineStr">
        <is>
          <t>Documentos de planeación</t>
        </is>
      </c>
      <c r="H70" t="inlineStr">
        <is>
          <t>400100400</t>
        </is>
      </c>
      <c r="I70" t="inlineStr">
        <is>
          <t>Documentos de planeación elaborados</t>
        </is>
      </c>
      <c r="J70" t="inlineStr">
        <is>
          <t>2024252000037</t>
        </is>
      </c>
      <c r="K70" t="inlineStr">
        <is>
          <t>Si</t>
        </is>
      </c>
      <c r="L70" t="inlineStr">
        <is>
          <t>Número</t>
        </is>
      </c>
      <c r="M70">
        <v>1</v>
      </c>
      <c r="N70">
        <v>0.4</v>
      </c>
      <c r="O70">
        <v>0.8</v>
      </c>
      <c r="P70">
        <v>0.9</v>
      </c>
      <c r="Q70">
        <v>1</v>
      </c>
      <c r="R70">
        <v>0.25</v>
      </c>
      <c r="S70" s="103">
        <v>0.625</v>
      </c>
      <c r="T70" t="inlineStr">
        <is>
          <t>Lo ejecutado está por debajo de lo programado en la vigencia</t>
        </is>
      </c>
      <c r="U70">
        <v>0.1</v>
      </c>
      <c r="V70" s="104">
        <v>0.125</v>
      </c>
      <c r="W70" t="inlineStr">
        <is>
          <t>Lo ejecutado está por debajo de lo programado en la vigencia</t>
        </is>
      </c>
    </row>
    <row r="71">
      <c r="A71" t="inlineStr">
        <is>
          <t>IP-94</t>
        </is>
      </c>
      <c r="B71" t="inlineStr">
        <is>
          <t>40</t>
        </is>
      </c>
      <c r="C71" t="inlineStr">
        <is>
          <t>Vivienda, ciudad y territorio</t>
        </is>
      </c>
      <c r="D71" t="inlineStr">
        <is>
          <t>4001</t>
        </is>
      </c>
      <c r="E71" t="inlineStr">
        <is>
          <t>Acceso a soluciones de vivienda</t>
        </is>
      </c>
      <c r="F71" t="inlineStr">
        <is>
          <t>4001032</t>
        </is>
      </c>
      <c r="G71" t="inlineStr">
        <is>
          <t>Servicio de apoyo financiero para mejoramiento de vivienda</t>
        </is>
      </c>
      <c r="H71" t="inlineStr">
        <is>
          <t>400103200</t>
        </is>
      </c>
      <c r="I71" t="inlineStr">
        <is>
          <t>Hogares beneficiados con mejoramiento de una vivienda  </t>
        </is>
      </c>
      <c r="J71" t="inlineStr">
        <is>
          <t>2024252000037</t>
        </is>
      </c>
      <c r="K71" t="inlineStr">
        <is>
          <t>Si</t>
        </is>
      </c>
      <c r="L71" t="inlineStr">
        <is>
          <t>Número</t>
        </is>
      </c>
      <c r="M71">
        <v>1</v>
      </c>
      <c r="N71">
        <v>1</v>
      </c>
      <c r="O71">
        <v>1</v>
      </c>
      <c r="P71">
        <v>1</v>
      </c>
      <c r="Q71">
        <v>1</v>
      </c>
      <c r="R71" t="inlineStr">
        <is>
          <t xml:space="preserve"> </t>
        </is>
      </c>
      <c r="S71" s="103" t="inlineStr">
        <is>
          <t xml:space="preserve"> </t>
        </is>
      </c>
      <c r="T71" t="inlineStr">
        <is>
          <t>No se encontró ejecución en PIIP</t>
        </is>
      </c>
      <c r="U71" t="inlineStr">
        <is>
          <t xml:space="preserve"> </t>
        </is>
      </c>
      <c r="V71" s="104" t="inlineStr">
        <is>
          <t xml:space="preserve"> </t>
        </is>
      </c>
      <c r="W71" t="inlineStr">
        <is>
          <t>No se encontró ejecución en PIIP</t>
        </is>
      </c>
    </row>
    <row r="72">
      <c r="A72" t="inlineStr">
        <is>
          <t>IP-95</t>
        </is>
      </c>
      <c r="B72" t="inlineStr">
        <is>
          <t>40</t>
        </is>
      </c>
      <c r="C72" t="inlineStr">
        <is>
          <t>Vivienda, ciudad y territorio</t>
        </is>
      </c>
      <c r="D72" t="inlineStr">
        <is>
          <t>4003</t>
        </is>
      </c>
      <c r="E72" t="inlineStr">
        <is>
          <t>Acceso de la población a los servicios de agua potable y saneamiento básico</t>
        </is>
      </c>
      <c r="F72" t="inlineStr">
        <is>
          <t>4003022</t>
        </is>
      </c>
      <c r="G72" t="inlineStr">
        <is>
          <t>Servicios de implementación del Plan de Gestión Integral de Residuos Solidos PGIRS</t>
        </is>
      </c>
      <c r="H72" t="inlineStr">
        <is>
          <t>400302200</t>
        </is>
      </c>
      <c r="I72" t="inlineStr">
        <is>
          <t>Plan de Gestión Integral de Residuos Solidos implementado</t>
        </is>
      </c>
      <c r="J72" t="inlineStr">
        <is>
          <t>2024252000039</t>
        </is>
      </c>
      <c r="K72" t="inlineStr">
        <is>
          <t>Si</t>
        </is>
      </c>
      <c r="L72" t="inlineStr">
        <is>
          <t>Número</t>
        </is>
      </c>
      <c r="M72">
        <v>1</v>
      </c>
      <c r="N72">
        <v>1</v>
      </c>
      <c r="O72">
        <v>1</v>
      </c>
      <c r="P72">
        <v>1</v>
      </c>
      <c r="Q72">
        <v>1</v>
      </c>
      <c r="R72" t="inlineStr">
        <is>
          <t xml:space="preserve"> </t>
        </is>
      </c>
      <c r="S72" s="103" t="inlineStr">
        <is>
          <t xml:space="preserve"> </t>
        </is>
      </c>
      <c r="T72" t="inlineStr">
        <is>
          <t>No se encontró ejecución en PIIP</t>
        </is>
      </c>
      <c r="U72" t="inlineStr">
        <is>
          <t xml:space="preserve"> </t>
        </is>
      </c>
      <c r="V72" s="104" t="inlineStr">
        <is>
          <t xml:space="preserve"> </t>
        </is>
      </c>
      <c r="W72" t="inlineStr">
        <is>
          <t>No se encontró ejecución en PIIP</t>
        </is>
      </c>
    </row>
    <row r="73">
      <c r="A73" t="inlineStr">
        <is>
          <t>IP-96</t>
        </is>
      </c>
      <c r="B73" t="inlineStr">
        <is>
          <t>40</t>
        </is>
      </c>
      <c r="C73" t="inlineStr">
        <is>
          <t>Vivienda, ciudad y territorio</t>
        </is>
      </c>
      <c r="D73" t="inlineStr">
        <is>
          <t>4003</t>
        </is>
      </c>
      <c r="E73" t="inlineStr">
        <is>
          <t>Acceso de la población a los servicios de agua potable y saneamiento básico</t>
        </is>
      </c>
      <c r="F73" t="inlineStr">
        <is>
          <t>4003008</t>
        </is>
      </c>
      <c r="G73" t="inlineStr">
        <is>
          <t>Servicio de apoyo financiero a los planes, programas y proyectos de Agua Potable y Saneamiento Básico</t>
        </is>
      </c>
      <c r="H73" t="inlineStr">
        <is>
          <t>400300800</t>
        </is>
      </c>
      <c r="I73" t="inlineStr">
        <is>
          <t>Proyectos de acueducto, alcantarillado y aseo apoyados financieramente</t>
        </is>
      </c>
      <c r="J73" t="inlineStr">
        <is>
          <t>2024252000040</t>
        </is>
      </c>
      <c r="K73" t="inlineStr">
        <is>
          <t>Si</t>
        </is>
      </c>
      <c r="L73" t="inlineStr">
        <is>
          <t>Número</t>
        </is>
      </c>
      <c r="M73">
        <v>1</v>
      </c>
      <c r="N73">
        <v>0</v>
      </c>
      <c r="O73">
        <v>1</v>
      </c>
      <c r="P73">
        <v>1</v>
      </c>
      <c r="Q73">
        <v>1</v>
      </c>
      <c r="R73" t="inlineStr">
        <is>
          <t xml:space="preserve"> </t>
        </is>
      </c>
      <c r="S73" s="103" t="inlineStr">
        <is>
          <t xml:space="preserve"> </t>
        </is>
      </c>
      <c r="T73" t="inlineStr">
        <is>
          <t>No se encontró ejecución en PIIP</t>
        </is>
      </c>
      <c r="U73" t="inlineStr">
        <is>
          <t xml:space="preserve"> </t>
        </is>
      </c>
      <c r="V73" s="104" t="inlineStr">
        <is>
          <t xml:space="preserve"> </t>
        </is>
      </c>
      <c r="W73" t="inlineStr">
        <is>
          <t>No se encontró ejecución en PIIP</t>
        </is>
      </c>
    </row>
    <row r="74">
      <c r="A74" t="inlineStr">
        <is>
          <t>IP-97</t>
        </is>
      </c>
      <c r="B74" t="inlineStr">
        <is>
          <t>40</t>
        </is>
      </c>
      <c r="C74" t="inlineStr">
        <is>
          <t>Vivienda, ciudad y territorio</t>
        </is>
      </c>
      <c r="D74" t="inlineStr">
        <is>
          <t>4003</t>
        </is>
      </c>
      <c r="E74" t="inlineStr">
        <is>
          <t>Acceso de la población a los servicios de agua potable y saneamiento básico</t>
        </is>
      </c>
      <c r="F74" t="inlineStr">
        <is>
          <t>4003019</t>
        </is>
      </c>
      <c r="G74" t="inlineStr">
        <is>
          <t>Alcantarillados ampliados</t>
        </is>
      </c>
      <c r="H74" t="inlineStr">
        <is>
          <t>400301901</t>
        </is>
      </c>
      <c r="I74" t="inlineStr">
        <is>
          <t xml:space="preserve">Personas beneficiadas con proyectos que mejoran provisión, calidad y/o continuidad de los servicios de alcantarillado </t>
        </is>
      </c>
      <c r="J74" t="inlineStr">
        <is>
          <t>2024252000040</t>
        </is>
      </c>
      <c r="K74" t="inlineStr">
        <is>
          <t>Si</t>
        </is>
      </c>
      <c r="L74" t="inlineStr">
        <is>
          <t>Número</t>
        </is>
      </c>
      <c r="M74">
        <v>1</v>
      </c>
      <c r="N74">
        <v>1</v>
      </c>
      <c r="O74">
        <v>1</v>
      </c>
      <c r="P74">
        <v>1</v>
      </c>
      <c r="Q74">
        <v>1</v>
      </c>
      <c r="R74" t="inlineStr">
        <is>
          <t xml:space="preserve"> </t>
        </is>
      </c>
      <c r="S74" s="103" t="inlineStr">
        <is>
          <t xml:space="preserve"> </t>
        </is>
      </c>
      <c r="T74" t="inlineStr">
        <is>
          <t>No se encontró ejecución en PIIP</t>
        </is>
      </c>
      <c r="U74" t="inlineStr">
        <is>
          <t xml:space="preserve"> </t>
        </is>
      </c>
      <c r="V74" s="104" t="inlineStr">
        <is>
          <t xml:space="preserve"> </t>
        </is>
      </c>
      <c r="W74" t="inlineStr">
        <is>
          <t>No se encontró ejecución en PIIP</t>
        </is>
      </c>
    </row>
    <row r="75">
      <c r="A75" t="inlineStr">
        <is>
          <t>IP-98</t>
        </is>
      </c>
      <c r="B75" t="inlineStr">
        <is>
          <t>40</t>
        </is>
      </c>
      <c r="C75" t="inlineStr">
        <is>
          <t>Vivienda, ciudad y territorio</t>
        </is>
      </c>
      <c r="D75" t="inlineStr">
        <is>
          <t>4003</t>
        </is>
      </c>
      <c r="E75" t="inlineStr">
        <is>
          <t>Acceso de la población a los servicios de agua potable y saneamiento básico</t>
        </is>
      </c>
      <c r="F75" t="inlineStr">
        <is>
          <t>4003006</t>
        </is>
      </c>
      <c r="G75" t="inlineStr">
        <is>
          <t>Documentos de planeación</t>
        </is>
      </c>
      <c r="H75" t="inlineStr">
        <is>
          <t>400300600</t>
        </is>
      </c>
      <c r="I75" t="inlineStr">
        <is>
          <t>Documentos de planeación elaborados</t>
        </is>
      </c>
      <c r="J75" t="inlineStr">
        <is>
          <t>2024252000040</t>
        </is>
      </c>
      <c r="K75" t="inlineStr">
        <is>
          <t>Si</t>
        </is>
      </c>
      <c r="L75" t="inlineStr">
        <is>
          <t>Número</t>
        </is>
      </c>
      <c r="M75">
        <v>1</v>
      </c>
      <c r="N75">
        <v>0</v>
      </c>
      <c r="O75">
        <v>1</v>
      </c>
      <c r="P75">
        <v>0</v>
      </c>
      <c r="Q75">
        <v>0</v>
      </c>
      <c r="R75" t="inlineStr">
        <is>
          <t xml:space="preserve"> </t>
        </is>
      </c>
      <c r="S75" s="103" t="inlineStr">
        <is>
          <t xml:space="preserve"> </t>
        </is>
      </c>
      <c r="T75" t="inlineStr">
        <is>
          <t>No se encontró ejecución en PIIP</t>
        </is>
      </c>
      <c r="U75" t="inlineStr">
        <is>
          <t xml:space="preserve"> </t>
        </is>
      </c>
      <c r="V75" s="104" t="inlineStr">
        <is>
          <t xml:space="preserve"> </t>
        </is>
      </c>
      <c r="W75" t="inlineStr">
        <is>
          <t>No se encontró ejecución en PIIP</t>
        </is>
      </c>
    </row>
    <row r="76">
      <c r="A76" t="inlineStr">
        <is>
          <t>IP-99</t>
        </is>
      </c>
      <c r="B76" t="inlineStr">
        <is>
          <t>21</t>
        </is>
      </c>
      <c r="C76" t="inlineStr">
        <is>
          <t>Minas y Energía</t>
        </is>
      </c>
      <c r="D76" t="inlineStr">
        <is>
          <t>2102</t>
        </is>
      </c>
      <c r="E76" t="inlineStr">
        <is>
          <t>Consolidación productiva del sector de energía eléctrica</t>
        </is>
      </c>
      <c r="F76" t="inlineStr">
        <is>
          <t>2102069</t>
        </is>
      </c>
      <c r="G76" t="inlineStr">
        <is>
          <t>Servicio de alumbrado público</t>
        </is>
      </c>
      <c r="H76" t="inlineStr">
        <is>
          <t>210206900</t>
        </is>
      </c>
      <c r="I76" t="inlineStr">
        <is>
          <t>Lámparas de alumbrado público en funcionamiento</t>
        </is>
      </c>
      <c r="J76" t="inlineStr">
        <is>
          <t>2024252000042</t>
        </is>
      </c>
      <c r="K76" t="inlineStr">
        <is>
          <t>Si</t>
        </is>
      </c>
      <c r="L76" t="inlineStr">
        <is>
          <t>Número</t>
        </is>
      </c>
      <c r="M76">
        <v>1</v>
      </c>
      <c r="N76">
        <v>1</v>
      </c>
      <c r="O76">
        <v>1</v>
      </c>
      <c r="P76">
        <v>1</v>
      </c>
      <c r="Q76">
        <v>1</v>
      </c>
      <c r="R76" t="inlineStr">
        <is>
          <t xml:space="preserve"> </t>
        </is>
      </c>
      <c r="S76" s="103" t="inlineStr">
        <is>
          <t xml:space="preserve"> </t>
        </is>
      </c>
      <c r="T76" t="inlineStr">
        <is>
          <t>No se encontró ejecución en PIIP</t>
        </is>
      </c>
      <c r="U76" t="inlineStr">
        <is>
          <t xml:space="preserve"> </t>
        </is>
      </c>
      <c r="V76" s="104" t="inlineStr">
        <is>
          <t xml:space="preserve"> </t>
        </is>
      </c>
      <c r="W76" t="inlineStr">
        <is>
          <t>No se encontró ejecución en PIIP</t>
        </is>
      </c>
    </row>
    <row r="77">
      <c r="A77" t="inlineStr">
        <is>
          <t>IP-100</t>
        </is>
      </c>
      <c r="B77" t="inlineStr">
        <is>
          <t>45</t>
        </is>
      </c>
      <c r="C77" t="inlineStr">
        <is>
          <t>Gobierno Territorial</t>
        </is>
      </c>
      <c r="D77" t="inlineStr">
        <is>
          <t>4599</t>
        </is>
      </c>
      <c r="E77" t="inlineStr">
        <is>
          <t>Fortalecimiento a la gestión y dirección de la administración pública territorial</t>
        </is>
      </c>
      <c r="F77" t="inlineStr">
        <is>
          <t>4599023</t>
        </is>
      </c>
      <c r="G77" t="inlineStr">
        <is>
          <t>Servicio de Implementación Sistemas de Gestión</t>
        </is>
      </c>
      <c r="H77" t="inlineStr">
        <is>
          <t>459902300</t>
        </is>
      </c>
      <c r="I77" t="inlineStr">
        <is>
          <t>Sistema de Gestión implementado</t>
        </is>
      </c>
      <c r="J77" t="inlineStr">
        <is>
          <t>2024252000050</t>
        </is>
      </c>
      <c r="K77" t="inlineStr">
        <is>
          <t>Si</t>
        </is>
      </c>
      <c r="L77" t="inlineStr">
        <is>
          <t>Número</t>
        </is>
      </c>
      <c r="M77">
        <v>1</v>
      </c>
      <c r="N77">
        <v>1</v>
      </c>
      <c r="O77">
        <v>1</v>
      </c>
      <c r="P77">
        <v>1</v>
      </c>
      <c r="Q77">
        <v>1</v>
      </c>
      <c r="R77" t="inlineStr">
        <is>
          <t xml:space="preserve"> </t>
        </is>
      </c>
      <c r="S77" s="103" t="inlineStr">
        <is>
          <t xml:space="preserve"> </t>
        </is>
      </c>
      <c r="T77" t="inlineStr">
        <is>
          <t>No se encontró ejecución en PIIP</t>
        </is>
      </c>
      <c r="U77" t="inlineStr">
        <is>
          <t xml:space="preserve"> </t>
        </is>
      </c>
      <c r="V77" s="104" t="inlineStr">
        <is>
          <t xml:space="preserve"> </t>
        </is>
      </c>
      <c r="W77" t="inlineStr">
        <is>
          <t>No se encontró ejecución en PIIP</t>
        </is>
      </c>
    </row>
    <row r="78">
      <c r="A78" t="inlineStr">
        <is>
          <t>IP-101</t>
        </is>
      </c>
      <c r="B78" t="inlineStr">
        <is>
          <t>45</t>
        </is>
      </c>
      <c r="C78" t="inlineStr">
        <is>
          <t>Gobierno Territorial</t>
        </is>
      </c>
      <c r="D78" t="inlineStr">
        <is>
          <t>4599</t>
        </is>
      </c>
      <c r="E78" t="inlineStr">
        <is>
          <t>Fortalecimiento a la gestión y dirección de la administración pública territorial</t>
        </is>
      </c>
      <c r="F78" t="inlineStr">
        <is>
          <t>4599019</t>
        </is>
      </c>
      <c r="G78" t="inlineStr">
        <is>
          <t>Documentos de planeación</t>
        </is>
      </c>
      <c r="H78" t="inlineStr">
        <is>
          <t>459901901</t>
        </is>
      </c>
      <c r="I78" t="inlineStr">
        <is>
          <t>Planes estratégicos elaborados</t>
        </is>
      </c>
      <c r="J78" t="inlineStr">
        <is>
          <t>2024252000051</t>
        </is>
      </c>
      <c r="K78" t="inlineStr">
        <is>
          <t>Si</t>
        </is>
      </c>
      <c r="L78" t="inlineStr">
        <is>
          <t>Número</t>
        </is>
      </c>
      <c r="M78">
        <v>5</v>
      </c>
      <c r="N78">
        <v>0</v>
      </c>
      <c r="O78">
        <v>5</v>
      </c>
      <c r="P78">
        <v>5</v>
      </c>
      <c r="Q78">
        <v>5</v>
      </c>
      <c r="R78" t="inlineStr">
        <is>
          <t xml:space="preserve"> </t>
        </is>
      </c>
      <c r="S78" s="103" t="inlineStr">
        <is>
          <t xml:space="preserve"> </t>
        </is>
      </c>
      <c r="T78" t="inlineStr">
        <is>
          <t>No se encontró ejecución en PIIP</t>
        </is>
      </c>
      <c r="U78" t="inlineStr">
        <is>
          <t xml:space="preserve"> </t>
        </is>
      </c>
      <c r="V78" s="104" t="inlineStr">
        <is>
          <t xml:space="preserve"> </t>
        </is>
      </c>
      <c r="W78" t="inlineStr">
        <is>
          <t>No se encontró ejecución en PIIP</t>
        </is>
      </c>
    </row>
    <row r="79">
      <c r="A79" t="inlineStr">
        <is>
          <t>IP-102</t>
        </is>
      </c>
      <c r="B79" t="inlineStr">
        <is>
          <t>45</t>
        </is>
      </c>
      <c r="C79" t="inlineStr">
        <is>
          <t>Gobierno Territorial</t>
        </is>
      </c>
      <c r="D79" t="inlineStr">
        <is>
          <t>4599</t>
        </is>
      </c>
      <c r="E79" t="inlineStr">
        <is>
          <t>Fortalecimiento a la gestión y dirección de la administración pública territorial</t>
        </is>
      </c>
      <c r="F79" t="inlineStr">
        <is>
          <t>4599021</t>
        </is>
      </c>
      <c r="G79" t="inlineStr">
        <is>
          <t>Documentos normativos</t>
        </is>
      </c>
      <c r="H79" t="inlineStr">
        <is>
          <t>459902100</t>
        </is>
      </c>
      <c r="I79" t="inlineStr">
        <is>
          <t>Documentos normativos realizados</t>
        </is>
      </c>
      <c r="J79" t="inlineStr">
        <is>
          <t>2024252000052</t>
        </is>
      </c>
      <c r="K79" t="inlineStr">
        <is>
          <t>Si</t>
        </is>
      </c>
      <c r="L79" t="inlineStr">
        <is>
          <t>Número</t>
        </is>
      </c>
      <c r="M79">
        <v>1</v>
      </c>
      <c r="N79">
        <v>1</v>
      </c>
      <c r="O79">
        <v>1</v>
      </c>
      <c r="P79">
        <v>1</v>
      </c>
      <c r="Q79">
        <v>1</v>
      </c>
      <c r="R79" t="inlineStr">
        <is>
          <t xml:space="preserve"> </t>
        </is>
      </c>
      <c r="S79" s="103" t="inlineStr">
        <is>
          <t xml:space="preserve"> </t>
        </is>
      </c>
      <c r="T79" t="inlineStr">
        <is>
          <t>No se encontró ejecución en PIIP</t>
        </is>
      </c>
      <c r="U79" t="inlineStr">
        <is>
          <t xml:space="preserve"> </t>
        </is>
      </c>
      <c r="V79" s="104" t="inlineStr">
        <is>
          <t xml:space="preserve"> </t>
        </is>
      </c>
      <c r="W79" t="inlineStr">
        <is>
          <t>No se encontró ejecución en PIIP</t>
        </is>
      </c>
    </row>
    <row r="80">
      <c r="A80" t="inlineStr">
        <is>
          <t>IP-103</t>
        </is>
      </c>
      <c r="B80" t="inlineStr">
        <is>
          <t>45</t>
        </is>
      </c>
      <c r="C80" t="inlineStr">
        <is>
          <t>Gobierno Territorial</t>
        </is>
      </c>
      <c r="D80" t="inlineStr">
        <is>
          <t>4599</t>
        </is>
      </c>
      <c r="E80" t="inlineStr">
        <is>
          <t>Fortalecimiento a la gestión y dirección de la administración pública territorial</t>
        </is>
      </c>
      <c r="F80" t="inlineStr">
        <is>
          <t>4599038</t>
        </is>
      </c>
      <c r="G80" t="inlineStr">
        <is>
          <t>Servicio de apoyo financiero para el fortalecimiento del talento humano</t>
        </is>
      </c>
      <c r="H80" t="inlineStr">
        <is>
          <t>459903800</t>
        </is>
      </c>
      <c r="I80" t="inlineStr">
        <is>
          <t>Funcionarios apoyados</t>
        </is>
      </c>
      <c r="J80" t="inlineStr">
        <is>
          <t>2024252000053</t>
        </is>
      </c>
      <c r="K80" t="inlineStr">
        <is>
          <t>Si</t>
        </is>
      </c>
      <c r="L80" t="inlineStr">
        <is>
          <t>Número</t>
        </is>
      </c>
      <c r="M80">
        <v>1</v>
      </c>
      <c r="N80">
        <v>1</v>
      </c>
      <c r="O80">
        <v>1</v>
      </c>
      <c r="P80">
        <v>1</v>
      </c>
      <c r="Q80">
        <v>1</v>
      </c>
      <c r="R80" t="inlineStr">
        <is>
          <t xml:space="preserve"> </t>
        </is>
      </c>
      <c r="S80" s="103" t="inlineStr">
        <is>
          <t xml:space="preserve"> </t>
        </is>
      </c>
      <c r="T80" t="inlineStr">
        <is>
          <t>No se encontró ejecución en PIIP</t>
        </is>
      </c>
      <c r="U80" t="inlineStr">
        <is>
          <t xml:space="preserve"> </t>
        </is>
      </c>
      <c r="V80" s="104" t="inlineStr">
        <is>
          <t xml:space="preserve"> </t>
        </is>
      </c>
      <c r="W80" t="inlineStr">
        <is>
          <t>No se encontró ejecución en PIIP</t>
        </is>
      </c>
    </row>
    <row r="81">
      <c r="A81" t="inlineStr">
        <is>
          <t>IP-104</t>
        </is>
      </c>
      <c r="B81" t="inlineStr">
        <is>
          <t>45</t>
        </is>
      </c>
      <c r="C81" t="inlineStr">
        <is>
          <t>Gobierno Territorial</t>
        </is>
      </c>
      <c r="D81" t="inlineStr">
        <is>
          <t>4599</t>
        </is>
      </c>
      <c r="E81" t="inlineStr">
        <is>
          <t>Fortalecimiento a la gestión y dirección de la administración pública territorial</t>
        </is>
      </c>
      <c r="F81" t="inlineStr">
        <is>
          <t>4599025</t>
        </is>
      </c>
      <c r="G81" t="inlineStr">
        <is>
          <t>Servicios de información implementados</t>
        </is>
      </c>
      <c r="H81" t="inlineStr">
        <is>
          <t>459902500</t>
        </is>
      </c>
      <c r="I81" t="inlineStr">
        <is>
          <t>Sistemas de información implementados</t>
        </is>
      </c>
      <c r="J81" t="inlineStr">
        <is>
          <t>2024252000053</t>
        </is>
      </c>
      <c r="K81" t="inlineStr">
        <is>
          <t>Si</t>
        </is>
      </c>
      <c r="L81" t="inlineStr">
        <is>
          <t>Número</t>
        </is>
      </c>
      <c r="M81">
        <v>1</v>
      </c>
      <c r="N81">
        <v>1</v>
      </c>
      <c r="O81">
        <v>1</v>
      </c>
      <c r="P81">
        <v>1</v>
      </c>
      <c r="Q81">
        <v>1</v>
      </c>
      <c r="R81" t="inlineStr">
        <is>
          <t xml:space="preserve"> </t>
        </is>
      </c>
      <c r="S81" s="103" t="inlineStr">
        <is>
          <t xml:space="preserve"> </t>
        </is>
      </c>
      <c r="T81" t="inlineStr">
        <is>
          <t>No se encontró ejecución en PIIP</t>
        </is>
      </c>
      <c r="U81" t="inlineStr">
        <is>
          <t xml:space="preserve"> </t>
        </is>
      </c>
      <c r="V81" s="104" t="inlineStr">
        <is>
          <t xml:space="preserve"> </t>
        </is>
      </c>
      <c r="W81" t="inlineStr">
        <is>
          <t>No se encontró ejecución en PIIP</t>
        </is>
      </c>
    </row>
    <row r="82">
      <c r="A82" t="inlineStr">
        <is>
          <t>IP-105</t>
        </is>
      </c>
      <c r="B82" t="inlineStr">
        <is>
          <t>45</t>
        </is>
      </c>
      <c r="C82" t="inlineStr">
        <is>
          <t>Gobierno Territorial</t>
        </is>
      </c>
      <c r="D82" t="inlineStr">
        <is>
          <t>4599</t>
        </is>
      </c>
      <c r="E82" t="inlineStr">
        <is>
          <t>Fortalecimiento a la gestión y dirección de la administración pública territorial</t>
        </is>
      </c>
      <c r="F82" t="inlineStr">
        <is>
          <t>4599021</t>
        </is>
      </c>
      <c r="G82" t="inlineStr">
        <is>
          <t>Documentos normativos</t>
        </is>
      </c>
      <c r="H82" t="inlineStr">
        <is>
          <t>459902100</t>
        </is>
      </c>
      <c r="I82" t="inlineStr">
        <is>
          <t>Documentos normativos realizados</t>
        </is>
      </c>
      <c r="J82" t="inlineStr">
        <is>
          <t>2024252000053</t>
        </is>
      </c>
      <c r="K82" t="inlineStr">
        <is>
          <t>Si</t>
        </is>
      </c>
      <c r="L82" t="inlineStr">
        <is>
          <t>Número</t>
        </is>
      </c>
      <c r="M82">
        <v>1</v>
      </c>
      <c r="N82">
        <v>0</v>
      </c>
      <c r="O82">
        <v>1</v>
      </c>
      <c r="P82">
        <v>1</v>
      </c>
      <c r="Q82">
        <v>1</v>
      </c>
      <c r="R82" t="inlineStr">
        <is>
          <t xml:space="preserve"> </t>
        </is>
      </c>
      <c r="S82" s="103" t="inlineStr">
        <is>
          <t xml:space="preserve"> </t>
        </is>
      </c>
      <c r="T82" t="inlineStr">
        <is>
          <t>No se encontró ejecución en PIIP</t>
        </is>
      </c>
      <c r="U82" t="inlineStr">
        <is>
          <t xml:space="preserve"> </t>
        </is>
      </c>
      <c r="V82" s="104" t="inlineStr">
        <is>
          <t xml:space="preserve"> </t>
        </is>
      </c>
      <c r="W82" t="inlineStr">
        <is>
          <t>No se encontró ejecución en PIIP</t>
        </is>
      </c>
    </row>
    <row r="83">
      <c r="A83" t="inlineStr">
        <is>
          <t>IP-106</t>
        </is>
      </c>
      <c r="B83" t="inlineStr">
        <is>
          <t>45</t>
        </is>
      </c>
      <c r="C83" t="inlineStr">
        <is>
          <t>Gobierno Territorial</t>
        </is>
      </c>
      <c r="D83" t="inlineStr">
        <is>
          <t>4599</t>
        </is>
      </c>
      <c r="E83" t="inlineStr">
        <is>
          <t>Fortalecimiento a la gestión y dirección de la administración pública territorial</t>
        </is>
      </c>
      <c r="F83" t="inlineStr">
        <is>
          <t>4599031</t>
        </is>
      </c>
      <c r="G83" t="inlineStr">
        <is>
          <t>Servicio de asistencia técnica</t>
        </is>
      </c>
      <c r="H83" t="inlineStr">
        <is>
          <t>459903100</t>
        </is>
      </c>
      <c r="I83" t="inlineStr">
        <is>
          <t>Entidades, organismos y dependencias asistidos técnicamente</t>
        </is>
      </c>
      <c r="J83" t="inlineStr">
        <is>
          <t>2024252000056</t>
        </is>
      </c>
      <c r="K83" t="inlineStr">
        <is>
          <t>Si</t>
        </is>
      </c>
      <c r="L83" t="inlineStr">
        <is>
          <t>Número</t>
        </is>
      </c>
      <c r="M83">
        <v>1</v>
      </c>
      <c r="N83">
        <v>0</v>
      </c>
      <c r="O83">
        <v>1</v>
      </c>
      <c r="P83">
        <v>1</v>
      </c>
      <c r="Q83">
        <v>1</v>
      </c>
      <c r="R83" t="inlineStr">
        <is>
          <t xml:space="preserve"> </t>
        </is>
      </c>
      <c r="S83" s="103" t="inlineStr">
        <is>
          <t xml:space="preserve"> </t>
        </is>
      </c>
      <c r="T83" t="inlineStr">
        <is>
          <t>No se encontró ejecución en PIIP</t>
        </is>
      </c>
      <c r="U83" t="inlineStr">
        <is>
          <t xml:space="preserve"> </t>
        </is>
      </c>
      <c r="V83" s="104" t="inlineStr">
        <is>
          <t xml:space="preserve"> </t>
        </is>
      </c>
      <c r="W83" t="inlineStr">
        <is>
          <t>No se encontró ejecución en PIIP</t>
        </is>
      </c>
    </row>
    <row r="84">
      <c r="A84" t="inlineStr">
        <is>
          <t>IP-107, IP-108, IP-112</t>
        </is>
      </c>
      <c r="B84" t="inlineStr">
        <is>
          <t>45</t>
        </is>
      </c>
      <c r="C84" t="inlineStr">
        <is>
          <t>Gobierno Territorial</t>
        </is>
      </c>
      <c r="D84" t="inlineStr">
        <is>
          <t>4599</t>
        </is>
      </c>
      <c r="E84" t="inlineStr">
        <is>
          <t>Fortalecimiento a la gestión y dirección de la administración pública territorial</t>
        </is>
      </c>
      <c r="F84" t="inlineStr">
        <is>
          <t>4599025</t>
        </is>
      </c>
      <c r="G84" t="inlineStr">
        <is>
          <t>Servicios de información implementados</t>
        </is>
      </c>
      <c r="H84" t="inlineStr">
        <is>
          <t>459902500</t>
        </is>
      </c>
      <c r="I84" t="inlineStr">
        <is>
          <t>Sistemas de información implementados</t>
        </is>
      </c>
      <c r="J84" t="inlineStr">
        <is>
          <t>2024252000054</t>
        </is>
      </c>
      <c r="K84" t="inlineStr">
        <is>
          <t>Si</t>
        </is>
      </c>
      <c r="L84" t="inlineStr">
        <is>
          <t>Número</t>
        </is>
      </c>
      <c r="M84">
        <v>3</v>
      </c>
      <c r="N84">
        <v>3</v>
      </c>
      <c r="O84">
        <v>3</v>
      </c>
      <c r="P84">
        <v>3</v>
      </c>
      <c r="Q84">
        <v>3</v>
      </c>
      <c r="R84">
        <v>0</v>
      </c>
      <c r="S84" s="103">
        <v>0</v>
      </c>
      <c r="T84" t="inlineStr">
        <is>
          <t>No se ejecutó en la vigencia</t>
        </is>
      </c>
      <c r="U84">
        <v>0.5</v>
      </c>
      <c r="V84" s="104">
        <v>0.166666666666667</v>
      </c>
      <c r="W84" t="inlineStr">
        <is>
          <t>Lo ejecutado está por debajo de lo programado en la vigencia</t>
        </is>
      </c>
    </row>
    <row r="85">
      <c r="A85" t="inlineStr">
        <is>
          <t>IP-109</t>
        </is>
      </c>
      <c r="B85" t="inlineStr">
        <is>
          <t>45</t>
        </is>
      </c>
      <c r="C85" t="inlineStr">
        <is>
          <t>Gobierno Territorial</t>
        </is>
      </c>
      <c r="D85" t="inlineStr">
        <is>
          <t>4599</t>
        </is>
      </c>
      <c r="E85" t="inlineStr">
        <is>
          <t>Fortalecimiento a la gestión y dirección de la administración pública territorial</t>
        </is>
      </c>
      <c r="F85" t="inlineStr">
        <is>
          <t>4599023</t>
        </is>
      </c>
      <c r="G85" t="inlineStr">
        <is>
          <t>Servicio de Implementación Sistemas de Gestión</t>
        </is>
      </c>
      <c r="H85" t="inlineStr">
        <is>
          <t>459902304</t>
        </is>
      </c>
      <c r="I85" t="inlineStr">
        <is>
          <t>Herramientas implementadas</t>
        </is>
      </c>
      <c r="J85" t="inlineStr">
        <is>
          <t>2024252000052</t>
        </is>
      </c>
      <c r="K85" t="inlineStr">
        <is>
          <t>Si</t>
        </is>
      </c>
      <c r="L85" t="inlineStr">
        <is>
          <t>Número</t>
        </is>
      </c>
      <c r="M85">
        <v>1</v>
      </c>
      <c r="N85">
        <v>0</v>
      </c>
      <c r="O85">
        <v>1</v>
      </c>
      <c r="P85">
        <v>1</v>
      </c>
      <c r="Q85">
        <v>1</v>
      </c>
      <c r="R85" t="inlineStr">
        <is>
          <t xml:space="preserve"> </t>
        </is>
      </c>
      <c r="S85" s="103" t="inlineStr">
        <is>
          <t xml:space="preserve"> </t>
        </is>
      </c>
      <c r="T85" t="inlineStr">
        <is>
          <t>No se encontró ejecución en PIIP</t>
        </is>
      </c>
      <c r="U85" t="inlineStr">
        <is>
          <t xml:space="preserve"> </t>
        </is>
      </c>
      <c r="V85" s="104" t="inlineStr">
        <is>
          <t xml:space="preserve"> </t>
        </is>
      </c>
      <c r="W85" t="inlineStr">
        <is>
          <t>No se encontró ejecución en PIIP</t>
        </is>
      </c>
    </row>
    <row r="86">
      <c r="A86" t="inlineStr">
        <is>
          <t>IP-110</t>
        </is>
      </c>
      <c r="B86" t="inlineStr">
        <is>
          <t>45</t>
        </is>
      </c>
      <c r="C86" t="inlineStr">
        <is>
          <t>Gobierno Territorial</t>
        </is>
      </c>
      <c r="D86" t="inlineStr">
        <is>
          <t>4599</t>
        </is>
      </c>
      <c r="E86" t="inlineStr">
        <is>
          <t>Fortalecimiento a la gestión y dirección de la administración pública territorial</t>
        </is>
      </c>
      <c r="F86" t="inlineStr">
        <is>
          <t>4599017</t>
        </is>
      </c>
      <c r="G86" t="inlineStr">
        <is>
          <t>Servicio de gestión documental</t>
        </is>
      </c>
      <c r="H86" t="inlineStr">
        <is>
          <t>459901715</t>
        </is>
      </c>
      <c r="I86" t="inlineStr">
        <is>
          <t>Procesos implementados</t>
        </is>
      </c>
      <c r="J86" t="inlineStr">
        <is>
          <t>2024252000050</t>
        </is>
      </c>
      <c r="K86" t="inlineStr">
        <is>
          <t>Si</t>
        </is>
      </c>
      <c r="L86" t="inlineStr">
        <is>
          <t>Número</t>
        </is>
      </c>
      <c r="M86">
        <v>1</v>
      </c>
      <c r="N86">
        <v>1</v>
      </c>
      <c r="O86">
        <v>1</v>
      </c>
      <c r="P86">
        <v>1</v>
      </c>
      <c r="Q86">
        <v>1</v>
      </c>
      <c r="R86" t="inlineStr">
        <is>
          <t xml:space="preserve"> </t>
        </is>
      </c>
      <c r="S86" s="103" t="inlineStr">
        <is>
          <t xml:space="preserve"> </t>
        </is>
      </c>
      <c r="T86" t="inlineStr">
        <is>
          <t>No se encontró ejecución en PIIP</t>
        </is>
      </c>
      <c r="U86" t="inlineStr">
        <is>
          <t xml:space="preserve"> </t>
        </is>
      </c>
      <c r="V86" s="104" t="inlineStr">
        <is>
          <t xml:space="preserve"> </t>
        </is>
      </c>
      <c r="W86" t="inlineStr">
        <is>
          <t>No se encontró ejecución en PIIP</t>
        </is>
      </c>
    </row>
    <row r="87">
      <c r="A87" t="inlineStr">
        <is>
          <t>IP-111</t>
        </is>
      </c>
      <c r="B87" t="inlineStr">
        <is>
          <t>45</t>
        </is>
      </c>
      <c r="C87" t="inlineStr">
        <is>
          <t>Gobierno Territorial</t>
        </is>
      </c>
      <c r="D87" t="inlineStr">
        <is>
          <t>4599</t>
        </is>
      </c>
      <c r="E87" t="inlineStr">
        <is>
          <t>Fortalecimiento a la gestión y dirección de la administración pública territorial</t>
        </is>
      </c>
      <c r="F87" t="inlineStr">
        <is>
          <t>4599001</t>
        </is>
      </c>
      <c r="G87" t="inlineStr">
        <is>
          <t>Documentos de evaluación</t>
        </is>
      </c>
      <c r="H87" t="inlineStr">
        <is>
          <t>459900100</t>
        </is>
      </c>
      <c r="I87" t="inlineStr">
        <is>
          <t>Documentos de evaluación elaborados</t>
        </is>
      </c>
      <c r="J87" t="inlineStr">
        <is>
          <t>2024252000050</t>
        </is>
      </c>
      <c r="K87" t="inlineStr">
        <is>
          <t>Si</t>
        </is>
      </c>
      <c r="L87" t="inlineStr">
        <is>
          <t>Número</t>
        </is>
      </c>
      <c r="M87">
        <v>1</v>
      </c>
      <c r="N87">
        <v>1</v>
      </c>
      <c r="O87">
        <v>1</v>
      </c>
      <c r="P87">
        <v>1</v>
      </c>
      <c r="Q87">
        <v>1</v>
      </c>
      <c r="R87" t="inlineStr">
        <is>
          <t xml:space="preserve"> </t>
        </is>
      </c>
      <c r="S87" s="103" t="inlineStr">
        <is>
          <t xml:space="preserve"> </t>
        </is>
      </c>
      <c r="T87" t="inlineStr">
        <is>
          <t>No se encontró ejecución en PIIP</t>
        </is>
      </c>
      <c r="U87" t="inlineStr">
        <is>
          <t xml:space="preserve"> </t>
        </is>
      </c>
      <c r="V87" s="104" t="inlineStr">
        <is>
          <t xml:space="preserve"> </t>
        </is>
      </c>
      <c r="W87" t="inlineStr">
        <is>
          <t>No se encontró ejecución en PIIP</t>
        </is>
      </c>
    </row>
    <row r="88">
      <c r="A88" t="inlineStr">
        <is>
          <t>IP-113</t>
        </is>
      </c>
      <c r="B88" t="inlineStr">
        <is>
          <t>45</t>
        </is>
      </c>
      <c r="C88" t="inlineStr">
        <is>
          <t>Gobierno Territorial</t>
        </is>
      </c>
      <c r="D88" t="inlineStr">
        <is>
          <t>4599</t>
        </is>
      </c>
      <c r="E88" t="inlineStr">
        <is>
          <t>Fortalecimiento a la gestión y dirección de la administración pública territorial</t>
        </is>
      </c>
      <c r="F88" t="inlineStr">
        <is>
          <t>4599017</t>
        </is>
      </c>
      <c r="G88" t="inlineStr">
        <is>
          <t>Servicio de gestión documental</t>
        </is>
      </c>
      <c r="H88" t="inlineStr">
        <is>
          <t>459901700</t>
        </is>
      </c>
      <c r="I88" t="inlineStr">
        <is>
          <t>Sistema de gestión documental implementado</t>
        </is>
      </c>
      <c r="J88" t="inlineStr">
        <is>
          <t>2024252000055</t>
        </is>
      </c>
      <c r="K88" t="inlineStr">
        <is>
          <t>Si</t>
        </is>
      </c>
      <c r="L88" t="inlineStr">
        <is>
          <t>Número</t>
        </is>
      </c>
      <c r="M88">
        <v>1</v>
      </c>
      <c r="N88">
        <v>1</v>
      </c>
      <c r="O88">
        <v>1</v>
      </c>
      <c r="P88">
        <v>1</v>
      </c>
      <c r="Q88">
        <v>1</v>
      </c>
      <c r="R88">
        <v>0.04</v>
      </c>
      <c r="S88" s="103">
        <v>0.04</v>
      </c>
      <c r="T88" t="inlineStr">
        <is>
          <t>Lo ejecutado está por debajo de lo programado en la vigencia</t>
        </is>
      </c>
      <c r="U88">
        <v>0.2</v>
      </c>
      <c r="V88" s="104">
        <v>0.2</v>
      </c>
      <c r="W88" t="inlineStr">
        <is>
          <t>Lo ejecutado está por debajo de lo programado en la vigencia</t>
        </is>
      </c>
    </row>
    <row r="89">
      <c r="A89" t="inlineStr">
        <is>
          <t>IP-114</t>
        </is>
      </c>
      <c r="B89" t="inlineStr">
        <is>
          <t>45</t>
        </is>
      </c>
      <c r="C89" t="inlineStr">
        <is>
          <t>Gobierno Territorial</t>
        </is>
      </c>
      <c r="D89" t="inlineStr">
        <is>
          <t>4599</t>
        </is>
      </c>
      <c r="E89" t="inlineStr">
        <is>
          <t>Fortalecimiento a la gestión y dirección de la administración pública territorial</t>
        </is>
      </c>
      <c r="F89" t="inlineStr">
        <is>
          <t>4599019</t>
        </is>
      </c>
      <c r="G89" t="inlineStr">
        <is>
          <t>Documentos de planeación</t>
        </is>
      </c>
      <c r="H89" t="inlineStr">
        <is>
          <t>459901901</t>
        </is>
      </c>
      <c r="I89" t="inlineStr">
        <is>
          <t>Planes estratégicos elaborados</t>
        </is>
      </c>
      <c r="J89" t="inlineStr">
        <is>
          <t>2024252000050</t>
        </is>
      </c>
      <c r="K89" t="inlineStr">
        <is>
          <t>Si</t>
        </is>
      </c>
      <c r="L89" t="inlineStr">
        <is>
          <t>Número</t>
        </is>
      </c>
      <c r="M89">
        <v>1</v>
      </c>
      <c r="N89">
        <v>1</v>
      </c>
      <c r="O89">
        <v>1</v>
      </c>
      <c r="P89">
        <v>1</v>
      </c>
      <c r="Q89">
        <v>1</v>
      </c>
      <c r="R89" t="inlineStr">
        <is>
          <t xml:space="preserve"> </t>
        </is>
      </c>
      <c r="S89" s="103" t="inlineStr">
        <is>
          <t xml:space="preserve"> </t>
        </is>
      </c>
      <c r="T89" t="inlineStr">
        <is>
          <t>No se encontró ejecución en PIIP</t>
        </is>
      </c>
      <c r="U89" t="inlineStr">
        <is>
          <t xml:space="preserve"> </t>
        </is>
      </c>
      <c r="V89" s="104" t="inlineStr">
        <is>
          <t xml:space="preserve"> </t>
        </is>
      </c>
      <c r="W89" t="inlineStr">
        <is>
          <t>No se encontró ejecución en PIIP</t>
        </is>
      </c>
    </row>
    <row r="90">
      <c r="A90" t="inlineStr">
        <is>
          <t>IP-115</t>
        </is>
      </c>
      <c r="B90" t="inlineStr">
        <is>
          <t>45</t>
        </is>
      </c>
      <c r="C90" t="inlineStr">
        <is>
          <t>Gobierno Territorial</t>
        </is>
      </c>
      <c r="D90" t="inlineStr">
        <is>
          <t>4599</t>
        </is>
      </c>
      <c r="E90" t="inlineStr">
        <is>
          <t>Fortalecimiento a la gestión y dirección de la administración pública territorial</t>
        </is>
      </c>
      <c r="F90" t="inlineStr">
        <is>
          <t>4599025</t>
        </is>
      </c>
      <c r="G90" t="inlineStr">
        <is>
          <t>Servicios de información implementados</t>
        </is>
      </c>
      <c r="H90" t="inlineStr">
        <is>
          <t>459902500</t>
        </is>
      </c>
      <c r="I90" t="inlineStr">
        <is>
          <t>Sistemas de información implementados</t>
        </is>
      </c>
      <c r="J90" t="inlineStr">
        <is>
          <t>2024252000050</t>
        </is>
      </c>
      <c r="K90" t="inlineStr">
        <is>
          <t>Si</t>
        </is>
      </c>
      <c r="L90" t="inlineStr">
        <is>
          <t>Número</t>
        </is>
      </c>
      <c r="M90">
        <v>1</v>
      </c>
      <c r="N90">
        <v>0.2</v>
      </c>
      <c r="O90">
        <v>0.4</v>
      </c>
      <c r="P90">
        <v>0.8</v>
      </c>
      <c r="Q90">
        <v>1</v>
      </c>
      <c r="R90" t="inlineStr">
        <is>
          <t xml:space="preserve"> </t>
        </is>
      </c>
      <c r="S90" s="103" t="inlineStr">
        <is>
          <t xml:space="preserve"> </t>
        </is>
      </c>
      <c r="T90" t="inlineStr">
        <is>
          <t>No se encontró ejecución en PIIP</t>
        </is>
      </c>
      <c r="U90" t="inlineStr">
        <is>
          <t xml:space="preserve"> </t>
        </is>
      </c>
      <c r="V90" s="104" t="inlineStr">
        <is>
          <t xml:space="preserve"> </t>
        </is>
      </c>
      <c r="W90" t="inlineStr">
        <is>
          <t>No se encontró ejecución en PIIP</t>
        </is>
      </c>
    </row>
    <row r="91">
      <c r="A91" t="inlineStr">
        <is>
          <t>IP-116</t>
        </is>
      </c>
      <c r="B91" t="inlineStr">
        <is>
          <t>45</t>
        </is>
      </c>
      <c r="C91" t="inlineStr">
        <is>
          <t>Gobierno Territorial</t>
        </is>
      </c>
      <c r="D91" t="inlineStr">
        <is>
          <t>4599</t>
        </is>
      </c>
      <c r="E91" t="inlineStr">
        <is>
          <t>Fortalecimiento a la gestión y dirección de la administración pública territorial</t>
        </is>
      </c>
      <c r="F91" t="inlineStr">
        <is>
          <t>4599031</t>
        </is>
      </c>
      <c r="G91" t="inlineStr">
        <is>
          <t>Servicio de asistencia técnica</t>
        </is>
      </c>
      <c r="H91" t="inlineStr">
        <is>
          <t>459903100</t>
        </is>
      </c>
      <c r="I91" t="inlineStr">
        <is>
          <t>Entidades, organismos y dependencias asistidos técnicamente</t>
        </is>
      </c>
      <c r="J91" t="inlineStr">
        <is>
          <t>2024252000050</t>
        </is>
      </c>
      <c r="K91" t="inlineStr">
        <is>
          <t>Si</t>
        </is>
      </c>
      <c r="L91" t="inlineStr">
        <is>
          <t>Número</t>
        </is>
      </c>
      <c r="M91">
        <v>1</v>
      </c>
      <c r="N91">
        <v>1</v>
      </c>
      <c r="O91">
        <v>1</v>
      </c>
      <c r="P91">
        <v>1</v>
      </c>
      <c r="Q91">
        <v>1</v>
      </c>
      <c r="R91" t="inlineStr">
        <is>
          <t xml:space="preserve"> </t>
        </is>
      </c>
      <c r="S91" s="103" t="inlineStr">
        <is>
          <t xml:space="preserve"> </t>
        </is>
      </c>
      <c r="T91" t="inlineStr">
        <is>
          <t>No se encontró ejecución en PIIP</t>
        </is>
      </c>
      <c r="U91" t="inlineStr">
        <is>
          <t xml:space="preserve"> </t>
        </is>
      </c>
      <c r="V91" s="104" t="inlineStr">
        <is>
          <t xml:space="preserve"> </t>
        </is>
      </c>
      <c r="W91" t="inlineStr">
        <is>
          <t>No se encontró ejecución en PIIP</t>
        </is>
      </c>
    </row>
    <row r="92">
      <c r="A92" t="inlineStr">
        <is>
          <t>IP-117</t>
        </is>
      </c>
      <c r="B92" t="inlineStr">
        <is>
          <t>23</t>
        </is>
      </c>
      <c r="C92" t="inlineStr">
        <is>
          <t>Tecnologías de la información y las comunicaciones</t>
        </is>
      </c>
      <c r="D92" t="inlineStr">
        <is>
          <t>2302</t>
        </is>
      </c>
      <c r="E92" t="inlineStr">
        <is>
          <t>Fomento del desarrollo de aplicaciones, software y contenidos para impulsar la apropiación de las Tecnologías de la Información y las Comunicaciones (TIC)</t>
        </is>
      </c>
      <c r="F92" t="inlineStr">
        <is>
          <t>2302074</t>
        </is>
      </c>
      <c r="G92" t="inlineStr">
        <is>
          <t>Servicio de producción y/o coproducción de contenidos convergentes</t>
        </is>
      </c>
      <c r="H92" t="inlineStr">
        <is>
          <t>230207400</t>
        </is>
      </c>
      <c r="I92" t="inlineStr">
        <is>
          <t>Contenidos convergentes producidos y coproducidos</t>
        </is>
      </c>
      <c r="J92" t="inlineStr">
        <is>
          <t>2024252000049</t>
        </is>
      </c>
      <c r="K92" t="inlineStr">
        <is>
          <t>Si</t>
        </is>
      </c>
      <c r="L92" t="inlineStr">
        <is>
          <t>Número</t>
        </is>
      </c>
      <c r="M92">
        <v>1</v>
      </c>
      <c r="N92">
        <v>1</v>
      </c>
      <c r="O92">
        <v>1</v>
      </c>
      <c r="P92">
        <v>1</v>
      </c>
      <c r="Q92">
        <v>1</v>
      </c>
      <c r="R92" t="inlineStr">
        <is>
          <t xml:space="preserve"> </t>
        </is>
      </c>
      <c r="S92" s="103" t="inlineStr">
        <is>
          <t xml:space="preserve"> </t>
        </is>
      </c>
      <c r="T92" t="inlineStr">
        <is>
          <t>No se encontró ejecución en PIIP</t>
        </is>
      </c>
      <c r="U92" t="inlineStr">
        <is>
          <t xml:space="preserve"> </t>
        </is>
      </c>
      <c r="V92" s="104" t="inlineStr">
        <is>
          <t xml:space="preserve"> </t>
        </is>
      </c>
      <c r="W92" t="inlineStr">
        <is>
          <t>No se encontró ejecución en PIIP</t>
        </is>
      </c>
    </row>
    <row r="93">
      <c r="S93" s="103"/>
      <c r="V93" s="104"/>
    </row>
  </sheetData>
  <mergeCells count="6">
    <mergeCell ref="U6:W6"/>
    <mergeCell ref="N6:Q6"/>
    <mergeCell ref="A2:M2"/>
    <mergeCell ref="A3:M3"/>
    <mergeCell ref="R6:T6"/>
    <mergeCell ref="A4:K4"/>
  </mergeCells>
  <conditionalFormatting sqref="S8:S1048576">
    <cfRule type="cellIs" dxfId="1" priority="1" operator="between">
      <formula>1.0000001</formula>
      <formula>999999999</formula>
    </cfRule>
  </conditionalFormatting>
  <conditionalFormatting sqref="S8:S1048576">
    <cfRule type="colorScale" priority="3">
      <colorScale>
        <cfvo type="num" val="0"/>
        <cfvo type="num" val="0.5"/>
        <cfvo type="num" val="1"/>
        <color rgb="FFFB9985"/>
        <color rgb="FFFCF797"/>
        <color rgb="FFADEC9E"/>
      </colorScale>
    </cfRule>
  </conditionalFormatting>
  <conditionalFormatting sqref="V8:V1048576">
    <cfRule type="cellIs" dxfId="0" priority="2" operator="between">
      <formula>1.00000001</formula>
      <formula>9999999999</formula>
    </cfRule>
  </conditionalFormatting>
  <conditionalFormatting sqref="V8:V1048576">
    <cfRule type="colorScale" priority="5">
      <colorScale>
        <cfvo type="num" val="0"/>
        <cfvo type="num" val="0.5"/>
        <cfvo type="num" val="1"/>
        <color rgb="FFFB9985"/>
        <color rgb="FFFCF797"/>
        <color rgb="FFADEC9E"/>
      </colorScale>
    </cfRule>
  </conditionalFormatting>
  <pageMargins left="0.7" right="0.7" top="0.75" bottom="0.75" header="0.3" footer="0.3"/>
  <pageSetup orientation="portrait" r:id="rId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Company/>
  <DocSecurity>0</DocSecurity>
  <HeadingPairs>
    <vt:vector size="2" baseType="variant">
      <vt:variant>
        <vt:lpstr>Hojas de cálculo</vt:lpstr>
      </vt:variant>
      <vt:variant>
        <vt:i4>3</vt:i4>
      </vt:variant>
    </vt:vector>
  </HeadingPairs>
  <HyperlinksChanged>false</HyperlinksChanged>
  <LinksUpToDate>false</LinksUpToDate>
  <ScaleCrop>false</ScaleCrop>
  <SharedDoc>false</SharedDoc>
  <TitlesOfParts>
    <vt:vector size="3" baseType="lpstr">
      <vt:lpstr>Resumen</vt:lpstr>
      <vt:lpstr>Detalle seguimiento financiero</vt:lpstr>
      <vt:lpstr>Detalle seguimiento físico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German Andres Gallegos Vargas</dc:creator>
  <cp:lastModifiedBy>German Andres Gallegos Vargas</cp:lastModifiedBy>
  <dcterms:created xsi:type="dcterms:W3CDTF">2025-07-07T13:41:15Z</dcterms:created>
  <dcterms:modified xsi:type="dcterms:W3CDTF">2025-11-20T23:01:40Z</dcterms:modified>
</cp:coreProperties>
</file>